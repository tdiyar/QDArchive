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TO DO\LEGACY PAPER Jeltje\REVISION\"/>
    </mc:Choice>
  </mc:AlternateContent>
  <xr:revisionPtr revIDLastSave="0" documentId="10_ncr:100000_{5BB1282A-935D-46DB-B89C-07ADA6A73104}" xr6:coauthVersionLast="31" xr6:coauthVersionMax="31" xr10:uidLastSave="{00000000-0000-0000-0000-000000000000}"/>
  <bookViews>
    <workbookView xWindow="-120" yWindow="-120" windowWidth="24240" windowHeight="13140" xr2:uid="{00000000-000D-0000-FFFF-FFFF00000000}"/>
  </bookViews>
  <sheets>
    <sheet name="Content Readme" sheetId="5" r:id="rId1"/>
    <sheet name="Explanation of terms in SEM" sheetId="1" r:id="rId2"/>
    <sheet name="DATA for SEM of Figure 1" sheetId="2" r:id="rId3"/>
    <sheet name="DATA for SEM of Figure 4" sheetId="3" r:id="rId4"/>
    <sheet name="DATA for Seed set in Figure 2" sheetId="4" r:id="rId5"/>
    <sheet name="Species abbreviations" sheetId="6" r:id="rId6"/>
    <sheet name="Insect community data 2012" sheetId="7" r:id="rId7"/>
    <sheet name="Insect community data 2013" sheetId="8" r:id="rId8"/>
  </sheets>
  <externalReferences>
    <externalReference r:id="rId9"/>
  </externalReferences>
  <definedNames>
    <definedName name="_xlnm._FilterDatabase" localSheetId="2" hidden="1">'DATA for SEM of Figure 1'!$A$2:$R$70</definedName>
    <definedName name="_xlnm._FilterDatabase" localSheetId="3" hidden="1">'DATA for SEM of Figure 4'!$A$2:$AE$26</definedName>
  </definedNames>
  <calcPr calcId="179017"/>
</workbook>
</file>

<file path=xl/calcChain.xml><?xml version="1.0" encoding="utf-8"?>
<calcChain xmlns="http://schemas.openxmlformats.org/spreadsheetml/2006/main">
  <c r="DF28" i="7" l="1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DF7" i="7"/>
  <c r="DE7" i="7"/>
  <c r="DD7" i="7"/>
  <c r="DC7" i="7"/>
  <c r="DB7" i="7"/>
  <c r="DA7" i="7"/>
  <c r="CZ7" i="7"/>
  <c r="CY7" i="7"/>
  <c r="CX7" i="7"/>
  <c r="CW7" i="7"/>
  <c r="CV7" i="7"/>
  <c r="CU7" i="7"/>
  <c r="CT7" i="7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DF6" i="7"/>
  <c r="DE6" i="7"/>
  <c r="DD6" i="7"/>
  <c r="DC6" i="7"/>
  <c r="DB6" i="7"/>
  <c r="DA6" i="7"/>
  <c r="CZ6" i="7"/>
  <c r="CY6" i="7"/>
  <c r="CX6" i="7"/>
  <c r="CW6" i="7"/>
  <c r="CV6" i="7"/>
  <c r="CU6" i="7"/>
  <c r="CT6" i="7"/>
  <c r="CS6" i="7"/>
  <c r="CR6" i="7"/>
  <c r="CQ6" i="7"/>
  <c r="CP6" i="7"/>
  <c r="CO6" i="7"/>
  <c r="CN6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HM76" i="8" l="1"/>
  <c r="JO76" i="8" s="1"/>
  <c r="HL76" i="8"/>
  <c r="JN76" i="8" s="1"/>
  <c r="HK76" i="8"/>
  <c r="JM76" i="8" s="1"/>
  <c r="HJ76" i="8"/>
  <c r="JL76" i="8" s="1"/>
  <c r="HI76" i="8"/>
  <c r="JK76" i="8" s="1"/>
  <c r="HH76" i="8"/>
  <c r="JJ76" i="8" s="1"/>
  <c r="HG76" i="8"/>
  <c r="JI76" i="8" s="1"/>
  <c r="HF76" i="8"/>
  <c r="JH76" i="8" s="1"/>
  <c r="HE76" i="8"/>
  <c r="JG76" i="8" s="1"/>
  <c r="HD76" i="8"/>
  <c r="JF76" i="8" s="1"/>
  <c r="HC76" i="8"/>
  <c r="JE76" i="8" s="1"/>
  <c r="HB76" i="8"/>
  <c r="JD76" i="8" s="1"/>
  <c r="HA76" i="8"/>
  <c r="JC76" i="8" s="1"/>
  <c r="GZ76" i="8"/>
  <c r="JB76" i="8" s="1"/>
  <c r="GY76" i="8"/>
  <c r="JA76" i="8" s="1"/>
  <c r="GX76" i="8"/>
  <c r="GW76" i="8"/>
  <c r="GV76" i="8"/>
  <c r="GU76" i="8"/>
  <c r="GT76" i="8"/>
  <c r="GS76" i="8"/>
  <c r="GR76" i="8"/>
  <c r="IX76" i="8" s="1"/>
  <c r="GQ76" i="8"/>
  <c r="IW76" i="8" s="1"/>
  <c r="GP76" i="8"/>
  <c r="IV76" i="8" s="1"/>
  <c r="GO76" i="8"/>
  <c r="IU76" i="8" s="1"/>
  <c r="GN76" i="8"/>
  <c r="IT76" i="8" s="1"/>
  <c r="GM76" i="8"/>
  <c r="IS76" i="8" s="1"/>
  <c r="GL76" i="8"/>
  <c r="IR76" i="8" s="1"/>
  <c r="GK76" i="8"/>
  <c r="IQ76" i="8" s="1"/>
  <c r="GJ76" i="8"/>
  <c r="IP76" i="8" s="1"/>
  <c r="GI76" i="8"/>
  <c r="IO76" i="8" s="1"/>
  <c r="GH76" i="8"/>
  <c r="GG76" i="8"/>
  <c r="GF76" i="8"/>
  <c r="GE76" i="8"/>
  <c r="GD76" i="8"/>
  <c r="GC76" i="8"/>
  <c r="GB76" i="8"/>
  <c r="IL76" i="8" s="1"/>
  <c r="GA76" i="8"/>
  <c r="FZ76" i="8"/>
  <c r="IK76" i="8" s="1"/>
  <c r="FY76" i="8"/>
  <c r="FX76" i="8"/>
  <c r="IJ76" i="8" s="1"/>
  <c r="FW76" i="8"/>
  <c r="FV76" i="8"/>
  <c r="IH76" i="8" s="1"/>
  <c r="FU76" i="8"/>
  <c r="FT76" i="8"/>
  <c r="FS76" i="8"/>
  <c r="FR76" i="8"/>
  <c r="FQ76" i="8"/>
  <c r="FP76" i="8"/>
  <c r="FO76" i="8"/>
  <c r="FN76" i="8"/>
  <c r="FM76" i="8"/>
  <c r="FL76" i="8"/>
  <c r="FK76" i="8"/>
  <c r="FJ76" i="8"/>
  <c r="FI76" i="8"/>
  <c r="FH76" i="8"/>
  <c r="IC76" i="8" s="1"/>
  <c r="FG76" i="8"/>
  <c r="IB76" i="8" s="1"/>
  <c r="FF76" i="8"/>
  <c r="IA76" i="8" s="1"/>
  <c r="FE76" i="8"/>
  <c r="FD76" i="8"/>
  <c r="FC76" i="8"/>
  <c r="FB76" i="8"/>
  <c r="FA76" i="8"/>
  <c r="EZ76" i="8"/>
  <c r="EY76" i="8"/>
  <c r="HX76" i="8" s="1"/>
  <c r="EX76" i="8"/>
  <c r="HW76" i="8" s="1"/>
  <c r="HM75" i="8"/>
  <c r="JO75" i="8" s="1"/>
  <c r="HL75" i="8"/>
  <c r="JN75" i="8" s="1"/>
  <c r="HK75" i="8"/>
  <c r="JM75" i="8" s="1"/>
  <c r="HJ75" i="8"/>
  <c r="JL75" i="8" s="1"/>
  <c r="HI75" i="8"/>
  <c r="JK75" i="8" s="1"/>
  <c r="HH75" i="8"/>
  <c r="JJ75" i="8" s="1"/>
  <c r="HG75" i="8"/>
  <c r="JI75" i="8" s="1"/>
  <c r="HF75" i="8"/>
  <c r="JH75" i="8" s="1"/>
  <c r="HE75" i="8"/>
  <c r="JG75" i="8" s="1"/>
  <c r="HD75" i="8"/>
  <c r="JF75" i="8" s="1"/>
  <c r="HC75" i="8"/>
  <c r="JE75" i="8" s="1"/>
  <c r="HB75" i="8"/>
  <c r="JD75" i="8" s="1"/>
  <c r="HA75" i="8"/>
  <c r="JC75" i="8" s="1"/>
  <c r="GZ75" i="8"/>
  <c r="JB75" i="8" s="1"/>
  <c r="GY75" i="8"/>
  <c r="JA75" i="8" s="1"/>
  <c r="GX75" i="8"/>
  <c r="GW75" i="8"/>
  <c r="GV75" i="8"/>
  <c r="GU75" i="8"/>
  <c r="GT75" i="8"/>
  <c r="GS75" i="8"/>
  <c r="GR75" i="8"/>
  <c r="IX75" i="8" s="1"/>
  <c r="GQ75" i="8"/>
  <c r="IW75" i="8" s="1"/>
  <c r="GP75" i="8"/>
  <c r="IV75" i="8" s="1"/>
  <c r="GO75" i="8"/>
  <c r="IU75" i="8" s="1"/>
  <c r="GN75" i="8"/>
  <c r="IT75" i="8" s="1"/>
  <c r="GM75" i="8"/>
  <c r="IS75" i="8" s="1"/>
  <c r="GL75" i="8"/>
  <c r="IR75" i="8" s="1"/>
  <c r="GK75" i="8"/>
  <c r="IQ75" i="8" s="1"/>
  <c r="GJ75" i="8"/>
  <c r="IP75" i="8" s="1"/>
  <c r="GI75" i="8"/>
  <c r="IO75" i="8" s="1"/>
  <c r="GH75" i="8"/>
  <c r="GG75" i="8"/>
  <c r="GF75" i="8"/>
  <c r="GE75" i="8"/>
  <c r="GD75" i="8"/>
  <c r="GC75" i="8"/>
  <c r="GB75" i="8"/>
  <c r="IL75" i="8" s="1"/>
  <c r="GA75" i="8"/>
  <c r="FZ75" i="8"/>
  <c r="IK75" i="8" s="1"/>
  <c r="FY75" i="8"/>
  <c r="FX75" i="8"/>
  <c r="IJ75" i="8" s="1"/>
  <c r="FW75" i="8"/>
  <c r="FV75" i="8"/>
  <c r="IH75" i="8" s="1"/>
  <c r="FU75" i="8"/>
  <c r="FT75" i="8"/>
  <c r="FS75" i="8"/>
  <c r="FR75" i="8"/>
  <c r="FQ75" i="8"/>
  <c r="FP75" i="8"/>
  <c r="FO75" i="8"/>
  <c r="FN75" i="8"/>
  <c r="FM75" i="8"/>
  <c r="FL75" i="8"/>
  <c r="FK75" i="8"/>
  <c r="FJ75" i="8"/>
  <c r="FI75" i="8"/>
  <c r="FH75" i="8"/>
  <c r="IC75" i="8" s="1"/>
  <c r="FG75" i="8"/>
  <c r="IB75" i="8" s="1"/>
  <c r="FF75" i="8"/>
  <c r="IA75" i="8" s="1"/>
  <c r="FE75" i="8"/>
  <c r="FD75" i="8"/>
  <c r="FC75" i="8"/>
  <c r="FB75" i="8"/>
  <c r="FA75" i="8"/>
  <c r="EZ75" i="8"/>
  <c r="EY75" i="8"/>
  <c r="HX75" i="8" s="1"/>
  <c r="EX75" i="8"/>
  <c r="HW75" i="8" s="1"/>
  <c r="HM74" i="8"/>
  <c r="JO74" i="8" s="1"/>
  <c r="HL74" i="8"/>
  <c r="JN74" i="8" s="1"/>
  <c r="HK74" i="8"/>
  <c r="JM74" i="8" s="1"/>
  <c r="HJ74" i="8"/>
  <c r="JL74" i="8" s="1"/>
  <c r="HI74" i="8"/>
  <c r="JK74" i="8" s="1"/>
  <c r="HH74" i="8"/>
  <c r="JJ74" i="8" s="1"/>
  <c r="HG74" i="8"/>
  <c r="JI74" i="8" s="1"/>
  <c r="HF74" i="8"/>
  <c r="JH74" i="8" s="1"/>
  <c r="HE74" i="8"/>
  <c r="JG74" i="8" s="1"/>
  <c r="HD74" i="8"/>
  <c r="JF74" i="8" s="1"/>
  <c r="HC74" i="8"/>
  <c r="JE74" i="8" s="1"/>
  <c r="HB74" i="8"/>
  <c r="JD74" i="8" s="1"/>
  <c r="HA74" i="8"/>
  <c r="JC74" i="8" s="1"/>
  <c r="GZ74" i="8"/>
  <c r="JB74" i="8" s="1"/>
  <c r="GY74" i="8"/>
  <c r="JA74" i="8" s="1"/>
  <c r="GX74" i="8"/>
  <c r="GW74" i="8"/>
  <c r="GV74" i="8"/>
  <c r="GU74" i="8"/>
  <c r="GT74" i="8"/>
  <c r="GS74" i="8"/>
  <c r="GR74" i="8"/>
  <c r="IX74" i="8" s="1"/>
  <c r="GQ74" i="8"/>
  <c r="IW74" i="8" s="1"/>
  <c r="GP74" i="8"/>
  <c r="IV74" i="8" s="1"/>
  <c r="GO74" i="8"/>
  <c r="IU74" i="8" s="1"/>
  <c r="GN74" i="8"/>
  <c r="IT74" i="8" s="1"/>
  <c r="GM74" i="8"/>
  <c r="IS74" i="8" s="1"/>
  <c r="GL74" i="8"/>
  <c r="IR74" i="8" s="1"/>
  <c r="GK74" i="8"/>
  <c r="IQ74" i="8" s="1"/>
  <c r="GJ74" i="8"/>
  <c r="IP74" i="8" s="1"/>
  <c r="GI74" i="8"/>
  <c r="IO74" i="8" s="1"/>
  <c r="GH74" i="8"/>
  <c r="GG74" i="8"/>
  <c r="GF74" i="8"/>
  <c r="GE74" i="8"/>
  <c r="GD74" i="8"/>
  <c r="GC74" i="8"/>
  <c r="GB74" i="8"/>
  <c r="IL74" i="8" s="1"/>
  <c r="GA74" i="8"/>
  <c r="FZ74" i="8"/>
  <c r="IK74" i="8" s="1"/>
  <c r="FY74" i="8"/>
  <c r="FX74" i="8"/>
  <c r="IJ74" i="8" s="1"/>
  <c r="FW74" i="8"/>
  <c r="FV74" i="8"/>
  <c r="IH74" i="8" s="1"/>
  <c r="FU74" i="8"/>
  <c r="FT74" i="8"/>
  <c r="FS74" i="8"/>
  <c r="FR74" i="8"/>
  <c r="FQ74" i="8"/>
  <c r="FP74" i="8"/>
  <c r="FO74" i="8"/>
  <c r="FN74" i="8"/>
  <c r="FM74" i="8"/>
  <c r="FL74" i="8"/>
  <c r="FK74" i="8"/>
  <c r="FJ74" i="8"/>
  <c r="FI74" i="8"/>
  <c r="FH74" i="8"/>
  <c r="IC74" i="8" s="1"/>
  <c r="FG74" i="8"/>
  <c r="IB74" i="8" s="1"/>
  <c r="FF74" i="8"/>
  <c r="IA74" i="8" s="1"/>
  <c r="FE74" i="8"/>
  <c r="FD74" i="8"/>
  <c r="FC74" i="8"/>
  <c r="FB74" i="8"/>
  <c r="FA74" i="8"/>
  <c r="EZ74" i="8"/>
  <c r="EY74" i="8"/>
  <c r="HX74" i="8" s="1"/>
  <c r="EX74" i="8"/>
  <c r="HW74" i="8" s="1"/>
  <c r="HM73" i="8"/>
  <c r="JO73" i="8" s="1"/>
  <c r="HL73" i="8"/>
  <c r="JN73" i="8" s="1"/>
  <c r="HK73" i="8"/>
  <c r="JM73" i="8" s="1"/>
  <c r="HJ73" i="8"/>
  <c r="JL73" i="8" s="1"/>
  <c r="HI73" i="8"/>
  <c r="JK73" i="8" s="1"/>
  <c r="HH73" i="8"/>
  <c r="JJ73" i="8" s="1"/>
  <c r="HG73" i="8"/>
  <c r="JI73" i="8" s="1"/>
  <c r="HF73" i="8"/>
  <c r="JH73" i="8" s="1"/>
  <c r="HE73" i="8"/>
  <c r="JG73" i="8" s="1"/>
  <c r="HD73" i="8"/>
  <c r="JF73" i="8" s="1"/>
  <c r="HC73" i="8"/>
  <c r="JE73" i="8" s="1"/>
  <c r="HB73" i="8"/>
  <c r="JD73" i="8" s="1"/>
  <c r="HA73" i="8"/>
  <c r="JC73" i="8" s="1"/>
  <c r="GZ73" i="8"/>
  <c r="JB73" i="8" s="1"/>
  <c r="GY73" i="8"/>
  <c r="JA73" i="8" s="1"/>
  <c r="GX73" i="8"/>
  <c r="GW73" i="8"/>
  <c r="GV73" i="8"/>
  <c r="GU73" i="8"/>
  <c r="GT73" i="8"/>
  <c r="GS73" i="8"/>
  <c r="GR73" i="8"/>
  <c r="IX73" i="8" s="1"/>
  <c r="GQ73" i="8"/>
  <c r="IW73" i="8" s="1"/>
  <c r="GP73" i="8"/>
  <c r="IV73" i="8" s="1"/>
  <c r="GO73" i="8"/>
  <c r="IU73" i="8" s="1"/>
  <c r="GN73" i="8"/>
  <c r="IT73" i="8" s="1"/>
  <c r="GM73" i="8"/>
  <c r="IS73" i="8" s="1"/>
  <c r="GL73" i="8"/>
  <c r="IR73" i="8" s="1"/>
  <c r="GK73" i="8"/>
  <c r="IQ73" i="8" s="1"/>
  <c r="GJ73" i="8"/>
  <c r="IP73" i="8" s="1"/>
  <c r="GI73" i="8"/>
  <c r="IO73" i="8" s="1"/>
  <c r="GH73" i="8"/>
  <c r="GG73" i="8"/>
  <c r="GF73" i="8"/>
  <c r="GE73" i="8"/>
  <c r="GD73" i="8"/>
  <c r="GC73" i="8"/>
  <c r="GB73" i="8"/>
  <c r="IL73" i="8" s="1"/>
  <c r="GA73" i="8"/>
  <c r="FZ73" i="8"/>
  <c r="IK73" i="8" s="1"/>
  <c r="FY73" i="8"/>
  <c r="FX73" i="8"/>
  <c r="IJ73" i="8" s="1"/>
  <c r="FW73" i="8"/>
  <c r="FV73" i="8"/>
  <c r="IH73" i="8" s="1"/>
  <c r="FU73" i="8"/>
  <c r="FT73" i="8"/>
  <c r="FS73" i="8"/>
  <c r="FR73" i="8"/>
  <c r="FQ73" i="8"/>
  <c r="FP73" i="8"/>
  <c r="FO73" i="8"/>
  <c r="FN73" i="8"/>
  <c r="FM73" i="8"/>
  <c r="FL73" i="8"/>
  <c r="FK73" i="8"/>
  <c r="FJ73" i="8"/>
  <c r="FI73" i="8"/>
  <c r="FH73" i="8"/>
  <c r="IC73" i="8" s="1"/>
  <c r="FG73" i="8"/>
  <c r="IB73" i="8" s="1"/>
  <c r="FF73" i="8"/>
  <c r="IA73" i="8" s="1"/>
  <c r="FE73" i="8"/>
  <c r="FD73" i="8"/>
  <c r="FC73" i="8"/>
  <c r="FB73" i="8"/>
  <c r="FA73" i="8"/>
  <c r="EZ73" i="8"/>
  <c r="EY73" i="8"/>
  <c r="HX73" i="8" s="1"/>
  <c r="EX73" i="8"/>
  <c r="HW73" i="8" s="1"/>
  <c r="HM72" i="8"/>
  <c r="JO72" i="8" s="1"/>
  <c r="HL72" i="8"/>
  <c r="JN72" i="8" s="1"/>
  <c r="HK72" i="8"/>
  <c r="JM72" i="8" s="1"/>
  <c r="HJ72" i="8"/>
  <c r="JL72" i="8" s="1"/>
  <c r="HI72" i="8"/>
  <c r="JK72" i="8" s="1"/>
  <c r="HH72" i="8"/>
  <c r="JJ72" i="8" s="1"/>
  <c r="HG72" i="8"/>
  <c r="JI72" i="8" s="1"/>
  <c r="HF72" i="8"/>
  <c r="JH72" i="8" s="1"/>
  <c r="HE72" i="8"/>
  <c r="JG72" i="8" s="1"/>
  <c r="HD72" i="8"/>
  <c r="JF72" i="8" s="1"/>
  <c r="HC72" i="8"/>
  <c r="JE72" i="8" s="1"/>
  <c r="HB72" i="8"/>
  <c r="JD72" i="8" s="1"/>
  <c r="HA72" i="8"/>
  <c r="JC72" i="8" s="1"/>
  <c r="GZ72" i="8"/>
  <c r="JB72" i="8" s="1"/>
  <c r="GY72" i="8"/>
  <c r="JA72" i="8" s="1"/>
  <c r="GX72" i="8"/>
  <c r="GW72" i="8"/>
  <c r="GV72" i="8"/>
  <c r="GU72" i="8"/>
  <c r="GT72" i="8"/>
  <c r="GS72" i="8"/>
  <c r="GR72" i="8"/>
  <c r="IX72" i="8" s="1"/>
  <c r="GQ72" i="8"/>
  <c r="IW72" i="8" s="1"/>
  <c r="GP72" i="8"/>
  <c r="IV72" i="8" s="1"/>
  <c r="GO72" i="8"/>
  <c r="IU72" i="8" s="1"/>
  <c r="GN72" i="8"/>
  <c r="IT72" i="8" s="1"/>
  <c r="GM72" i="8"/>
  <c r="IS72" i="8" s="1"/>
  <c r="GL72" i="8"/>
  <c r="IR72" i="8" s="1"/>
  <c r="GK72" i="8"/>
  <c r="IQ72" i="8" s="1"/>
  <c r="GJ72" i="8"/>
  <c r="IP72" i="8" s="1"/>
  <c r="GI72" i="8"/>
  <c r="IO72" i="8" s="1"/>
  <c r="GH72" i="8"/>
  <c r="GG72" i="8"/>
  <c r="GF72" i="8"/>
  <c r="GE72" i="8"/>
  <c r="GD72" i="8"/>
  <c r="GC72" i="8"/>
  <c r="GB72" i="8"/>
  <c r="IL72" i="8" s="1"/>
  <c r="GA72" i="8"/>
  <c r="FZ72" i="8"/>
  <c r="IK72" i="8" s="1"/>
  <c r="FY72" i="8"/>
  <c r="FX72" i="8"/>
  <c r="IJ72" i="8" s="1"/>
  <c r="FW72" i="8"/>
  <c r="FV72" i="8"/>
  <c r="IH72" i="8" s="1"/>
  <c r="FU72" i="8"/>
  <c r="FT72" i="8"/>
  <c r="FS72" i="8"/>
  <c r="FR72" i="8"/>
  <c r="FQ72" i="8"/>
  <c r="FP72" i="8"/>
  <c r="FO72" i="8"/>
  <c r="FN72" i="8"/>
  <c r="FM72" i="8"/>
  <c r="FL72" i="8"/>
  <c r="FK72" i="8"/>
  <c r="FJ72" i="8"/>
  <c r="FI72" i="8"/>
  <c r="FH72" i="8"/>
  <c r="IC72" i="8" s="1"/>
  <c r="FG72" i="8"/>
  <c r="IB72" i="8" s="1"/>
  <c r="FF72" i="8"/>
  <c r="IA72" i="8" s="1"/>
  <c r="FE72" i="8"/>
  <c r="FD72" i="8"/>
  <c r="FC72" i="8"/>
  <c r="FB72" i="8"/>
  <c r="FA72" i="8"/>
  <c r="EZ72" i="8"/>
  <c r="EY72" i="8"/>
  <c r="HX72" i="8" s="1"/>
  <c r="EX72" i="8"/>
  <c r="HW72" i="8" s="1"/>
  <c r="HM71" i="8"/>
  <c r="JO71" i="8" s="1"/>
  <c r="HL71" i="8"/>
  <c r="JN71" i="8" s="1"/>
  <c r="HK71" i="8"/>
  <c r="JM71" i="8" s="1"/>
  <c r="HJ71" i="8"/>
  <c r="JL71" i="8" s="1"/>
  <c r="HI71" i="8"/>
  <c r="JK71" i="8" s="1"/>
  <c r="HH71" i="8"/>
  <c r="JJ71" i="8" s="1"/>
  <c r="HG71" i="8"/>
  <c r="JI71" i="8" s="1"/>
  <c r="HF71" i="8"/>
  <c r="JH71" i="8" s="1"/>
  <c r="HE71" i="8"/>
  <c r="JG71" i="8" s="1"/>
  <c r="HD71" i="8"/>
  <c r="JF71" i="8" s="1"/>
  <c r="HC71" i="8"/>
  <c r="JE71" i="8" s="1"/>
  <c r="HB71" i="8"/>
  <c r="JD71" i="8" s="1"/>
  <c r="HA71" i="8"/>
  <c r="JC71" i="8" s="1"/>
  <c r="GZ71" i="8"/>
  <c r="JB71" i="8" s="1"/>
  <c r="GY71" i="8"/>
  <c r="JA71" i="8" s="1"/>
  <c r="GX71" i="8"/>
  <c r="GW71" i="8"/>
  <c r="GV71" i="8"/>
  <c r="GU71" i="8"/>
  <c r="GT71" i="8"/>
  <c r="GS71" i="8"/>
  <c r="GR71" i="8"/>
  <c r="IX71" i="8" s="1"/>
  <c r="GQ71" i="8"/>
  <c r="IW71" i="8" s="1"/>
  <c r="GP71" i="8"/>
  <c r="IV71" i="8" s="1"/>
  <c r="GO71" i="8"/>
  <c r="IU71" i="8" s="1"/>
  <c r="GN71" i="8"/>
  <c r="IT71" i="8" s="1"/>
  <c r="GM71" i="8"/>
  <c r="IS71" i="8" s="1"/>
  <c r="GL71" i="8"/>
  <c r="IR71" i="8" s="1"/>
  <c r="GK71" i="8"/>
  <c r="IQ71" i="8" s="1"/>
  <c r="GJ71" i="8"/>
  <c r="IP71" i="8" s="1"/>
  <c r="GI71" i="8"/>
  <c r="IO71" i="8" s="1"/>
  <c r="GH71" i="8"/>
  <c r="GG71" i="8"/>
  <c r="GF71" i="8"/>
  <c r="GE71" i="8"/>
  <c r="GD71" i="8"/>
  <c r="GC71" i="8"/>
  <c r="GB71" i="8"/>
  <c r="IL71" i="8" s="1"/>
  <c r="GA71" i="8"/>
  <c r="FZ71" i="8"/>
  <c r="IK71" i="8" s="1"/>
  <c r="FY71" i="8"/>
  <c r="FX71" i="8"/>
  <c r="IJ71" i="8" s="1"/>
  <c r="FW71" i="8"/>
  <c r="FV71" i="8"/>
  <c r="IH71" i="8" s="1"/>
  <c r="FU71" i="8"/>
  <c r="FT71" i="8"/>
  <c r="FS71" i="8"/>
  <c r="FR71" i="8"/>
  <c r="FQ71" i="8"/>
  <c r="FP71" i="8"/>
  <c r="FO71" i="8"/>
  <c r="FN71" i="8"/>
  <c r="FM71" i="8"/>
  <c r="FL71" i="8"/>
  <c r="FK71" i="8"/>
  <c r="FJ71" i="8"/>
  <c r="FI71" i="8"/>
  <c r="FH71" i="8"/>
  <c r="IC71" i="8" s="1"/>
  <c r="FG71" i="8"/>
  <c r="IB71" i="8" s="1"/>
  <c r="FF71" i="8"/>
  <c r="IA71" i="8" s="1"/>
  <c r="FE71" i="8"/>
  <c r="FD71" i="8"/>
  <c r="FC71" i="8"/>
  <c r="FB71" i="8"/>
  <c r="FA71" i="8"/>
  <c r="EZ71" i="8"/>
  <c r="EY71" i="8"/>
  <c r="HX71" i="8" s="1"/>
  <c r="EX71" i="8"/>
  <c r="HW71" i="8" s="1"/>
  <c r="HM70" i="8"/>
  <c r="JO70" i="8" s="1"/>
  <c r="HL70" i="8"/>
  <c r="JN70" i="8" s="1"/>
  <c r="HK70" i="8"/>
  <c r="JM70" i="8" s="1"/>
  <c r="HJ70" i="8"/>
  <c r="JL70" i="8" s="1"/>
  <c r="HI70" i="8"/>
  <c r="JK70" i="8" s="1"/>
  <c r="HH70" i="8"/>
  <c r="JJ70" i="8" s="1"/>
  <c r="HG70" i="8"/>
  <c r="JI70" i="8" s="1"/>
  <c r="HF70" i="8"/>
  <c r="JH70" i="8" s="1"/>
  <c r="HE70" i="8"/>
  <c r="JG70" i="8" s="1"/>
  <c r="HD70" i="8"/>
  <c r="JF70" i="8" s="1"/>
  <c r="HC70" i="8"/>
  <c r="JE70" i="8" s="1"/>
  <c r="HB70" i="8"/>
  <c r="JD70" i="8" s="1"/>
  <c r="HA70" i="8"/>
  <c r="JC70" i="8" s="1"/>
  <c r="GZ70" i="8"/>
  <c r="JB70" i="8" s="1"/>
  <c r="GY70" i="8"/>
  <c r="JA70" i="8" s="1"/>
  <c r="GX70" i="8"/>
  <c r="GW70" i="8"/>
  <c r="GV70" i="8"/>
  <c r="GU70" i="8"/>
  <c r="GT70" i="8"/>
  <c r="GS70" i="8"/>
  <c r="GR70" i="8"/>
  <c r="IX70" i="8" s="1"/>
  <c r="GQ70" i="8"/>
  <c r="IW70" i="8" s="1"/>
  <c r="GP70" i="8"/>
  <c r="IV70" i="8" s="1"/>
  <c r="GO70" i="8"/>
  <c r="IU70" i="8" s="1"/>
  <c r="GN70" i="8"/>
  <c r="IT70" i="8" s="1"/>
  <c r="GM70" i="8"/>
  <c r="IS70" i="8" s="1"/>
  <c r="GL70" i="8"/>
  <c r="IR70" i="8" s="1"/>
  <c r="GK70" i="8"/>
  <c r="IQ70" i="8" s="1"/>
  <c r="GJ70" i="8"/>
  <c r="IP70" i="8" s="1"/>
  <c r="GI70" i="8"/>
  <c r="IO70" i="8" s="1"/>
  <c r="GH70" i="8"/>
  <c r="GG70" i="8"/>
  <c r="GF70" i="8"/>
  <c r="GE70" i="8"/>
  <c r="GD70" i="8"/>
  <c r="GC70" i="8"/>
  <c r="GB70" i="8"/>
  <c r="IL70" i="8" s="1"/>
  <c r="GA70" i="8"/>
  <c r="FZ70" i="8"/>
  <c r="IK70" i="8" s="1"/>
  <c r="FY70" i="8"/>
  <c r="FX70" i="8"/>
  <c r="IJ70" i="8" s="1"/>
  <c r="FW70" i="8"/>
  <c r="FV70" i="8"/>
  <c r="IH70" i="8" s="1"/>
  <c r="FU70" i="8"/>
  <c r="FT70" i="8"/>
  <c r="FS70" i="8"/>
  <c r="FR70" i="8"/>
  <c r="FQ70" i="8"/>
  <c r="FP70" i="8"/>
  <c r="FO70" i="8"/>
  <c r="FN70" i="8"/>
  <c r="FM70" i="8"/>
  <c r="FL70" i="8"/>
  <c r="FK70" i="8"/>
  <c r="FJ70" i="8"/>
  <c r="FI70" i="8"/>
  <c r="FH70" i="8"/>
  <c r="IC70" i="8" s="1"/>
  <c r="FG70" i="8"/>
  <c r="IB70" i="8" s="1"/>
  <c r="FF70" i="8"/>
  <c r="IA70" i="8" s="1"/>
  <c r="FE70" i="8"/>
  <c r="FD70" i="8"/>
  <c r="FC70" i="8"/>
  <c r="FB70" i="8"/>
  <c r="FA70" i="8"/>
  <c r="EZ70" i="8"/>
  <c r="EY70" i="8"/>
  <c r="HX70" i="8" s="1"/>
  <c r="EX70" i="8"/>
  <c r="HW70" i="8" s="1"/>
  <c r="HM69" i="8"/>
  <c r="JO69" i="8" s="1"/>
  <c r="HL69" i="8"/>
  <c r="JN69" i="8" s="1"/>
  <c r="HK69" i="8"/>
  <c r="JM69" i="8" s="1"/>
  <c r="HJ69" i="8"/>
  <c r="JL69" i="8" s="1"/>
  <c r="HI69" i="8"/>
  <c r="JK69" i="8" s="1"/>
  <c r="HH69" i="8"/>
  <c r="JJ69" i="8" s="1"/>
  <c r="HG69" i="8"/>
  <c r="JI69" i="8" s="1"/>
  <c r="HF69" i="8"/>
  <c r="JH69" i="8" s="1"/>
  <c r="HE69" i="8"/>
  <c r="JG69" i="8" s="1"/>
  <c r="HD69" i="8"/>
  <c r="JF69" i="8" s="1"/>
  <c r="HC69" i="8"/>
  <c r="JE69" i="8" s="1"/>
  <c r="HB69" i="8"/>
  <c r="JD69" i="8" s="1"/>
  <c r="HA69" i="8"/>
  <c r="JC69" i="8" s="1"/>
  <c r="GZ69" i="8"/>
  <c r="JB69" i="8" s="1"/>
  <c r="GY69" i="8"/>
  <c r="JA69" i="8" s="1"/>
  <c r="GX69" i="8"/>
  <c r="GW69" i="8"/>
  <c r="GV69" i="8"/>
  <c r="GU69" i="8"/>
  <c r="GT69" i="8"/>
  <c r="GS69" i="8"/>
  <c r="GR69" i="8"/>
  <c r="IX69" i="8" s="1"/>
  <c r="GQ69" i="8"/>
  <c r="IW69" i="8" s="1"/>
  <c r="GP69" i="8"/>
  <c r="IV69" i="8" s="1"/>
  <c r="GO69" i="8"/>
  <c r="IU69" i="8" s="1"/>
  <c r="GN69" i="8"/>
  <c r="IT69" i="8" s="1"/>
  <c r="GM69" i="8"/>
  <c r="IS69" i="8" s="1"/>
  <c r="GL69" i="8"/>
  <c r="IR69" i="8" s="1"/>
  <c r="GK69" i="8"/>
  <c r="IQ69" i="8" s="1"/>
  <c r="GJ69" i="8"/>
  <c r="IP69" i="8" s="1"/>
  <c r="GI69" i="8"/>
  <c r="IO69" i="8" s="1"/>
  <c r="GH69" i="8"/>
  <c r="GG69" i="8"/>
  <c r="GF69" i="8"/>
  <c r="GE69" i="8"/>
  <c r="GD69" i="8"/>
  <c r="GC69" i="8"/>
  <c r="GB69" i="8"/>
  <c r="IL69" i="8" s="1"/>
  <c r="GA69" i="8"/>
  <c r="FZ69" i="8"/>
  <c r="FY69" i="8"/>
  <c r="FX69" i="8"/>
  <c r="IJ69" i="8" s="1"/>
  <c r="FW69" i="8"/>
  <c r="FV69" i="8"/>
  <c r="IH69" i="8" s="1"/>
  <c r="FU69" i="8"/>
  <c r="FT69" i="8"/>
  <c r="FS69" i="8"/>
  <c r="FR69" i="8"/>
  <c r="FQ69" i="8"/>
  <c r="FP69" i="8"/>
  <c r="FO69" i="8"/>
  <c r="FN69" i="8"/>
  <c r="FM69" i="8"/>
  <c r="FL69" i="8"/>
  <c r="FK69" i="8"/>
  <c r="FJ69" i="8"/>
  <c r="FI69" i="8"/>
  <c r="FH69" i="8"/>
  <c r="IC69" i="8" s="1"/>
  <c r="FG69" i="8"/>
  <c r="IB69" i="8" s="1"/>
  <c r="FF69" i="8"/>
  <c r="IA69" i="8" s="1"/>
  <c r="FE69" i="8"/>
  <c r="FD69" i="8"/>
  <c r="FC69" i="8"/>
  <c r="FB69" i="8"/>
  <c r="FA69" i="8"/>
  <c r="EZ69" i="8"/>
  <c r="EY69" i="8"/>
  <c r="HX69" i="8" s="1"/>
  <c r="EX69" i="8"/>
  <c r="HW69" i="8" s="1"/>
  <c r="HM68" i="8"/>
  <c r="JO68" i="8" s="1"/>
  <c r="HL68" i="8"/>
  <c r="JN68" i="8" s="1"/>
  <c r="HK68" i="8"/>
  <c r="JM68" i="8" s="1"/>
  <c r="HJ68" i="8"/>
  <c r="JL68" i="8" s="1"/>
  <c r="HI68" i="8"/>
  <c r="JK68" i="8" s="1"/>
  <c r="HH68" i="8"/>
  <c r="JJ68" i="8" s="1"/>
  <c r="HG68" i="8"/>
  <c r="JI68" i="8" s="1"/>
  <c r="HF68" i="8"/>
  <c r="JH68" i="8" s="1"/>
  <c r="HE68" i="8"/>
  <c r="JG68" i="8" s="1"/>
  <c r="HD68" i="8"/>
  <c r="JF68" i="8" s="1"/>
  <c r="HC68" i="8"/>
  <c r="JE68" i="8" s="1"/>
  <c r="HB68" i="8"/>
  <c r="JD68" i="8" s="1"/>
  <c r="HA68" i="8"/>
  <c r="JC68" i="8" s="1"/>
  <c r="GZ68" i="8"/>
  <c r="JB68" i="8" s="1"/>
  <c r="GY68" i="8"/>
  <c r="JA68" i="8" s="1"/>
  <c r="GX68" i="8"/>
  <c r="GW68" i="8"/>
  <c r="GV68" i="8"/>
  <c r="GU68" i="8"/>
  <c r="GT68" i="8"/>
  <c r="GS68" i="8"/>
  <c r="GR68" i="8"/>
  <c r="IX68" i="8" s="1"/>
  <c r="GQ68" i="8"/>
  <c r="IW68" i="8" s="1"/>
  <c r="GP68" i="8"/>
  <c r="IV68" i="8" s="1"/>
  <c r="GO68" i="8"/>
  <c r="IU68" i="8" s="1"/>
  <c r="GN68" i="8"/>
  <c r="IT68" i="8" s="1"/>
  <c r="GM68" i="8"/>
  <c r="IS68" i="8" s="1"/>
  <c r="GL68" i="8"/>
  <c r="IR68" i="8" s="1"/>
  <c r="GK68" i="8"/>
  <c r="IQ68" i="8" s="1"/>
  <c r="GJ68" i="8"/>
  <c r="IP68" i="8" s="1"/>
  <c r="GI68" i="8"/>
  <c r="IO68" i="8" s="1"/>
  <c r="GH68" i="8"/>
  <c r="GG68" i="8"/>
  <c r="GF68" i="8"/>
  <c r="GE68" i="8"/>
  <c r="GD68" i="8"/>
  <c r="GC68" i="8"/>
  <c r="GB68" i="8"/>
  <c r="IL68" i="8" s="1"/>
  <c r="GA68" i="8"/>
  <c r="FZ68" i="8"/>
  <c r="FY68" i="8"/>
  <c r="FX68" i="8"/>
  <c r="IJ68" i="8" s="1"/>
  <c r="FW68" i="8"/>
  <c r="FV68" i="8"/>
  <c r="IH68" i="8" s="1"/>
  <c r="FU68" i="8"/>
  <c r="FT68" i="8"/>
  <c r="FS68" i="8"/>
  <c r="FR68" i="8"/>
  <c r="FQ68" i="8"/>
  <c r="FP68" i="8"/>
  <c r="FO68" i="8"/>
  <c r="FN68" i="8"/>
  <c r="FM68" i="8"/>
  <c r="FL68" i="8"/>
  <c r="FK68" i="8"/>
  <c r="FJ68" i="8"/>
  <c r="FI68" i="8"/>
  <c r="FH68" i="8"/>
  <c r="IC68" i="8" s="1"/>
  <c r="FG68" i="8"/>
  <c r="IB68" i="8" s="1"/>
  <c r="FF68" i="8"/>
  <c r="IA68" i="8" s="1"/>
  <c r="FE68" i="8"/>
  <c r="FD68" i="8"/>
  <c r="HZ68" i="8" s="1"/>
  <c r="FC68" i="8"/>
  <c r="FB68" i="8"/>
  <c r="FA68" i="8"/>
  <c r="EZ68" i="8"/>
  <c r="EY68" i="8"/>
  <c r="HX68" i="8" s="1"/>
  <c r="EX68" i="8"/>
  <c r="HW68" i="8" s="1"/>
  <c r="JG67" i="8"/>
  <c r="JC67" i="8"/>
  <c r="HM67" i="8"/>
  <c r="JO67" i="8" s="1"/>
  <c r="HL67" i="8"/>
  <c r="JN67" i="8" s="1"/>
  <c r="HK67" i="8"/>
  <c r="JM67" i="8" s="1"/>
  <c r="HJ67" i="8"/>
  <c r="JL67" i="8" s="1"/>
  <c r="HI67" i="8"/>
  <c r="JK67" i="8" s="1"/>
  <c r="HH67" i="8"/>
  <c r="JJ67" i="8" s="1"/>
  <c r="HG67" i="8"/>
  <c r="JI67" i="8" s="1"/>
  <c r="HF67" i="8"/>
  <c r="JH67" i="8" s="1"/>
  <c r="HE67" i="8"/>
  <c r="HD67" i="8"/>
  <c r="JF67" i="8" s="1"/>
  <c r="HC67" i="8"/>
  <c r="JE67" i="8" s="1"/>
  <c r="HB67" i="8"/>
  <c r="JD67" i="8" s="1"/>
  <c r="HA67" i="8"/>
  <c r="GZ67" i="8"/>
  <c r="JB67" i="8" s="1"/>
  <c r="GY67" i="8"/>
  <c r="JA67" i="8" s="1"/>
  <c r="GX67" i="8"/>
  <c r="GW67" i="8"/>
  <c r="GV67" i="8"/>
  <c r="GU67" i="8"/>
  <c r="GT67" i="8"/>
  <c r="GS67" i="8"/>
  <c r="GR67" i="8"/>
  <c r="IX67" i="8" s="1"/>
  <c r="GQ67" i="8"/>
  <c r="IW67" i="8" s="1"/>
  <c r="GP67" i="8"/>
  <c r="IV67" i="8" s="1"/>
  <c r="GO67" i="8"/>
  <c r="IU67" i="8" s="1"/>
  <c r="GN67" i="8"/>
  <c r="IT67" i="8" s="1"/>
  <c r="GM67" i="8"/>
  <c r="IS67" i="8" s="1"/>
  <c r="GL67" i="8"/>
  <c r="IR67" i="8" s="1"/>
  <c r="GK67" i="8"/>
  <c r="IQ67" i="8" s="1"/>
  <c r="GJ67" i="8"/>
  <c r="IP67" i="8" s="1"/>
  <c r="GI67" i="8"/>
  <c r="IO67" i="8" s="1"/>
  <c r="GH67" i="8"/>
  <c r="GG67" i="8"/>
  <c r="GF67" i="8"/>
  <c r="GE67" i="8"/>
  <c r="GD67" i="8"/>
  <c r="GC67" i="8"/>
  <c r="GB67" i="8"/>
  <c r="IL67" i="8" s="1"/>
  <c r="GA67" i="8"/>
  <c r="FZ67" i="8"/>
  <c r="FY67" i="8"/>
  <c r="FX67" i="8"/>
  <c r="IJ67" i="8" s="1"/>
  <c r="FW67" i="8"/>
  <c r="FV67" i="8"/>
  <c r="IH67" i="8" s="1"/>
  <c r="FU67" i="8"/>
  <c r="FT67" i="8"/>
  <c r="FS67" i="8"/>
  <c r="FR67" i="8"/>
  <c r="FQ67" i="8"/>
  <c r="FP67" i="8"/>
  <c r="FO67" i="8"/>
  <c r="FN67" i="8"/>
  <c r="FM67" i="8"/>
  <c r="FL67" i="8"/>
  <c r="FK67" i="8"/>
  <c r="FJ67" i="8"/>
  <c r="FI67" i="8"/>
  <c r="FH67" i="8"/>
  <c r="IC67" i="8" s="1"/>
  <c r="FG67" i="8"/>
  <c r="IB67" i="8" s="1"/>
  <c r="FF67" i="8"/>
  <c r="IA67" i="8" s="1"/>
  <c r="FE67" i="8"/>
  <c r="FD67" i="8"/>
  <c r="FC67" i="8"/>
  <c r="FB67" i="8"/>
  <c r="FA67" i="8"/>
  <c r="EZ67" i="8"/>
  <c r="EY67" i="8"/>
  <c r="HX67" i="8" s="1"/>
  <c r="EX67" i="8"/>
  <c r="HW67" i="8" s="1"/>
  <c r="JF66" i="8"/>
  <c r="JB66" i="8"/>
  <c r="HM66" i="8"/>
  <c r="JO66" i="8" s="1"/>
  <c r="HL66" i="8"/>
  <c r="JN66" i="8" s="1"/>
  <c r="HK66" i="8"/>
  <c r="JM66" i="8" s="1"/>
  <c r="HJ66" i="8"/>
  <c r="JL66" i="8" s="1"/>
  <c r="HI66" i="8"/>
  <c r="JK66" i="8" s="1"/>
  <c r="HH66" i="8"/>
  <c r="JJ66" i="8" s="1"/>
  <c r="HG66" i="8"/>
  <c r="JI66" i="8" s="1"/>
  <c r="HF66" i="8"/>
  <c r="JH66" i="8" s="1"/>
  <c r="HE66" i="8"/>
  <c r="JG66" i="8" s="1"/>
  <c r="HD66" i="8"/>
  <c r="HC66" i="8"/>
  <c r="JE66" i="8" s="1"/>
  <c r="HB66" i="8"/>
  <c r="JD66" i="8" s="1"/>
  <c r="HA66" i="8"/>
  <c r="JC66" i="8" s="1"/>
  <c r="GZ66" i="8"/>
  <c r="GY66" i="8"/>
  <c r="JA66" i="8" s="1"/>
  <c r="GX66" i="8"/>
  <c r="GW66" i="8"/>
  <c r="GV66" i="8"/>
  <c r="GU66" i="8"/>
  <c r="GT66" i="8"/>
  <c r="GS66" i="8"/>
  <c r="IY66" i="8" s="1"/>
  <c r="GR66" i="8"/>
  <c r="IX66" i="8" s="1"/>
  <c r="GQ66" i="8"/>
  <c r="IW66" i="8" s="1"/>
  <c r="GP66" i="8"/>
  <c r="IV66" i="8" s="1"/>
  <c r="GO66" i="8"/>
  <c r="IU66" i="8" s="1"/>
  <c r="GN66" i="8"/>
  <c r="IT66" i="8" s="1"/>
  <c r="GM66" i="8"/>
  <c r="IS66" i="8" s="1"/>
  <c r="GL66" i="8"/>
  <c r="IR66" i="8" s="1"/>
  <c r="GK66" i="8"/>
  <c r="IQ66" i="8" s="1"/>
  <c r="GJ66" i="8"/>
  <c r="IP66" i="8" s="1"/>
  <c r="GI66" i="8"/>
  <c r="IO66" i="8" s="1"/>
  <c r="GH66" i="8"/>
  <c r="GG66" i="8"/>
  <c r="GF66" i="8"/>
  <c r="GE66" i="8"/>
  <c r="GD66" i="8"/>
  <c r="GC66" i="8"/>
  <c r="IM66" i="8" s="1"/>
  <c r="GB66" i="8"/>
  <c r="IL66" i="8" s="1"/>
  <c r="GA66" i="8"/>
  <c r="FZ66" i="8"/>
  <c r="FY66" i="8"/>
  <c r="FX66" i="8"/>
  <c r="IJ66" i="8" s="1"/>
  <c r="FW66" i="8"/>
  <c r="FV66" i="8"/>
  <c r="IH66" i="8" s="1"/>
  <c r="FU66" i="8"/>
  <c r="FT66" i="8"/>
  <c r="FS66" i="8"/>
  <c r="FR66" i="8"/>
  <c r="FQ66" i="8"/>
  <c r="FP66" i="8"/>
  <c r="FO66" i="8"/>
  <c r="FN66" i="8"/>
  <c r="FM66" i="8"/>
  <c r="FL66" i="8"/>
  <c r="FK66" i="8"/>
  <c r="FJ66" i="8"/>
  <c r="FI66" i="8"/>
  <c r="FH66" i="8"/>
  <c r="IC66" i="8" s="1"/>
  <c r="FG66" i="8"/>
  <c r="IB66" i="8" s="1"/>
  <c r="FF66" i="8"/>
  <c r="IA66" i="8" s="1"/>
  <c r="FE66" i="8"/>
  <c r="HZ66" i="8" s="1"/>
  <c r="FD66" i="8"/>
  <c r="FC66" i="8"/>
  <c r="FB66" i="8"/>
  <c r="FA66" i="8"/>
  <c r="EZ66" i="8"/>
  <c r="EY66" i="8"/>
  <c r="HX66" i="8" s="1"/>
  <c r="EX66" i="8"/>
  <c r="HW66" i="8" s="1"/>
  <c r="JM65" i="8"/>
  <c r="HM65" i="8"/>
  <c r="JO65" i="8" s="1"/>
  <c r="HL65" i="8"/>
  <c r="JN65" i="8" s="1"/>
  <c r="HK65" i="8"/>
  <c r="HJ65" i="8"/>
  <c r="JL65" i="8" s="1"/>
  <c r="HI65" i="8"/>
  <c r="JK65" i="8" s="1"/>
  <c r="HH65" i="8"/>
  <c r="JJ65" i="8" s="1"/>
  <c r="HG65" i="8"/>
  <c r="JI65" i="8" s="1"/>
  <c r="HF65" i="8"/>
  <c r="JH65" i="8" s="1"/>
  <c r="HE65" i="8"/>
  <c r="JG65" i="8" s="1"/>
  <c r="HD65" i="8"/>
  <c r="JF65" i="8" s="1"/>
  <c r="HC65" i="8"/>
  <c r="JE65" i="8" s="1"/>
  <c r="HB65" i="8"/>
  <c r="JD65" i="8" s="1"/>
  <c r="HA65" i="8"/>
  <c r="JC65" i="8" s="1"/>
  <c r="GZ65" i="8"/>
  <c r="JB65" i="8" s="1"/>
  <c r="GY65" i="8"/>
  <c r="JA65" i="8" s="1"/>
  <c r="GX65" i="8"/>
  <c r="GW65" i="8"/>
  <c r="GV65" i="8"/>
  <c r="GU65" i="8"/>
  <c r="GT65" i="8"/>
  <c r="GS65" i="8"/>
  <c r="GR65" i="8"/>
  <c r="IX65" i="8" s="1"/>
  <c r="GQ65" i="8"/>
  <c r="IW65" i="8" s="1"/>
  <c r="GP65" i="8"/>
  <c r="IV65" i="8" s="1"/>
  <c r="GO65" i="8"/>
  <c r="IU65" i="8" s="1"/>
  <c r="GN65" i="8"/>
  <c r="IT65" i="8" s="1"/>
  <c r="GM65" i="8"/>
  <c r="IS65" i="8" s="1"/>
  <c r="GL65" i="8"/>
  <c r="IR65" i="8" s="1"/>
  <c r="GK65" i="8"/>
  <c r="IQ65" i="8" s="1"/>
  <c r="GJ65" i="8"/>
  <c r="IP65" i="8" s="1"/>
  <c r="GI65" i="8"/>
  <c r="IO65" i="8" s="1"/>
  <c r="GH65" i="8"/>
  <c r="GG65" i="8"/>
  <c r="GF65" i="8"/>
  <c r="GE65" i="8"/>
  <c r="GD65" i="8"/>
  <c r="GC65" i="8"/>
  <c r="GB65" i="8"/>
  <c r="IL65" i="8" s="1"/>
  <c r="GA65" i="8"/>
  <c r="FZ65" i="8"/>
  <c r="IK65" i="8" s="1"/>
  <c r="FY65" i="8"/>
  <c r="FX65" i="8"/>
  <c r="IJ65" i="8" s="1"/>
  <c r="FW65" i="8"/>
  <c r="FV65" i="8"/>
  <c r="IH65" i="8" s="1"/>
  <c r="FU65" i="8"/>
  <c r="FT65" i="8"/>
  <c r="FS65" i="8"/>
  <c r="FR65" i="8"/>
  <c r="FQ65" i="8"/>
  <c r="FP65" i="8"/>
  <c r="FO65" i="8"/>
  <c r="FN65" i="8"/>
  <c r="FM65" i="8"/>
  <c r="FL65" i="8"/>
  <c r="FK65" i="8"/>
  <c r="FJ65" i="8"/>
  <c r="FI65" i="8"/>
  <c r="FH65" i="8"/>
  <c r="IC65" i="8" s="1"/>
  <c r="FG65" i="8"/>
  <c r="IB65" i="8" s="1"/>
  <c r="FF65" i="8"/>
  <c r="IA65" i="8" s="1"/>
  <c r="FE65" i="8"/>
  <c r="FD65" i="8"/>
  <c r="FC65" i="8"/>
  <c r="FB65" i="8"/>
  <c r="FA65" i="8"/>
  <c r="EZ65" i="8"/>
  <c r="EY65" i="8"/>
  <c r="HX65" i="8" s="1"/>
  <c r="EX65" i="8"/>
  <c r="HW65" i="8" s="1"/>
  <c r="JH64" i="8"/>
  <c r="HM64" i="8"/>
  <c r="JO64" i="8" s="1"/>
  <c r="HL64" i="8"/>
  <c r="JN64" i="8" s="1"/>
  <c r="HK64" i="8"/>
  <c r="JM64" i="8" s="1"/>
  <c r="HJ64" i="8"/>
  <c r="JL64" i="8" s="1"/>
  <c r="HI64" i="8"/>
  <c r="JK64" i="8" s="1"/>
  <c r="HH64" i="8"/>
  <c r="JJ64" i="8" s="1"/>
  <c r="HG64" i="8"/>
  <c r="JI64" i="8" s="1"/>
  <c r="HF64" i="8"/>
  <c r="HE64" i="8"/>
  <c r="JG64" i="8" s="1"/>
  <c r="HD64" i="8"/>
  <c r="JF64" i="8" s="1"/>
  <c r="HC64" i="8"/>
  <c r="JE64" i="8" s="1"/>
  <c r="HB64" i="8"/>
  <c r="JD64" i="8" s="1"/>
  <c r="HA64" i="8"/>
  <c r="JC64" i="8" s="1"/>
  <c r="GZ64" i="8"/>
  <c r="JB64" i="8" s="1"/>
  <c r="GY64" i="8"/>
  <c r="JA64" i="8" s="1"/>
  <c r="GX64" i="8"/>
  <c r="GW64" i="8"/>
  <c r="GV64" i="8"/>
  <c r="GU64" i="8"/>
  <c r="GT64" i="8"/>
  <c r="GS64" i="8"/>
  <c r="GR64" i="8"/>
  <c r="IX64" i="8" s="1"/>
  <c r="GQ64" i="8"/>
  <c r="IW64" i="8" s="1"/>
  <c r="GP64" i="8"/>
  <c r="IV64" i="8" s="1"/>
  <c r="GO64" i="8"/>
  <c r="IU64" i="8" s="1"/>
  <c r="GN64" i="8"/>
  <c r="IT64" i="8" s="1"/>
  <c r="GM64" i="8"/>
  <c r="IS64" i="8" s="1"/>
  <c r="GL64" i="8"/>
  <c r="IR64" i="8" s="1"/>
  <c r="GK64" i="8"/>
  <c r="IQ64" i="8" s="1"/>
  <c r="GJ64" i="8"/>
  <c r="IP64" i="8" s="1"/>
  <c r="GI64" i="8"/>
  <c r="IO64" i="8" s="1"/>
  <c r="GH64" i="8"/>
  <c r="GG64" i="8"/>
  <c r="GF64" i="8"/>
  <c r="GE64" i="8"/>
  <c r="GD64" i="8"/>
  <c r="GC64" i="8"/>
  <c r="GB64" i="8"/>
  <c r="IL64" i="8" s="1"/>
  <c r="GA64" i="8"/>
  <c r="IK64" i="8" s="1"/>
  <c r="FZ64" i="8"/>
  <c r="FY64" i="8"/>
  <c r="FX64" i="8"/>
  <c r="IJ64" i="8" s="1"/>
  <c r="FW64" i="8"/>
  <c r="II64" i="8" s="1"/>
  <c r="FV64" i="8"/>
  <c r="IH64" i="8" s="1"/>
  <c r="FU64" i="8"/>
  <c r="FT64" i="8"/>
  <c r="FS64" i="8"/>
  <c r="FR64" i="8"/>
  <c r="FQ64" i="8"/>
  <c r="FP64" i="8"/>
  <c r="FO64" i="8"/>
  <c r="FN64" i="8"/>
  <c r="FM64" i="8"/>
  <c r="FL64" i="8"/>
  <c r="FK64" i="8"/>
  <c r="FJ64" i="8"/>
  <c r="FI64" i="8"/>
  <c r="FH64" i="8"/>
  <c r="IC64" i="8" s="1"/>
  <c r="FG64" i="8"/>
  <c r="IB64" i="8" s="1"/>
  <c r="FF64" i="8"/>
  <c r="IA64" i="8" s="1"/>
  <c r="FE64" i="8"/>
  <c r="FD64" i="8"/>
  <c r="FC64" i="8"/>
  <c r="FB64" i="8"/>
  <c r="FA64" i="8"/>
  <c r="EZ64" i="8"/>
  <c r="EY64" i="8"/>
  <c r="HX64" i="8" s="1"/>
  <c r="EX64" i="8"/>
  <c r="HW64" i="8" s="1"/>
  <c r="JK63" i="8"/>
  <c r="IJ63" i="8"/>
  <c r="HM63" i="8"/>
  <c r="JO63" i="8" s="1"/>
  <c r="HL63" i="8"/>
  <c r="JN63" i="8" s="1"/>
  <c r="HK63" i="8"/>
  <c r="JM63" i="8" s="1"/>
  <c r="HJ63" i="8"/>
  <c r="JL63" i="8" s="1"/>
  <c r="HI63" i="8"/>
  <c r="HH63" i="8"/>
  <c r="JJ63" i="8" s="1"/>
  <c r="HG63" i="8"/>
  <c r="JI63" i="8" s="1"/>
  <c r="HF63" i="8"/>
  <c r="JH63" i="8" s="1"/>
  <c r="HE63" i="8"/>
  <c r="JG63" i="8" s="1"/>
  <c r="HD63" i="8"/>
  <c r="JF63" i="8" s="1"/>
  <c r="HC63" i="8"/>
  <c r="JE63" i="8" s="1"/>
  <c r="HB63" i="8"/>
  <c r="JD63" i="8" s="1"/>
  <c r="HA63" i="8"/>
  <c r="JC63" i="8" s="1"/>
  <c r="GZ63" i="8"/>
  <c r="JB63" i="8" s="1"/>
  <c r="GY63" i="8"/>
  <c r="JA63" i="8" s="1"/>
  <c r="GX63" i="8"/>
  <c r="IZ63" i="8" s="1"/>
  <c r="GW63" i="8"/>
  <c r="GV63" i="8"/>
  <c r="GU63" i="8"/>
  <c r="GT63" i="8"/>
  <c r="GS63" i="8"/>
  <c r="GR63" i="8"/>
  <c r="IX63" i="8" s="1"/>
  <c r="GQ63" i="8"/>
  <c r="IW63" i="8" s="1"/>
  <c r="GP63" i="8"/>
  <c r="IV63" i="8" s="1"/>
  <c r="GO63" i="8"/>
  <c r="IU63" i="8" s="1"/>
  <c r="GN63" i="8"/>
  <c r="IT63" i="8" s="1"/>
  <c r="GM63" i="8"/>
  <c r="IS63" i="8" s="1"/>
  <c r="GL63" i="8"/>
  <c r="IR63" i="8" s="1"/>
  <c r="GK63" i="8"/>
  <c r="IQ63" i="8" s="1"/>
  <c r="GJ63" i="8"/>
  <c r="IP63" i="8" s="1"/>
  <c r="GI63" i="8"/>
  <c r="IO63" i="8" s="1"/>
  <c r="GH63" i="8"/>
  <c r="IN63" i="8" s="1"/>
  <c r="GG63" i="8"/>
  <c r="GF63" i="8"/>
  <c r="GE63" i="8"/>
  <c r="GD63" i="8"/>
  <c r="GC63" i="8"/>
  <c r="GB63" i="8"/>
  <c r="IL63" i="8" s="1"/>
  <c r="GA63" i="8"/>
  <c r="FZ63" i="8"/>
  <c r="FY63" i="8"/>
  <c r="FX63" i="8"/>
  <c r="FW63" i="8"/>
  <c r="II63" i="8" s="1"/>
  <c r="FV63" i="8"/>
  <c r="IH63" i="8" s="1"/>
  <c r="FU63" i="8"/>
  <c r="FT63" i="8"/>
  <c r="FS63" i="8"/>
  <c r="IG63" i="8" s="1"/>
  <c r="FR63" i="8"/>
  <c r="IF63" i="8" s="1"/>
  <c r="FQ63" i="8"/>
  <c r="FP63" i="8"/>
  <c r="FO63" i="8"/>
  <c r="FN63" i="8"/>
  <c r="FM63" i="8"/>
  <c r="FL63" i="8"/>
  <c r="FK63" i="8"/>
  <c r="FJ63" i="8"/>
  <c r="FI63" i="8"/>
  <c r="FH63" i="8"/>
  <c r="IC63" i="8" s="1"/>
  <c r="FG63" i="8"/>
  <c r="IB63" i="8" s="1"/>
  <c r="FF63" i="8"/>
  <c r="IA63" i="8" s="1"/>
  <c r="FE63" i="8"/>
  <c r="FD63" i="8"/>
  <c r="FC63" i="8"/>
  <c r="FB63" i="8"/>
  <c r="FA63" i="8"/>
  <c r="EZ63" i="8"/>
  <c r="EY63" i="8"/>
  <c r="HX63" i="8" s="1"/>
  <c r="EX63" i="8"/>
  <c r="HW63" i="8" s="1"/>
  <c r="JN62" i="8"/>
  <c r="IP62" i="8"/>
  <c r="HM62" i="8"/>
  <c r="JO62" i="8" s="1"/>
  <c r="HL62" i="8"/>
  <c r="HK62" i="8"/>
  <c r="JM62" i="8" s="1"/>
  <c r="HJ62" i="8"/>
  <c r="JL62" i="8" s="1"/>
  <c r="HI62" i="8"/>
  <c r="JK62" i="8" s="1"/>
  <c r="HH62" i="8"/>
  <c r="JJ62" i="8" s="1"/>
  <c r="HG62" i="8"/>
  <c r="JI62" i="8" s="1"/>
  <c r="HF62" i="8"/>
  <c r="JH62" i="8" s="1"/>
  <c r="HE62" i="8"/>
  <c r="JG62" i="8" s="1"/>
  <c r="HD62" i="8"/>
  <c r="JF62" i="8" s="1"/>
  <c r="HC62" i="8"/>
  <c r="JE62" i="8" s="1"/>
  <c r="HB62" i="8"/>
  <c r="JD62" i="8" s="1"/>
  <c r="HA62" i="8"/>
  <c r="JC62" i="8" s="1"/>
  <c r="GZ62" i="8"/>
  <c r="JB62" i="8" s="1"/>
  <c r="GY62" i="8"/>
  <c r="JA62" i="8" s="1"/>
  <c r="GX62" i="8"/>
  <c r="GW62" i="8"/>
  <c r="GV62" i="8"/>
  <c r="GU62" i="8"/>
  <c r="GT62" i="8"/>
  <c r="IY62" i="8" s="1"/>
  <c r="GS62" i="8"/>
  <c r="GR62" i="8"/>
  <c r="IX62" i="8" s="1"/>
  <c r="GQ62" i="8"/>
  <c r="IW62" i="8" s="1"/>
  <c r="GP62" i="8"/>
  <c r="IV62" i="8" s="1"/>
  <c r="GO62" i="8"/>
  <c r="IU62" i="8" s="1"/>
  <c r="GN62" i="8"/>
  <c r="IT62" i="8" s="1"/>
  <c r="GM62" i="8"/>
  <c r="IS62" i="8" s="1"/>
  <c r="GL62" i="8"/>
  <c r="IR62" i="8" s="1"/>
  <c r="GK62" i="8"/>
  <c r="IQ62" i="8" s="1"/>
  <c r="GJ62" i="8"/>
  <c r="GI62" i="8"/>
  <c r="IO62" i="8" s="1"/>
  <c r="GH62" i="8"/>
  <c r="GG62" i="8"/>
  <c r="GF62" i="8"/>
  <c r="GE62" i="8"/>
  <c r="GD62" i="8"/>
  <c r="GC62" i="8"/>
  <c r="GB62" i="8"/>
  <c r="IL62" i="8" s="1"/>
  <c r="GA62" i="8"/>
  <c r="FZ62" i="8"/>
  <c r="FY62" i="8"/>
  <c r="FX62" i="8"/>
  <c r="IJ62" i="8" s="1"/>
  <c r="FW62" i="8"/>
  <c r="II62" i="8" s="1"/>
  <c r="FV62" i="8"/>
  <c r="IH62" i="8" s="1"/>
  <c r="FU62" i="8"/>
  <c r="FT62" i="8"/>
  <c r="FS62" i="8"/>
  <c r="IG62" i="8" s="1"/>
  <c r="FR62" i="8"/>
  <c r="FQ62" i="8"/>
  <c r="FP62" i="8"/>
  <c r="FO62" i="8"/>
  <c r="FN62" i="8"/>
  <c r="FM62" i="8"/>
  <c r="FL62" i="8"/>
  <c r="FK62" i="8"/>
  <c r="FJ62" i="8"/>
  <c r="FI62" i="8"/>
  <c r="FH62" i="8"/>
  <c r="IC62" i="8" s="1"/>
  <c r="FG62" i="8"/>
  <c r="IB62" i="8" s="1"/>
  <c r="FF62" i="8"/>
  <c r="IA62" i="8" s="1"/>
  <c r="FE62" i="8"/>
  <c r="FD62" i="8"/>
  <c r="FC62" i="8"/>
  <c r="FB62" i="8"/>
  <c r="FA62" i="8"/>
  <c r="EZ62" i="8"/>
  <c r="EY62" i="8"/>
  <c r="HX62" i="8" s="1"/>
  <c r="EX62" i="8"/>
  <c r="HW62" i="8" s="1"/>
  <c r="IX61" i="8"/>
  <c r="HM61" i="8"/>
  <c r="JO61" i="8" s="1"/>
  <c r="HL61" i="8"/>
  <c r="JN61" i="8" s="1"/>
  <c r="HK61" i="8"/>
  <c r="JM61" i="8" s="1"/>
  <c r="HJ61" i="8"/>
  <c r="JL61" i="8" s="1"/>
  <c r="HI61" i="8"/>
  <c r="JK61" i="8" s="1"/>
  <c r="HH61" i="8"/>
  <c r="JJ61" i="8" s="1"/>
  <c r="HG61" i="8"/>
  <c r="JI61" i="8" s="1"/>
  <c r="HF61" i="8"/>
  <c r="JH61" i="8" s="1"/>
  <c r="HE61" i="8"/>
  <c r="JG61" i="8" s="1"/>
  <c r="HD61" i="8"/>
  <c r="JF61" i="8" s="1"/>
  <c r="HC61" i="8"/>
  <c r="JE61" i="8" s="1"/>
  <c r="HB61" i="8"/>
  <c r="JD61" i="8" s="1"/>
  <c r="HA61" i="8"/>
  <c r="JC61" i="8" s="1"/>
  <c r="GZ61" i="8"/>
  <c r="JB61" i="8" s="1"/>
  <c r="GY61" i="8"/>
  <c r="JA61" i="8" s="1"/>
  <c r="GX61" i="8"/>
  <c r="GW61" i="8"/>
  <c r="GV61" i="8"/>
  <c r="GU61" i="8"/>
  <c r="GT61" i="8"/>
  <c r="GS61" i="8"/>
  <c r="GR61" i="8"/>
  <c r="GQ61" i="8"/>
  <c r="IW61" i="8" s="1"/>
  <c r="GP61" i="8"/>
  <c r="IV61" i="8" s="1"/>
  <c r="GO61" i="8"/>
  <c r="IU61" i="8" s="1"/>
  <c r="GN61" i="8"/>
  <c r="IT61" i="8" s="1"/>
  <c r="GM61" i="8"/>
  <c r="IS61" i="8" s="1"/>
  <c r="GL61" i="8"/>
  <c r="IR61" i="8" s="1"/>
  <c r="GK61" i="8"/>
  <c r="IQ61" i="8" s="1"/>
  <c r="GJ61" i="8"/>
  <c r="IP61" i="8" s="1"/>
  <c r="GI61" i="8"/>
  <c r="IO61" i="8" s="1"/>
  <c r="GH61" i="8"/>
  <c r="GG61" i="8"/>
  <c r="GF61" i="8"/>
  <c r="GE61" i="8"/>
  <c r="GD61" i="8"/>
  <c r="GC61" i="8"/>
  <c r="GB61" i="8"/>
  <c r="IL61" i="8" s="1"/>
  <c r="GA61" i="8"/>
  <c r="FZ61" i="8"/>
  <c r="IK61" i="8" s="1"/>
  <c r="FY61" i="8"/>
  <c r="FX61" i="8"/>
  <c r="IJ61" i="8" s="1"/>
  <c r="FW61" i="8"/>
  <c r="FV61" i="8"/>
  <c r="IH61" i="8" s="1"/>
  <c r="FU61" i="8"/>
  <c r="FT61" i="8"/>
  <c r="FS61" i="8"/>
  <c r="FR61" i="8"/>
  <c r="FQ61" i="8"/>
  <c r="FP61" i="8"/>
  <c r="FO61" i="8"/>
  <c r="FN61" i="8"/>
  <c r="FM61" i="8"/>
  <c r="FL61" i="8"/>
  <c r="FK61" i="8"/>
  <c r="FJ61" i="8"/>
  <c r="FI61" i="8"/>
  <c r="FH61" i="8"/>
  <c r="IC61" i="8" s="1"/>
  <c r="FG61" i="8"/>
  <c r="IB61" i="8" s="1"/>
  <c r="FF61" i="8"/>
  <c r="IA61" i="8" s="1"/>
  <c r="FE61" i="8"/>
  <c r="FD61" i="8"/>
  <c r="FC61" i="8"/>
  <c r="FB61" i="8"/>
  <c r="FA61" i="8"/>
  <c r="EZ61" i="8"/>
  <c r="EY61" i="8"/>
  <c r="HX61" i="8" s="1"/>
  <c r="EX61" i="8"/>
  <c r="HW61" i="8" s="1"/>
  <c r="JE60" i="8"/>
  <c r="HM60" i="8"/>
  <c r="JO60" i="8" s="1"/>
  <c r="HL60" i="8"/>
  <c r="JN60" i="8" s="1"/>
  <c r="HK60" i="8"/>
  <c r="JM60" i="8" s="1"/>
  <c r="HJ60" i="8"/>
  <c r="JL60" i="8" s="1"/>
  <c r="HI60" i="8"/>
  <c r="JK60" i="8" s="1"/>
  <c r="HH60" i="8"/>
  <c r="JJ60" i="8" s="1"/>
  <c r="HG60" i="8"/>
  <c r="JI60" i="8" s="1"/>
  <c r="HF60" i="8"/>
  <c r="JH60" i="8" s="1"/>
  <c r="HE60" i="8"/>
  <c r="JG60" i="8" s="1"/>
  <c r="HD60" i="8"/>
  <c r="JF60" i="8" s="1"/>
  <c r="HC60" i="8"/>
  <c r="HB60" i="8"/>
  <c r="JD60" i="8" s="1"/>
  <c r="HA60" i="8"/>
  <c r="JC60" i="8" s="1"/>
  <c r="GZ60" i="8"/>
  <c r="JB60" i="8" s="1"/>
  <c r="GY60" i="8"/>
  <c r="JA60" i="8" s="1"/>
  <c r="GX60" i="8"/>
  <c r="GW60" i="8"/>
  <c r="GV60" i="8"/>
  <c r="GU60" i="8"/>
  <c r="GT60" i="8"/>
  <c r="GS60" i="8"/>
  <c r="IY60" i="8" s="1"/>
  <c r="GR60" i="8"/>
  <c r="IX60" i="8" s="1"/>
  <c r="GQ60" i="8"/>
  <c r="IW60" i="8" s="1"/>
  <c r="GP60" i="8"/>
  <c r="IV60" i="8" s="1"/>
  <c r="GO60" i="8"/>
  <c r="IU60" i="8" s="1"/>
  <c r="GN60" i="8"/>
  <c r="IT60" i="8" s="1"/>
  <c r="GM60" i="8"/>
  <c r="IS60" i="8" s="1"/>
  <c r="GL60" i="8"/>
  <c r="IR60" i="8" s="1"/>
  <c r="GK60" i="8"/>
  <c r="IQ60" i="8" s="1"/>
  <c r="GJ60" i="8"/>
  <c r="IP60" i="8" s="1"/>
  <c r="GI60" i="8"/>
  <c r="IO60" i="8" s="1"/>
  <c r="GH60" i="8"/>
  <c r="GG60" i="8"/>
  <c r="GF60" i="8"/>
  <c r="GE60" i="8"/>
  <c r="GD60" i="8"/>
  <c r="GC60" i="8"/>
  <c r="IM60" i="8" s="1"/>
  <c r="GB60" i="8"/>
  <c r="IL60" i="8" s="1"/>
  <c r="GA60" i="8"/>
  <c r="FZ60" i="8"/>
  <c r="IK60" i="8" s="1"/>
  <c r="FY60" i="8"/>
  <c r="FX60" i="8"/>
  <c r="IJ60" i="8" s="1"/>
  <c r="FW60" i="8"/>
  <c r="FV60" i="8"/>
  <c r="IH60" i="8" s="1"/>
  <c r="FU60" i="8"/>
  <c r="FT60" i="8"/>
  <c r="FS60" i="8"/>
  <c r="FR60" i="8"/>
  <c r="FQ60" i="8"/>
  <c r="FP60" i="8"/>
  <c r="FO60" i="8"/>
  <c r="FN60" i="8"/>
  <c r="FM60" i="8"/>
  <c r="IE60" i="8" s="1"/>
  <c r="FL60" i="8"/>
  <c r="FK60" i="8"/>
  <c r="FJ60" i="8"/>
  <c r="FI60" i="8"/>
  <c r="ID60" i="8" s="1"/>
  <c r="FH60" i="8"/>
  <c r="IC60" i="8" s="1"/>
  <c r="FG60" i="8"/>
  <c r="IB60" i="8" s="1"/>
  <c r="FF60" i="8"/>
  <c r="IA60" i="8" s="1"/>
  <c r="FE60" i="8"/>
  <c r="FD60" i="8"/>
  <c r="FC60" i="8"/>
  <c r="FB60" i="8"/>
  <c r="FA60" i="8"/>
  <c r="EZ60" i="8"/>
  <c r="EY60" i="8"/>
  <c r="HX60" i="8" s="1"/>
  <c r="EX60" i="8"/>
  <c r="HW60" i="8" s="1"/>
  <c r="JL59" i="8"/>
  <c r="HM59" i="8"/>
  <c r="JO59" i="8" s="1"/>
  <c r="HL59" i="8"/>
  <c r="JN59" i="8" s="1"/>
  <c r="HK59" i="8"/>
  <c r="JM59" i="8" s="1"/>
  <c r="HJ59" i="8"/>
  <c r="HI59" i="8"/>
  <c r="JK59" i="8" s="1"/>
  <c r="HH59" i="8"/>
  <c r="JJ59" i="8" s="1"/>
  <c r="HG59" i="8"/>
  <c r="JI59" i="8" s="1"/>
  <c r="HF59" i="8"/>
  <c r="JH59" i="8" s="1"/>
  <c r="HE59" i="8"/>
  <c r="JG59" i="8" s="1"/>
  <c r="HD59" i="8"/>
  <c r="JF59" i="8" s="1"/>
  <c r="HC59" i="8"/>
  <c r="JE59" i="8" s="1"/>
  <c r="HB59" i="8"/>
  <c r="JD59" i="8" s="1"/>
  <c r="HA59" i="8"/>
  <c r="JC59" i="8" s="1"/>
  <c r="GZ59" i="8"/>
  <c r="JB59" i="8" s="1"/>
  <c r="GY59" i="8"/>
  <c r="JA59" i="8" s="1"/>
  <c r="GX59" i="8"/>
  <c r="GW59" i="8"/>
  <c r="GV59" i="8"/>
  <c r="GU59" i="8"/>
  <c r="GT59" i="8"/>
  <c r="GS59" i="8"/>
  <c r="GR59" i="8"/>
  <c r="IX59" i="8" s="1"/>
  <c r="GQ59" i="8"/>
  <c r="IW59" i="8" s="1"/>
  <c r="GP59" i="8"/>
  <c r="IV59" i="8" s="1"/>
  <c r="GO59" i="8"/>
  <c r="IU59" i="8" s="1"/>
  <c r="GN59" i="8"/>
  <c r="IT59" i="8" s="1"/>
  <c r="GM59" i="8"/>
  <c r="IS59" i="8" s="1"/>
  <c r="GL59" i="8"/>
  <c r="IR59" i="8" s="1"/>
  <c r="GK59" i="8"/>
  <c r="IQ59" i="8" s="1"/>
  <c r="GJ59" i="8"/>
  <c r="IP59" i="8" s="1"/>
  <c r="GI59" i="8"/>
  <c r="IO59" i="8" s="1"/>
  <c r="GH59" i="8"/>
  <c r="GG59" i="8"/>
  <c r="GF59" i="8"/>
  <c r="GE59" i="8"/>
  <c r="GD59" i="8"/>
  <c r="GC59" i="8"/>
  <c r="GB59" i="8"/>
  <c r="IL59" i="8" s="1"/>
  <c r="GA59" i="8"/>
  <c r="IK59" i="8" s="1"/>
  <c r="FZ59" i="8"/>
  <c r="FY59" i="8"/>
  <c r="FX59" i="8"/>
  <c r="IJ59" i="8" s="1"/>
  <c r="FW59" i="8"/>
  <c r="FV59" i="8"/>
  <c r="IH59" i="8" s="1"/>
  <c r="FU59" i="8"/>
  <c r="FT59" i="8"/>
  <c r="FS59" i="8"/>
  <c r="FR59" i="8"/>
  <c r="FQ59" i="8"/>
  <c r="FP59" i="8"/>
  <c r="FO59" i="8"/>
  <c r="FN59" i="8"/>
  <c r="FM59" i="8"/>
  <c r="FL59" i="8"/>
  <c r="FK59" i="8"/>
  <c r="FJ59" i="8"/>
  <c r="FI59" i="8"/>
  <c r="FH59" i="8"/>
  <c r="IC59" i="8" s="1"/>
  <c r="FG59" i="8"/>
  <c r="IB59" i="8" s="1"/>
  <c r="FF59" i="8"/>
  <c r="IA59" i="8" s="1"/>
  <c r="FE59" i="8"/>
  <c r="FD59" i="8"/>
  <c r="FC59" i="8"/>
  <c r="FB59" i="8"/>
  <c r="FA59" i="8"/>
  <c r="EZ59" i="8"/>
  <c r="EY59" i="8"/>
  <c r="HX59" i="8" s="1"/>
  <c r="EX59" i="8"/>
  <c r="HW59" i="8" s="1"/>
  <c r="HM58" i="8"/>
  <c r="JO58" i="8" s="1"/>
  <c r="HL58" i="8"/>
  <c r="JN58" i="8" s="1"/>
  <c r="HK58" i="8"/>
  <c r="JM58" i="8" s="1"/>
  <c r="HJ58" i="8"/>
  <c r="JL58" i="8" s="1"/>
  <c r="HI58" i="8"/>
  <c r="JK58" i="8" s="1"/>
  <c r="HH58" i="8"/>
  <c r="JJ58" i="8" s="1"/>
  <c r="HG58" i="8"/>
  <c r="JI58" i="8" s="1"/>
  <c r="HF58" i="8"/>
  <c r="JH58" i="8" s="1"/>
  <c r="HE58" i="8"/>
  <c r="JG58" i="8" s="1"/>
  <c r="HD58" i="8"/>
  <c r="JF58" i="8" s="1"/>
  <c r="HC58" i="8"/>
  <c r="JE58" i="8" s="1"/>
  <c r="HB58" i="8"/>
  <c r="JD58" i="8" s="1"/>
  <c r="HA58" i="8"/>
  <c r="JC58" i="8" s="1"/>
  <c r="GZ58" i="8"/>
  <c r="JB58" i="8" s="1"/>
  <c r="GY58" i="8"/>
  <c r="JA58" i="8" s="1"/>
  <c r="GX58" i="8"/>
  <c r="GW58" i="8"/>
  <c r="GV58" i="8"/>
  <c r="GU58" i="8"/>
  <c r="GT58" i="8"/>
  <c r="GS58" i="8"/>
  <c r="GR58" i="8"/>
  <c r="IX58" i="8" s="1"/>
  <c r="GQ58" i="8"/>
  <c r="IW58" i="8" s="1"/>
  <c r="GP58" i="8"/>
  <c r="IV58" i="8" s="1"/>
  <c r="GO58" i="8"/>
  <c r="IU58" i="8" s="1"/>
  <c r="GN58" i="8"/>
  <c r="IT58" i="8" s="1"/>
  <c r="GM58" i="8"/>
  <c r="IS58" i="8" s="1"/>
  <c r="GL58" i="8"/>
  <c r="IR58" i="8" s="1"/>
  <c r="GK58" i="8"/>
  <c r="IQ58" i="8" s="1"/>
  <c r="GJ58" i="8"/>
  <c r="IP58" i="8" s="1"/>
  <c r="GI58" i="8"/>
  <c r="IO58" i="8" s="1"/>
  <c r="GH58" i="8"/>
  <c r="GG58" i="8"/>
  <c r="GF58" i="8"/>
  <c r="GE58" i="8"/>
  <c r="GD58" i="8"/>
  <c r="GC58" i="8"/>
  <c r="GB58" i="8"/>
  <c r="IL58" i="8" s="1"/>
  <c r="GA58" i="8"/>
  <c r="FZ58" i="8"/>
  <c r="FY58" i="8"/>
  <c r="FX58" i="8"/>
  <c r="IJ58" i="8" s="1"/>
  <c r="FW58" i="8"/>
  <c r="FV58" i="8"/>
  <c r="IH58" i="8" s="1"/>
  <c r="FU58" i="8"/>
  <c r="FT58" i="8"/>
  <c r="FS58" i="8"/>
  <c r="FR58" i="8"/>
  <c r="FQ58" i="8"/>
  <c r="FP58" i="8"/>
  <c r="FO58" i="8"/>
  <c r="FN58" i="8"/>
  <c r="FM58" i="8"/>
  <c r="FL58" i="8"/>
  <c r="FK58" i="8"/>
  <c r="FJ58" i="8"/>
  <c r="FI58" i="8"/>
  <c r="FH58" i="8"/>
  <c r="IC58" i="8" s="1"/>
  <c r="FG58" i="8"/>
  <c r="IB58" i="8" s="1"/>
  <c r="FF58" i="8"/>
  <c r="IA58" i="8" s="1"/>
  <c r="FE58" i="8"/>
  <c r="FD58" i="8"/>
  <c r="FC58" i="8"/>
  <c r="FB58" i="8"/>
  <c r="FA58" i="8"/>
  <c r="EZ58" i="8"/>
  <c r="EY58" i="8"/>
  <c r="HX58" i="8" s="1"/>
  <c r="EX58" i="8"/>
  <c r="HW58" i="8" s="1"/>
  <c r="JN57" i="8"/>
  <c r="IX57" i="8"/>
  <c r="HM57" i="8"/>
  <c r="JO57" i="8" s="1"/>
  <c r="HL57" i="8"/>
  <c r="HK57" i="8"/>
  <c r="JM57" i="8" s="1"/>
  <c r="HJ57" i="8"/>
  <c r="JL57" i="8" s="1"/>
  <c r="HI57" i="8"/>
  <c r="JK57" i="8" s="1"/>
  <c r="HH57" i="8"/>
  <c r="JJ57" i="8" s="1"/>
  <c r="HG57" i="8"/>
  <c r="JI57" i="8" s="1"/>
  <c r="HF57" i="8"/>
  <c r="JH57" i="8" s="1"/>
  <c r="HE57" i="8"/>
  <c r="JG57" i="8" s="1"/>
  <c r="HD57" i="8"/>
  <c r="JF57" i="8" s="1"/>
  <c r="HC57" i="8"/>
  <c r="JE57" i="8" s="1"/>
  <c r="HB57" i="8"/>
  <c r="JD57" i="8" s="1"/>
  <c r="HA57" i="8"/>
  <c r="JC57" i="8" s="1"/>
  <c r="GZ57" i="8"/>
  <c r="JB57" i="8" s="1"/>
  <c r="GY57" i="8"/>
  <c r="JA57" i="8" s="1"/>
  <c r="GX57" i="8"/>
  <c r="GW57" i="8"/>
  <c r="GV57" i="8"/>
  <c r="GU57" i="8"/>
  <c r="GT57" i="8"/>
  <c r="GS57" i="8"/>
  <c r="GR57" i="8"/>
  <c r="GQ57" i="8"/>
  <c r="IW57" i="8" s="1"/>
  <c r="GP57" i="8"/>
  <c r="IV57" i="8" s="1"/>
  <c r="GO57" i="8"/>
  <c r="IU57" i="8" s="1"/>
  <c r="GN57" i="8"/>
  <c r="IT57" i="8" s="1"/>
  <c r="GM57" i="8"/>
  <c r="IS57" i="8" s="1"/>
  <c r="GL57" i="8"/>
  <c r="IR57" i="8" s="1"/>
  <c r="GK57" i="8"/>
  <c r="IQ57" i="8" s="1"/>
  <c r="GJ57" i="8"/>
  <c r="IP57" i="8" s="1"/>
  <c r="GI57" i="8"/>
  <c r="IO57" i="8" s="1"/>
  <c r="GH57" i="8"/>
  <c r="GG57" i="8"/>
  <c r="GF57" i="8"/>
  <c r="GE57" i="8"/>
  <c r="GD57" i="8"/>
  <c r="GC57" i="8"/>
  <c r="GB57" i="8"/>
  <c r="IL57" i="8" s="1"/>
  <c r="GA57" i="8"/>
  <c r="FZ57" i="8"/>
  <c r="FY57" i="8"/>
  <c r="FX57" i="8"/>
  <c r="IJ57" i="8" s="1"/>
  <c r="FW57" i="8"/>
  <c r="FV57" i="8"/>
  <c r="IH57" i="8" s="1"/>
  <c r="FU57" i="8"/>
  <c r="FT57" i="8"/>
  <c r="FS57" i="8"/>
  <c r="FR57" i="8"/>
  <c r="FQ57" i="8"/>
  <c r="FP57" i="8"/>
  <c r="FO57" i="8"/>
  <c r="FN57" i="8"/>
  <c r="FM57" i="8"/>
  <c r="FL57" i="8"/>
  <c r="FK57" i="8"/>
  <c r="FJ57" i="8"/>
  <c r="FI57" i="8"/>
  <c r="FH57" i="8"/>
  <c r="IC57" i="8" s="1"/>
  <c r="FG57" i="8"/>
  <c r="IB57" i="8" s="1"/>
  <c r="FF57" i="8"/>
  <c r="IA57" i="8" s="1"/>
  <c r="FE57" i="8"/>
  <c r="FD57" i="8"/>
  <c r="FC57" i="8"/>
  <c r="FB57" i="8"/>
  <c r="FA57" i="8"/>
  <c r="EZ57" i="8"/>
  <c r="EY57" i="8"/>
  <c r="HX57" i="8" s="1"/>
  <c r="EX57" i="8"/>
  <c r="HW57" i="8" s="1"/>
  <c r="JM56" i="8"/>
  <c r="HM56" i="8"/>
  <c r="JO56" i="8" s="1"/>
  <c r="HL56" i="8"/>
  <c r="JN56" i="8" s="1"/>
  <c r="HK56" i="8"/>
  <c r="HJ56" i="8"/>
  <c r="JL56" i="8" s="1"/>
  <c r="HI56" i="8"/>
  <c r="JK56" i="8" s="1"/>
  <c r="HH56" i="8"/>
  <c r="JJ56" i="8" s="1"/>
  <c r="HG56" i="8"/>
  <c r="JI56" i="8" s="1"/>
  <c r="HF56" i="8"/>
  <c r="JH56" i="8" s="1"/>
  <c r="HE56" i="8"/>
  <c r="JG56" i="8" s="1"/>
  <c r="HD56" i="8"/>
  <c r="JF56" i="8" s="1"/>
  <c r="HC56" i="8"/>
  <c r="JE56" i="8" s="1"/>
  <c r="HB56" i="8"/>
  <c r="JD56" i="8" s="1"/>
  <c r="HA56" i="8"/>
  <c r="JC56" i="8" s="1"/>
  <c r="GZ56" i="8"/>
  <c r="JB56" i="8" s="1"/>
  <c r="GY56" i="8"/>
  <c r="JA56" i="8" s="1"/>
  <c r="GX56" i="8"/>
  <c r="GW56" i="8"/>
  <c r="GV56" i="8"/>
  <c r="GU56" i="8"/>
  <c r="GT56" i="8"/>
  <c r="GS56" i="8"/>
  <c r="GR56" i="8"/>
  <c r="IX56" i="8" s="1"/>
  <c r="GQ56" i="8"/>
  <c r="IW56" i="8" s="1"/>
  <c r="GP56" i="8"/>
  <c r="IV56" i="8" s="1"/>
  <c r="GO56" i="8"/>
  <c r="IU56" i="8" s="1"/>
  <c r="GN56" i="8"/>
  <c r="IT56" i="8" s="1"/>
  <c r="GM56" i="8"/>
  <c r="IS56" i="8" s="1"/>
  <c r="GL56" i="8"/>
  <c r="IR56" i="8" s="1"/>
  <c r="GK56" i="8"/>
  <c r="IQ56" i="8" s="1"/>
  <c r="GJ56" i="8"/>
  <c r="IP56" i="8" s="1"/>
  <c r="GI56" i="8"/>
  <c r="IO56" i="8" s="1"/>
  <c r="GH56" i="8"/>
  <c r="GG56" i="8"/>
  <c r="GF56" i="8"/>
  <c r="GE56" i="8"/>
  <c r="GD56" i="8"/>
  <c r="GC56" i="8"/>
  <c r="GB56" i="8"/>
  <c r="IL56" i="8" s="1"/>
  <c r="GA56" i="8"/>
  <c r="FZ56" i="8"/>
  <c r="FY56" i="8"/>
  <c r="FX56" i="8"/>
  <c r="IJ56" i="8" s="1"/>
  <c r="FW56" i="8"/>
  <c r="FV56" i="8"/>
  <c r="IH56" i="8" s="1"/>
  <c r="FU56" i="8"/>
  <c r="FT56" i="8"/>
  <c r="FS56" i="8"/>
  <c r="FR56" i="8"/>
  <c r="FQ56" i="8"/>
  <c r="FP56" i="8"/>
  <c r="FO56" i="8"/>
  <c r="FN56" i="8"/>
  <c r="FM56" i="8"/>
  <c r="FL56" i="8"/>
  <c r="FK56" i="8"/>
  <c r="FJ56" i="8"/>
  <c r="FI56" i="8"/>
  <c r="FH56" i="8"/>
  <c r="IC56" i="8" s="1"/>
  <c r="FG56" i="8"/>
  <c r="IB56" i="8" s="1"/>
  <c r="FF56" i="8"/>
  <c r="IA56" i="8" s="1"/>
  <c r="FE56" i="8"/>
  <c r="FD56" i="8"/>
  <c r="FC56" i="8"/>
  <c r="FB56" i="8"/>
  <c r="FA56" i="8"/>
  <c r="EZ56" i="8"/>
  <c r="EY56" i="8"/>
  <c r="HX56" i="8" s="1"/>
  <c r="EX56" i="8"/>
  <c r="HW56" i="8" s="1"/>
  <c r="HM55" i="8"/>
  <c r="JO55" i="8" s="1"/>
  <c r="HL55" i="8"/>
  <c r="JN55" i="8" s="1"/>
  <c r="HK55" i="8"/>
  <c r="JM55" i="8" s="1"/>
  <c r="HJ55" i="8"/>
  <c r="JL55" i="8" s="1"/>
  <c r="HI55" i="8"/>
  <c r="JK55" i="8" s="1"/>
  <c r="HH55" i="8"/>
  <c r="JJ55" i="8" s="1"/>
  <c r="HG55" i="8"/>
  <c r="JI55" i="8" s="1"/>
  <c r="HF55" i="8"/>
  <c r="JH55" i="8" s="1"/>
  <c r="HE55" i="8"/>
  <c r="JG55" i="8" s="1"/>
  <c r="HD55" i="8"/>
  <c r="JF55" i="8" s="1"/>
  <c r="HC55" i="8"/>
  <c r="JE55" i="8" s="1"/>
  <c r="HB55" i="8"/>
  <c r="JD55" i="8" s="1"/>
  <c r="HA55" i="8"/>
  <c r="JC55" i="8" s="1"/>
  <c r="GZ55" i="8"/>
  <c r="JB55" i="8" s="1"/>
  <c r="GY55" i="8"/>
  <c r="JA55" i="8" s="1"/>
  <c r="GX55" i="8"/>
  <c r="GW55" i="8"/>
  <c r="GV55" i="8"/>
  <c r="GU55" i="8"/>
  <c r="GT55" i="8"/>
  <c r="GS55" i="8"/>
  <c r="GR55" i="8"/>
  <c r="IX55" i="8" s="1"/>
  <c r="GQ55" i="8"/>
  <c r="IW55" i="8" s="1"/>
  <c r="GP55" i="8"/>
  <c r="IV55" i="8" s="1"/>
  <c r="GO55" i="8"/>
  <c r="IU55" i="8" s="1"/>
  <c r="GN55" i="8"/>
  <c r="IT55" i="8" s="1"/>
  <c r="GM55" i="8"/>
  <c r="IS55" i="8" s="1"/>
  <c r="GL55" i="8"/>
  <c r="IR55" i="8" s="1"/>
  <c r="GK55" i="8"/>
  <c r="IQ55" i="8" s="1"/>
  <c r="GJ55" i="8"/>
  <c r="IP55" i="8" s="1"/>
  <c r="GI55" i="8"/>
  <c r="IO55" i="8" s="1"/>
  <c r="GH55" i="8"/>
  <c r="GG55" i="8"/>
  <c r="GF55" i="8"/>
  <c r="GE55" i="8"/>
  <c r="GD55" i="8"/>
  <c r="GC55" i="8"/>
  <c r="GB55" i="8"/>
  <c r="IL55" i="8" s="1"/>
  <c r="GA55" i="8"/>
  <c r="FZ55" i="8"/>
  <c r="FY55" i="8"/>
  <c r="FX55" i="8"/>
  <c r="IJ55" i="8" s="1"/>
  <c r="FW55" i="8"/>
  <c r="FV55" i="8"/>
  <c r="IH55" i="8" s="1"/>
  <c r="FU55" i="8"/>
  <c r="FT55" i="8"/>
  <c r="FS55" i="8"/>
  <c r="FR55" i="8"/>
  <c r="FQ55" i="8"/>
  <c r="FP55" i="8"/>
  <c r="FO55" i="8"/>
  <c r="FN55" i="8"/>
  <c r="FM55" i="8"/>
  <c r="FL55" i="8"/>
  <c r="FK55" i="8"/>
  <c r="FJ55" i="8"/>
  <c r="FI55" i="8"/>
  <c r="FH55" i="8"/>
  <c r="IC55" i="8" s="1"/>
  <c r="FG55" i="8"/>
  <c r="IB55" i="8" s="1"/>
  <c r="FF55" i="8"/>
  <c r="IA55" i="8" s="1"/>
  <c r="FE55" i="8"/>
  <c r="FD55" i="8"/>
  <c r="FC55" i="8"/>
  <c r="FB55" i="8"/>
  <c r="FA55" i="8"/>
  <c r="EZ55" i="8"/>
  <c r="EY55" i="8"/>
  <c r="HX55" i="8" s="1"/>
  <c r="EX55" i="8"/>
  <c r="HW55" i="8" s="1"/>
  <c r="HM54" i="8"/>
  <c r="JO54" i="8" s="1"/>
  <c r="HL54" i="8"/>
  <c r="JN54" i="8" s="1"/>
  <c r="HK54" i="8"/>
  <c r="JM54" i="8" s="1"/>
  <c r="HJ54" i="8"/>
  <c r="JL54" i="8" s="1"/>
  <c r="HI54" i="8"/>
  <c r="JK54" i="8" s="1"/>
  <c r="HH54" i="8"/>
  <c r="JJ54" i="8" s="1"/>
  <c r="HG54" i="8"/>
  <c r="JI54" i="8" s="1"/>
  <c r="HF54" i="8"/>
  <c r="JH54" i="8" s="1"/>
  <c r="HE54" i="8"/>
  <c r="JG54" i="8" s="1"/>
  <c r="HD54" i="8"/>
  <c r="JF54" i="8" s="1"/>
  <c r="HC54" i="8"/>
  <c r="JE54" i="8" s="1"/>
  <c r="HB54" i="8"/>
  <c r="JD54" i="8" s="1"/>
  <c r="HA54" i="8"/>
  <c r="JC54" i="8" s="1"/>
  <c r="GZ54" i="8"/>
  <c r="JB54" i="8" s="1"/>
  <c r="GY54" i="8"/>
  <c r="JA54" i="8" s="1"/>
  <c r="GX54" i="8"/>
  <c r="GW54" i="8"/>
  <c r="GV54" i="8"/>
  <c r="GU54" i="8"/>
  <c r="GT54" i="8"/>
  <c r="GS54" i="8"/>
  <c r="GR54" i="8"/>
  <c r="IX54" i="8" s="1"/>
  <c r="GQ54" i="8"/>
  <c r="IW54" i="8" s="1"/>
  <c r="GP54" i="8"/>
  <c r="IV54" i="8" s="1"/>
  <c r="GO54" i="8"/>
  <c r="IU54" i="8" s="1"/>
  <c r="GN54" i="8"/>
  <c r="IT54" i="8" s="1"/>
  <c r="GM54" i="8"/>
  <c r="IS54" i="8" s="1"/>
  <c r="GL54" i="8"/>
  <c r="IR54" i="8" s="1"/>
  <c r="GK54" i="8"/>
  <c r="IQ54" i="8" s="1"/>
  <c r="GJ54" i="8"/>
  <c r="IP54" i="8" s="1"/>
  <c r="GI54" i="8"/>
  <c r="IO54" i="8" s="1"/>
  <c r="GH54" i="8"/>
  <c r="GG54" i="8"/>
  <c r="GF54" i="8"/>
  <c r="GE54" i="8"/>
  <c r="GD54" i="8"/>
  <c r="GC54" i="8"/>
  <c r="GB54" i="8"/>
  <c r="IL54" i="8" s="1"/>
  <c r="GA54" i="8"/>
  <c r="FZ54" i="8"/>
  <c r="FY54" i="8"/>
  <c r="FX54" i="8"/>
  <c r="IJ54" i="8" s="1"/>
  <c r="FW54" i="8"/>
  <c r="FV54" i="8"/>
  <c r="IH54" i="8" s="1"/>
  <c r="FU54" i="8"/>
  <c r="FT54" i="8"/>
  <c r="FS54" i="8"/>
  <c r="FR54" i="8"/>
  <c r="FQ54" i="8"/>
  <c r="FP54" i="8"/>
  <c r="FO54" i="8"/>
  <c r="FN54" i="8"/>
  <c r="FM54" i="8"/>
  <c r="FL54" i="8"/>
  <c r="FK54" i="8"/>
  <c r="FJ54" i="8"/>
  <c r="FI54" i="8"/>
  <c r="FH54" i="8"/>
  <c r="IC54" i="8" s="1"/>
  <c r="FG54" i="8"/>
  <c r="IB54" i="8" s="1"/>
  <c r="FF54" i="8"/>
  <c r="IA54" i="8" s="1"/>
  <c r="FE54" i="8"/>
  <c r="FD54" i="8"/>
  <c r="FC54" i="8"/>
  <c r="FB54" i="8"/>
  <c r="FA54" i="8"/>
  <c r="EZ54" i="8"/>
  <c r="EY54" i="8"/>
  <c r="HX54" i="8" s="1"/>
  <c r="EX54" i="8"/>
  <c r="HW54" i="8" s="1"/>
  <c r="JN53" i="8"/>
  <c r="JH53" i="8"/>
  <c r="JF53" i="8"/>
  <c r="JB53" i="8"/>
  <c r="IR53" i="8"/>
  <c r="HM53" i="8"/>
  <c r="JO53" i="8" s="1"/>
  <c r="HL53" i="8"/>
  <c r="HK53" i="8"/>
  <c r="JM53" i="8" s="1"/>
  <c r="HJ53" i="8"/>
  <c r="JL53" i="8" s="1"/>
  <c r="HI53" i="8"/>
  <c r="JK53" i="8" s="1"/>
  <c r="HH53" i="8"/>
  <c r="JJ53" i="8" s="1"/>
  <c r="HG53" i="8"/>
  <c r="JI53" i="8" s="1"/>
  <c r="HF53" i="8"/>
  <c r="HE53" i="8"/>
  <c r="JG53" i="8" s="1"/>
  <c r="HD53" i="8"/>
  <c r="HC53" i="8"/>
  <c r="JE53" i="8" s="1"/>
  <c r="HB53" i="8"/>
  <c r="JD53" i="8" s="1"/>
  <c r="HA53" i="8"/>
  <c r="JC53" i="8" s="1"/>
  <c r="GZ53" i="8"/>
  <c r="GY53" i="8"/>
  <c r="JA53" i="8" s="1"/>
  <c r="GX53" i="8"/>
  <c r="GW53" i="8"/>
  <c r="IZ53" i="8" s="1"/>
  <c r="GV53" i="8"/>
  <c r="GU53" i="8"/>
  <c r="GT53" i="8"/>
  <c r="GS53" i="8"/>
  <c r="GR53" i="8"/>
  <c r="IX53" i="8" s="1"/>
  <c r="GQ53" i="8"/>
  <c r="IW53" i="8" s="1"/>
  <c r="GP53" i="8"/>
  <c r="IV53" i="8" s="1"/>
  <c r="GO53" i="8"/>
  <c r="IU53" i="8" s="1"/>
  <c r="GN53" i="8"/>
  <c r="IT53" i="8" s="1"/>
  <c r="GM53" i="8"/>
  <c r="IS53" i="8" s="1"/>
  <c r="GL53" i="8"/>
  <c r="GK53" i="8"/>
  <c r="IQ53" i="8" s="1"/>
  <c r="GJ53" i="8"/>
  <c r="IP53" i="8" s="1"/>
  <c r="GI53" i="8"/>
  <c r="IO53" i="8" s="1"/>
  <c r="GH53" i="8"/>
  <c r="GG53" i="8"/>
  <c r="IN53" i="8" s="1"/>
  <c r="GF53" i="8"/>
  <c r="GE53" i="8"/>
  <c r="GD53" i="8"/>
  <c r="GC53" i="8"/>
  <c r="GB53" i="8"/>
  <c r="IL53" i="8" s="1"/>
  <c r="GA53" i="8"/>
  <c r="FZ53" i="8"/>
  <c r="FY53" i="8"/>
  <c r="FX53" i="8"/>
  <c r="IJ53" i="8" s="1"/>
  <c r="FW53" i="8"/>
  <c r="FV53" i="8"/>
  <c r="IH53" i="8" s="1"/>
  <c r="FU53" i="8"/>
  <c r="FT53" i="8"/>
  <c r="FS53" i="8"/>
  <c r="FR53" i="8"/>
  <c r="FQ53" i="8"/>
  <c r="IF53" i="8" s="1"/>
  <c r="FP53" i="8"/>
  <c r="FO53" i="8"/>
  <c r="FN53" i="8"/>
  <c r="FM53" i="8"/>
  <c r="FL53" i="8"/>
  <c r="FK53" i="8"/>
  <c r="FJ53" i="8"/>
  <c r="FI53" i="8"/>
  <c r="FH53" i="8"/>
  <c r="IC53" i="8" s="1"/>
  <c r="FG53" i="8"/>
  <c r="IB53" i="8" s="1"/>
  <c r="FF53" i="8"/>
  <c r="IA53" i="8" s="1"/>
  <c r="FE53" i="8"/>
  <c r="FD53" i="8"/>
  <c r="FC53" i="8"/>
  <c r="FB53" i="8"/>
  <c r="FA53" i="8"/>
  <c r="EZ53" i="8"/>
  <c r="EY53" i="8"/>
  <c r="HX53" i="8" s="1"/>
  <c r="EX53" i="8"/>
  <c r="HW53" i="8" s="1"/>
  <c r="JG52" i="8"/>
  <c r="HM52" i="8"/>
  <c r="JO52" i="8" s="1"/>
  <c r="HL52" i="8"/>
  <c r="JN52" i="8" s="1"/>
  <c r="HK52" i="8"/>
  <c r="JM52" i="8" s="1"/>
  <c r="HJ52" i="8"/>
  <c r="JL52" i="8" s="1"/>
  <c r="HI52" i="8"/>
  <c r="JK52" i="8" s="1"/>
  <c r="HH52" i="8"/>
  <c r="JJ52" i="8" s="1"/>
  <c r="HG52" i="8"/>
  <c r="JI52" i="8" s="1"/>
  <c r="HF52" i="8"/>
  <c r="JH52" i="8" s="1"/>
  <c r="HE52" i="8"/>
  <c r="HD52" i="8"/>
  <c r="JF52" i="8" s="1"/>
  <c r="HC52" i="8"/>
  <c r="JE52" i="8" s="1"/>
  <c r="HB52" i="8"/>
  <c r="JD52" i="8" s="1"/>
  <c r="HA52" i="8"/>
  <c r="JC52" i="8" s="1"/>
  <c r="GZ52" i="8"/>
  <c r="JB52" i="8" s="1"/>
  <c r="GY52" i="8"/>
  <c r="JA52" i="8" s="1"/>
  <c r="GX52" i="8"/>
  <c r="GW52" i="8"/>
  <c r="GV52" i="8"/>
  <c r="GU52" i="8"/>
  <c r="GT52" i="8"/>
  <c r="GS52" i="8"/>
  <c r="GR52" i="8"/>
  <c r="IX52" i="8" s="1"/>
  <c r="GQ52" i="8"/>
  <c r="IW52" i="8" s="1"/>
  <c r="GP52" i="8"/>
  <c r="IV52" i="8" s="1"/>
  <c r="GO52" i="8"/>
  <c r="IU52" i="8" s="1"/>
  <c r="GN52" i="8"/>
  <c r="IT52" i="8" s="1"/>
  <c r="GM52" i="8"/>
  <c r="IS52" i="8" s="1"/>
  <c r="GL52" i="8"/>
  <c r="IR52" i="8" s="1"/>
  <c r="GK52" i="8"/>
  <c r="IQ52" i="8" s="1"/>
  <c r="GJ52" i="8"/>
  <c r="IP52" i="8" s="1"/>
  <c r="GI52" i="8"/>
  <c r="IO52" i="8" s="1"/>
  <c r="GH52" i="8"/>
  <c r="GG52" i="8"/>
  <c r="GF52" i="8"/>
  <c r="GE52" i="8"/>
  <c r="GD52" i="8"/>
  <c r="GC52" i="8"/>
  <c r="GB52" i="8"/>
  <c r="IL52" i="8" s="1"/>
  <c r="GA52" i="8"/>
  <c r="FZ52" i="8"/>
  <c r="FY52" i="8"/>
  <c r="FX52" i="8"/>
  <c r="IJ52" i="8" s="1"/>
  <c r="FW52" i="8"/>
  <c r="II52" i="8" s="1"/>
  <c r="FV52" i="8"/>
  <c r="IH52" i="8" s="1"/>
  <c r="FU52" i="8"/>
  <c r="FT52" i="8"/>
  <c r="FS52" i="8"/>
  <c r="FR52" i="8"/>
  <c r="FQ52" i="8"/>
  <c r="FP52" i="8"/>
  <c r="FO52" i="8"/>
  <c r="FN52" i="8"/>
  <c r="FM52" i="8"/>
  <c r="FL52" i="8"/>
  <c r="FK52" i="8"/>
  <c r="FJ52" i="8"/>
  <c r="FI52" i="8"/>
  <c r="FH52" i="8"/>
  <c r="IC52" i="8" s="1"/>
  <c r="FG52" i="8"/>
  <c r="IB52" i="8" s="1"/>
  <c r="FF52" i="8"/>
  <c r="IA52" i="8" s="1"/>
  <c r="FE52" i="8"/>
  <c r="FD52" i="8"/>
  <c r="FC52" i="8"/>
  <c r="FB52" i="8"/>
  <c r="FA52" i="8"/>
  <c r="EZ52" i="8"/>
  <c r="EY52" i="8"/>
  <c r="HX52" i="8" s="1"/>
  <c r="EX52" i="8"/>
  <c r="HW52" i="8" s="1"/>
  <c r="JJ51" i="8"/>
  <c r="IX51" i="8"/>
  <c r="HM51" i="8"/>
  <c r="JO51" i="8" s="1"/>
  <c r="HL51" i="8"/>
  <c r="JN51" i="8" s="1"/>
  <c r="HK51" i="8"/>
  <c r="JM51" i="8" s="1"/>
  <c r="HJ51" i="8"/>
  <c r="JL51" i="8" s="1"/>
  <c r="HI51" i="8"/>
  <c r="JK51" i="8" s="1"/>
  <c r="HH51" i="8"/>
  <c r="HG51" i="8"/>
  <c r="JI51" i="8" s="1"/>
  <c r="HF51" i="8"/>
  <c r="JH51" i="8" s="1"/>
  <c r="HE51" i="8"/>
  <c r="JG51" i="8" s="1"/>
  <c r="HD51" i="8"/>
  <c r="JF51" i="8" s="1"/>
  <c r="HC51" i="8"/>
  <c r="JE51" i="8" s="1"/>
  <c r="HB51" i="8"/>
  <c r="JD51" i="8" s="1"/>
  <c r="HA51" i="8"/>
  <c r="JC51" i="8" s="1"/>
  <c r="GZ51" i="8"/>
  <c r="JB51" i="8" s="1"/>
  <c r="GY51" i="8"/>
  <c r="JA51" i="8" s="1"/>
  <c r="GX51" i="8"/>
  <c r="GW51" i="8"/>
  <c r="GV51" i="8"/>
  <c r="GU51" i="8"/>
  <c r="GT51" i="8"/>
  <c r="GS51" i="8"/>
  <c r="GR51" i="8"/>
  <c r="GQ51" i="8"/>
  <c r="IW51" i="8" s="1"/>
  <c r="GP51" i="8"/>
  <c r="IV51" i="8" s="1"/>
  <c r="GO51" i="8"/>
  <c r="IU51" i="8" s="1"/>
  <c r="GN51" i="8"/>
  <c r="IT51" i="8" s="1"/>
  <c r="GM51" i="8"/>
  <c r="IS51" i="8" s="1"/>
  <c r="GL51" i="8"/>
  <c r="IR51" i="8" s="1"/>
  <c r="GK51" i="8"/>
  <c r="IQ51" i="8" s="1"/>
  <c r="GJ51" i="8"/>
  <c r="IP51" i="8" s="1"/>
  <c r="GI51" i="8"/>
  <c r="IO51" i="8" s="1"/>
  <c r="GH51" i="8"/>
  <c r="GG51" i="8"/>
  <c r="GF51" i="8"/>
  <c r="GE51" i="8"/>
  <c r="GD51" i="8"/>
  <c r="GC51" i="8"/>
  <c r="GB51" i="8"/>
  <c r="IL51" i="8" s="1"/>
  <c r="GA51" i="8"/>
  <c r="FZ51" i="8"/>
  <c r="FY51" i="8"/>
  <c r="FX51" i="8"/>
  <c r="IJ51" i="8" s="1"/>
  <c r="FW51" i="8"/>
  <c r="FV51" i="8"/>
  <c r="IH51" i="8" s="1"/>
  <c r="FU51" i="8"/>
  <c r="FT51" i="8"/>
  <c r="FS51" i="8"/>
  <c r="FR51" i="8"/>
  <c r="FQ51" i="8"/>
  <c r="FP51" i="8"/>
  <c r="FO51" i="8"/>
  <c r="FN51" i="8"/>
  <c r="FM51" i="8"/>
  <c r="FL51" i="8"/>
  <c r="FK51" i="8"/>
  <c r="FJ51" i="8"/>
  <c r="FI51" i="8"/>
  <c r="FH51" i="8"/>
  <c r="IC51" i="8" s="1"/>
  <c r="FG51" i="8"/>
  <c r="IB51" i="8" s="1"/>
  <c r="FF51" i="8"/>
  <c r="IA51" i="8" s="1"/>
  <c r="FE51" i="8"/>
  <c r="FD51" i="8"/>
  <c r="FC51" i="8"/>
  <c r="FB51" i="8"/>
  <c r="FA51" i="8"/>
  <c r="EZ51" i="8"/>
  <c r="EY51" i="8"/>
  <c r="HX51" i="8" s="1"/>
  <c r="EX51" i="8"/>
  <c r="HW51" i="8" s="1"/>
  <c r="JG49" i="8"/>
  <c r="IQ49" i="8"/>
  <c r="HM49" i="8"/>
  <c r="JO49" i="8" s="1"/>
  <c r="HL49" i="8"/>
  <c r="JN49" i="8" s="1"/>
  <c r="HK49" i="8"/>
  <c r="JM49" i="8" s="1"/>
  <c r="HJ49" i="8"/>
  <c r="JL49" i="8" s="1"/>
  <c r="HI49" i="8"/>
  <c r="JK49" i="8" s="1"/>
  <c r="HH49" i="8"/>
  <c r="JJ49" i="8" s="1"/>
  <c r="HG49" i="8"/>
  <c r="JI49" i="8" s="1"/>
  <c r="HF49" i="8"/>
  <c r="JH49" i="8" s="1"/>
  <c r="HE49" i="8"/>
  <c r="HD49" i="8"/>
  <c r="JF49" i="8" s="1"/>
  <c r="HC49" i="8"/>
  <c r="JE49" i="8" s="1"/>
  <c r="HB49" i="8"/>
  <c r="JD49" i="8" s="1"/>
  <c r="HA49" i="8"/>
  <c r="JC49" i="8" s="1"/>
  <c r="GZ49" i="8"/>
  <c r="JB49" i="8" s="1"/>
  <c r="GY49" i="8"/>
  <c r="JA49" i="8" s="1"/>
  <c r="GX49" i="8"/>
  <c r="GW49" i="8"/>
  <c r="GV49" i="8"/>
  <c r="GU49" i="8"/>
  <c r="GT49" i="8"/>
  <c r="GS49" i="8"/>
  <c r="GR49" i="8"/>
  <c r="IX49" i="8" s="1"/>
  <c r="GQ49" i="8"/>
  <c r="IW49" i="8" s="1"/>
  <c r="GP49" i="8"/>
  <c r="IV49" i="8" s="1"/>
  <c r="GO49" i="8"/>
  <c r="IU49" i="8" s="1"/>
  <c r="GN49" i="8"/>
  <c r="IT49" i="8" s="1"/>
  <c r="GM49" i="8"/>
  <c r="IS49" i="8" s="1"/>
  <c r="GL49" i="8"/>
  <c r="IR49" i="8" s="1"/>
  <c r="GK49" i="8"/>
  <c r="GJ49" i="8"/>
  <c r="IP49" i="8" s="1"/>
  <c r="GI49" i="8"/>
  <c r="IO49" i="8" s="1"/>
  <c r="GH49" i="8"/>
  <c r="GG49" i="8"/>
  <c r="GF49" i="8"/>
  <c r="GE49" i="8"/>
  <c r="GD49" i="8"/>
  <c r="GC49" i="8"/>
  <c r="GB49" i="8"/>
  <c r="IL49" i="8" s="1"/>
  <c r="GA49" i="8"/>
  <c r="FZ49" i="8"/>
  <c r="FY49" i="8"/>
  <c r="FX49" i="8"/>
  <c r="IJ49" i="8" s="1"/>
  <c r="FW49" i="8"/>
  <c r="II49" i="8" s="1"/>
  <c r="FV49" i="8"/>
  <c r="IH49" i="8" s="1"/>
  <c r="FU49" i="8"/>
  <c r="FT49" i="8"/>
  <c r="FS49" i="8"/>
  <c r="FR49" i="8"/>
  <c r="FQ49" i="8"/>
  <c r="FP49" i="8"/>
  <c r="FO49" i="8"/>
  <c r="FN49" i="8"/>
  <c r="FM49" i="8"/>
  <c r="FL49" i="8"/>
  <c r="FK49" i="8"/>
  <c r="FJ49" i="8"/>
  <c r="FI49" i="8"/>
  <c r="FH49" i="8"/>
  <c r="IC49" i="8" s="1"/>
  <c r="FG49" i="8"/>
  <c r="IB49" i="8" s="1"/>
  <c r="FF49" i="8"/>
  <c r="IA49" i="8" s="1"/>
  <c r="FE49" i="8"/>
  <c r="FD49" i="8"/>
  <c r="FC49" i="8"/>
  <c r="FB49" i="8"/>
  <c r="FA49" i="8"/>
  <c r="EZ49" i="8"/>
  <c r="EY49" i="8"/>
  <c r="HX49" i="8" s="1"/>
  <c r="EX49" i="8"/>
  <c r="HW49" i="8" s="1"/>
  <c r="JD48" i="8"/>
  <c r="IR48" i="8"/>
  <c r="HM48" i="8"/>
  <c r="JO48" i="8" s="1"/>
  <c r="HL48" i="8"/>
  <c r="JN48" i="8" s="1"/>
  <c r="HK48" i="8"/>
  <c r="JM48" i="8" s="1"/>
  <c r="HJ48" i="8"/>
  <c r="JL48" i="8" s="1"/>
  <c r="HI48" i="8"/>
  <c r="JK48" i="8" s="1"/>
  <c r="HH48" i="8"/>
  <c r="JJ48" i="8" s="1"/>
  <c r="HG48" i="8"/>
  <c r="JI48" i="8" s="1"/>
  <c r="HF48" i="8"/>
  <c r="JH48" i="8" s="1"/>
  <c r="HE48" i="8"/>
  <c r="JG48" i="8" s="1"/>
  <c r="HD48" i="8"/>
  <c r="JF48" i="8" s="1"/>
  <c r="HC48" i="8"/>
  <c r="JE48" i="8" s="1"/>
  <c r="HB48" i="8"/>
  <c r="HA48" i="8"/>
  <c r="JC48" i="8" s="1"/>
  <c r="GZ48" i="8"/>
  <c r="JB48" i="8" s="1"/>
  <c r="GY48" i="8"/>
  <c r="JA48" i="8" s="1"/>
  <c r="GX48" i="8"/>
  <c r="GW48" i="8"/>
  <c r="GV48" i="8"/>
  <c r="GU48" i="8"/>
  <c r="GT48" i="8"/>
  <c r="GS48" i="8"/>
  <c r="GR48" i="8"/>
  <c r="IX48" i="8" s="1"/>
  <c r="GQ48" i="8"/>
  <c r="IW48" i="8" s="1"/>
  <c r="GP48" i="8"/>
  <c r="IV48" i="8" s="1"/>
  <c r="GO48" i="8"/>
  <c r="IU48" i="8" s="1"/>
  <c r="GN48" i="8"/>
  <c r="IT48" i="8" s="1"/>
  <c r="GM48" i="8"/>
  <c r="IS48" i="8" s="1"/>
  <c r="GL48" i="8"/>
  <c r="GK48" i="8"/>
  <c r="IQ48" i="8" s="1"/>
  <c r="GJ48" i="8"/>
  <c r="IP48" i="8" s="1"/>
  <c r="GI48" i="8"/>
  <c r="IO48" i="8" s="1"/>
  <c r="GH48" i="8"/>
  <c r="GG48" i="8"/>
  <c r="GF48" i="8"/>
  <c r="GE48" i="8"/>
  <c r="GD48" i="8"/>
  <c r="GC48" i="8"/>
  <c r="GB48" i="8"/>
  <c r="IL48" i="8" s="1"/>
  <c r="GA48" i="8"/>
  <c r="FZ48" i="8"/>
  <c r="FY48" i="8"/>
  <c r="FX48" i="8"/>
  <c r="IJ48" i="8" s="1"/>
  <c r="FW48" i="8"/>
  <c r="II48" i="8" s="1"/>
  <c r="FV48" i="8"/>
  <c r="IH48" i="8" s="1"/>
  <c r="FU48" i="8"/>
  <c r="FT48" i="8"/>
  <c r="FS48" i="8"/>
  <c r="FR48" i="8"/>
  <c r="FQ48" i="8"/>
  <c r="FP48" i="8"/>
  <c r="FO48" i="8"/>
  <c r="FN48" i="8"/>
  <c r="FM48" i="8"/>
  <c r="FL48" i="8"/>
  <c r="FK48" i="8"/>
  <c r="FJ48" i="8"/>
  <c r="FI48" i="8"/>
  <c r="FH48" i="8"/>
  <c r="IC48" i="8" s="1"/>
  <c r="FG48" i="8"/>
  <c r="IB48" i="8" s="1"/>
  <c r="FF48" i="8"/>
  <c r="IA48" i="8" s="1"/>
  <c r="FE48" i="8"/>
  <c r="FD48" i="8"/>
  <c r="FC48" i="8"/>
  <c r="FB48" i="8"/>
  <c r="FA48" i="8"/>
  <c r="EZ48" i="8"/>
  <c r="EY48" i="8"/>
  <c r="HX48" i="8" s="1"/>
  <c r="EX48" i="8"/>
  <c r="HW48" i="8" s="1"/>
  <c r="JK47" i="8"/>
  <c r="JC47" i="8"/>
  <c r="HM47" i="8"/>
  <c r="JO47" i="8" s="1"/>
  <c r="HL47" i="8"/>
  <c r="JN47" i="8" s="1"/>
  <c r="HK47" i="8"/>
  <c r="JM47" i="8" s="1"/>
  <c r="HJ47" i="8"/>
  <c r="JL47" i="8" s="1"/>
  <c r="HI47" i="8"/>
  <c r="HH47" i="8"/>
  <c r="JJ47" i="8" s="1"/>
  <c r="HG47" i="8"/>
  <c r="JI47" i="8" s="1"/>
  <c r="HF47" i="8"/>
  <c r="JH47" i="8" s="1"/>
  <c r="HE47" i="8"/>
  <c r="JG47" i="8" s="1"/>
  <c r="HD47" i="8"/>
  <c r="JF47" i="8" s="1"/>
  <c r="HC47" i="8"/>
  <c r="JE47" i="8" s="1"/>
  <c r="HB47" i="8"/>
  <c r="JD47" i="8" s="1"/>
  <c r="HA47" i="8"/>
  <c r="GZ47" i="8"/>
  <c r="JB47" i="8" s="1"/>
  <c r="GY47" i="8"/>
  <c r="JA47" i="8" s="1"/>
  <c r="GX47" i="8"/>
  <c r="GW47" i="8"/>
  <c r="GV47" i="8"/>
  <c r="GU47" i="8"/>
  <c r="GT47" i="8"/>
  <c r="GS47" i="8"/>
  <c r="GR47" i="8"/>
  <c r="IX47" i="8" s="1"/>
  <c r="GQ47" i="8"/>
  <c r="IW47" i="8" s="1"/>
  <c r="GP47" i="8"/>
  <c r="IV47" i="8" s="1"/>
  <c r="GO47" i="8"/>
  <c r="IU47" i="8" s="1"/>
  <c r="GN47" i="8"/>
  <c r="IT47" i="8" s="1"/>
  <c r="GM47" i="8"/>
  <c r="IS47" i="8" s="1"/>
  <c r="GL47" i="8"/>
  <c r="IR47" i="8" s="1"/>
  <c r="GK47" i="8"/>
  <c r="IQ47" i="8" s="1"/>
  <c r="GJ47" i="8"/>
  <c r="IP47" i="8" s="1"/>
  <c r="GI47" i="8"/>
  <c r="IO47" i="8" s="1"/>
  <c r="GH47" i="8"/>
  <c r="GG47" i="8"/>
  <c r="GF47" i="8"/>
  <c r="GE47" i="8"/>
  <c r="GD47" i="8"/>
  <c r="GC47" i="8"/>
  <c r="GB47" i="8"/>
  <c r="IL47" i="8" s="1"/>
  <c r="GA47" i="8"/>
  <c r="FZ47" i="8"/>
  <c r="FY47" i="8"/>
  <c r="FX47" i="8"/>
  <c r="IJ47" i="8" s="1"/>
  <c r="FW47" i="8"/>
  <c r="II47" i="8" s="1"/>
  <c r="FV47" i="8"/>
  <c r="IH47" i="8" s="1"/>
  <c r="FU47" i="8"/>
  <c r="FT47" i="8"/>
  <c r="FS47" i="8"/>
  <c r="FR47" i="8"/>
  <c r="FQ47" i="8"/>
  <c r="FP47" i="8"/>
  <c r="FO47" i="8"/>
  <c r="FN47" i="8"/>
  <c r="FM47" i="8"/>
  <c r="FL47" i="8"/>
  <c r="FK47" i="8"/>
  <c r="FJ47" i="8"/>
  <c r="FI47" i="8"/>
  <c r="FH47" i="8"/>
  <c r="IC47" i="8" s="1"/>
  <c r="FG47" i="8"/>
  <c r="IB47" i="8" s="1"/>
  <c r="FF47" i="8"/>
  <c r="IA47" i="8" s="1"/>
  <c r="FE47" i="8"/>
  <c r="FD47" i="8"/>
  <c r="FC47" i="8"/>
  <c r="FB47" i="8"/>
  <c r="FA47" i="8"/>
  <c r="EZ47" i="8"/>
  <c r="EY47" i="8"/>
  <c r="HX47" i="8" s="1"/>
  <c r="EX47" i="8"/>
  <c r="HW47" i="8" s="1"/>
  <c r="JJ46" i="8"/>
  <c r="JF46" i="8"/>
  <c r="IJ46" i="8"/>
  <c r="HM46" i="8"/>
  <c r="JO46" i="8" s="1"/>
  <c r="HL46" i="8"/>
  <c r="JN46" i="8" s="1"/>
  <c r="HK46" i="8"/>
  <c r="JM46" i="8" s="1"/>
  <c r="HJ46" i="8"/>
  <c r="JL46" i="8" s="1"/>
  <c r="HI46" i="8"/>
  <c r="JK46" i="8" s="1"/>
  <c r="HH46" i="8"/>
  <c r="HG46" i="8"/>
  <c r="JI46" i="8" s="1"/>
  <c r="HF46" i="8"/>
  <c r="JH46" i="8" s="1"/>
  <c r="HE46" i="8"/>
  <c r="JG46" i="8" s="1"/>
  <c r="HD46" i="8"/>
  <c r="HC46" i="8"/>
  <c r="JE46" i="8" s="1"/>
  <c r="HB46" i="8"/>
  <c r="JD46" i="8" s="1"/>
  <c r="HA46" i="8"/>
  <c r="JC46" i="8" s="1"/>
  <c r="GZ46" i="8"/>
  <c r="JB46" i="8" s="1"/>
  <c r="GY46" i="8"/>
  <c r="JA46" i="8" s="1"/>
  <c r="GX46" i="8"/>
  <c r="GW46" i="8"/>
  <c r="GV46" i="8"/>
  <c r="GU46" i="8"/>
  <c r="GT46" i="8"/>
  <c r="GS46" i="8"/>
  <c r="GR46" i="8"/>
  <c r="IX46" i="8" s="1"/>
  <c r="GQ46" i="8"/>
  <c r="IW46" i="8" s="1"/>
  <c r="GP46" i="8"/>
  <c r="IV46" i="8" s="1"/>
  <c r="GO46" i="8"/>
  <c r="IU46" i="8" s="1"/>
  <c r="GN46" i="8"/>
  <c r="IT46" i="8" s="1"/>
  <c r="GM46" i="8"/>
  <c r="IS46" i="8" s="1"/>
  <c r="GL46" i="8"/>
  <c r="IR46" i="8" s="1"/>
  <c r="GK46" i="8"/>
  <c r="IQ46" i="8" s="1"/>
  <c r="GJ46" i="8"/>
  <c r="IP46" i="8" s="1"/>
  <c r="GI46" i="8"/>
  <c r="IO46" i="8" s="1"/>
  <c r="GH46" i="8"/>
  <c r="GG46" i="8"/>
  <c r="GF46" i="8"/>
  <c r="GE46" i="8"/>
  <c r="GD46" i="8"/>
  <c r="GC46" i="8"/>
  <c r="GB46" i="8"/>
  <c r="IL46" i="8" s="1"/>
  <c r="GA46" i="8"/>
  <c r="FZ46" i="8"/>
  <c r="FY46" i="8"/>
  <c r="FX46" i="8"/>
  <c r="FW46" i="8"/>
  <c r="II46" i="8" s="1"/>
  <c r="FV46" i="8"/>
  <c r="IH46" i="8" s="1"/>
  <c r="FU46" i="8"/>
  <c r="FT46" i="8"/>
  <c r="FS46" i="8"/>
  <c r="IG46" i="8" s="1"/>
  <c r="FR46" i="8"/>
  <c r="FQ46" i="8"/>
  <c r="FP46" i="8"/>
  <c r="FO46" i="8"/>
  <c r="FN46" i="8"/>
  <c r="FM46" i="8"/>
  <c r="FL46" i="8"/>
  <c r="FK46" i="8"/>
  <c r="FJ46" i="8"/>
  <c r="FI46" i="8"/>
  <c r="FH46" i="8"/>
  <c r="IC46" i="8" s="1"/>
  <c r="FG46" i="8"/>
  <c r="IB46" i="8" s="1"/>
  <c r="FF46" i="8"/>
  <c r="IA46" i="8" s="1"/>
  <c r="FE46" i="8"/>
  <c r="HZ46" i="8" s="1"/>
  <c r="FD46" i="8"/>
  <c r="FC46" i="8"/>
  <c r="FB46" i="8"/>
  <c r="FA46" i="8"/>
  <c r="EZ46" i="8"/>
  <c r="EY46" i="8"/>
  <c r="HX46" i="8" s="1"/>
  <c r="EX46" i="8"/>
  <c r="HW46" i="8" s="1"/>
  <c r="JA45" i="8"/>
  <c r="HM45" i="8"/>
  <c r="JO45" i="8" s="1"/>
  <c r="HL45" i="8"/>
  <c r="JN45" i="8" s="1"/>
  <c r="HK45" i="8"/>
  <c r="JM45" i="8" s="1"/>
  <c r="HJ45" i="8"/>
  <c r="JL45" i="8" s="1"/>
  <c r="HI45" i="8"/>
  <c r="JK45" i="8" s="1"/>
  <c r="HH45" i="8"/>
  <c r="JJ45" i="8" s="1"/>
  <c r="HG45" i="8"/>
  <c r="JI45" i="8" s="1"/>
  <c r="HF45" i="8"/>
  <c r="JH45" i="8" s="1"/>
  <c r="HE45" i="8"/>
  <c r="JG45" i="8" s="1"/>
  <c r="HD45" i="8"/>
  <c r="JF45" i="8" s="1"/>
  <c r="HC45" i="8"/>
  <c r="JE45" i="8" s="1"/>
  <c r="HB45" i="8"/>
  <c r="JD45" i="8" s="1"/>
  <c r="HA45" i="8"/>
  <c r="JC45" i="8" s="1"/>
  <c r="GZ45" i="8"/>
  <c r="JB45" i="8" s="1"/>
  <c r="GY45" i="8"/>
  <c r="GX45" i="8"/>
  <c r="GW45" i="8"/>
  <c r="GV45" i="8"/>
  <c r="GU45" i="8"/>
  <c r="GT45" i="8"/>
  <c r="GS45" i="8"/>
  <c r="GR45" i="8"/>
  <c r="IX45" i="8" s="1"/>
  <c r="GQ45" i="8"/>
  <c r="IW45" i="8" s="1"/>
  <c r="GP45" i="8"/>
  <c r="IV45" i="8" s="1"/>
  <c r="GO45" i="8"/>
  <c r="IU45" i="8" s="1"/>
  <c r="GN45" i="8"/>
  <c r="IT45" i="8" s="1"/>
  <c r="GM45" i="8"/>
  <c r="IS45" i="8" s="1"/>
  <c r="GL45" i="8"/>
  <c r="IR45" i="8" s="1"/>
  <c r="GK45" i="8"/>
  <c r="IQ45" i="8" s="1"/>
  <c r="GJ45" i="8"/>
  <c r="IP45" i="8" s="1"/>
  <c r="GI45" i="8"/>
  <c r="IO45" i="8" s="1"/>
  <c r="GH45" i="8"/>
  <c r="GG45" i="8"/>
  <c r="GF45" i="8"/>
  <c r="GE45" i="8"/>
  <c r="GD45" i="8"/>
  <c r="GC45" i="8"/>
  <c r="GB45" i="8"/>
  <c r="IL45" i="8" s="1"/>
  <c r="GA45" i="8"/>
  <c r="FZ45" i="8"/>
  <c r="FY45" i="8"/>
  <c r="FX45" i="8"/>
  <c r="IJ45" i="8" s="1"/>
  <c r="FW45" i="8"/>
  <c r="II45" i="8" s="1"/>
  <c r="FV45" i="8"/>
  <c r="IH45" i="8" s="1"/>
  <c r="FU45" i="8"/>
  <c r="FT45" i="8"/>
  <c r="FS45" i="8"/>
  <c r="FR45" i="8"/>
  <c r="FQ45" i="8"/>
  <c r="FP45" i="8"/>
  <c r="FO45" i="8"/>
  <c r="FN45" i="8"/>
  <c r="FM45" i="8"/>
  <c r="FL45" i="8"/>
  <c r="FK45" i="8"/>
  <c r="FJ45" i="8"/>
  <c r="FI45" i="8"/>
  <c r="FH45" i="8"/>
  <c r="IC45" i="8" s="1"/>
  <c r="FG45" i="8"/>
  <c r="IB45" i="8" s="1"/>
  <c r="FF45" i="8"/>
  <c r="IA45" i="8" s="1"/>
  <c r="FE45" i="8"/>
  <c r="FD45" i="8"/>
  <c r="FC45" i="8"/>
  <c r="FB45" i="8"/>
  <c r="FA45" i="8"/>
  <c r="EZ45" i="8"/>
  <c r="EY45" i="8"/>
  <c r="HX45" i="8" s="1"/>
  <c r="EX45" i="8"/>
  <c r="HW45" i="8" s="1"/>
  <c r="JJ44" i="8"/>
  <c r="HM44" i="8"/>
  <c r="JO44" i="8" s="1"/>
  <c r="HL44" i="8"/>
  <c r="JN44" i="8" s="1"/>
  <c r="HK44" i="8"/>
  <c r="JM44" i="8" s="1"/>
  <c r="HJ44" i="8"/>
  <c r="JL44" i="8" s="1"/>
  <c r="HI44" i="8"/>
  <c r="JK44" i="8" s="1"/>
  <c r="HH44" i="8"/>
  <c r="HG44" i="8"/>
  <c r="JI44" i="8" s="1"/>
  <c r="HF44" i="8"/>
  <c r="JH44" i="8" s="1"/>
  <c r="HE44" i="8"/>
  <c r="JG44" i="8" s="1"/>
  <c r="HD44" i="8"/>
  <c r="JF44" i="8" s="1"/>
  <c r="HC44" i="8"/>
  <c r="JE44" i="8" s="1"/>
  <c r="HB44" i="8"/>
  <c r="JD44" i="8" s="1"/>
  <c r="HA44" i="8"/>
  <c r="JC44" i="8" s="1"/>
  <c r="GZ44" i="8"/>
  <c r="JB44" i="8" s="1"/>
  <c r="GY44" i="8"/>
  <c r="JA44" i="8" s="1"/>
  <c r="GX44" i="8"/>
  <c r="GW44" i="8"/>
  <c r="GV44" i="8"/>
  <c r="GU44" i="8"/>
  <c r="GT44" i="8"/>
  <c r="GS44" i="8"/>
  <c r="GR44" i="8"/>
  <c r="IX44" i="8" s="1"/>
  <c r="GQ44" i="8"/>
  <c r="IW44" i="8" s="1"/>
  <c r="GP44" i="8"/>
  <c r="IV44" i="8" s="1"/>
  <c r="GO44" i="8"/>
  <c r="IU44" i="8" s="1"/>
  <c r="GN44" i="8"/>
  <c r="IT44" i="8" s="1"/>
  <c r="GM44" i="8"/>
  <c r="IS44" i="8" s="1"/>
  <c r="GL44" i="8"/>
  <c r="IR44" i="8" s="1"/>
  <c r="GK44" i="8"/>
  <c r="IQ44" i="8" s="1"/>
  <c r="GJ44" i="8"/>
  <c r="IP44" i="8" s="1"/>
  <c r="GI44" i="8"/>
  <c r="IO44" i="8" s="1"/>
  <c r="GH44" i="8"/>
  <c r="GG44" i="8"/>
  <c r="GF44" i="8"/>
  <c r="GE44" i="8"/>
  <c r="GD44" i="8"/>
  <c r="GC44" i="8"/>
  <c r="GB44" i="8"/>
  <c r="IL44" i="8" s="1"/>
  <c r="GA44" i="8"/>
  <c r="FZ44" i="8"/>
  <c r="IK44" i="8" s="1"/>
  <c r="FY44" i="8"/>
  <c r="FX44" i="8"/>
  <c r="IJ44" i="8" s="1"/>
  <c r="FW44" i="8"/>
  <c r="FV44" i="8"/>
  <c r="IH44" i="8" s="1"/>
  <c r="FU44" i="8"/>
  <c r="FT44" i="8"/>
  <c r="FS44" i="8"/>
  <c r="FR44" i="8"/>
  <c r="FQ44" i="8"/>
  <c r="FP44" i="8"/>
  <c r="FO44" i="8"/>
  <c r="FN44" i="8"/>
  <c r="FM44" i="8"/>
  <c r="FL44" i="8"/>
  <c r="FK44" i="8"/>
  <c r="FJ44" i="8"/>
  <c r="FI44" i="8"/>
  <c r="FH44" i="8"/>
  <c r="IC44" i="8" s="1"/>
  <c r="FG44" i="8"/>
  <c r="IB44" i="8" s="1"/>
  <c r="FF44" i="8"/>
  <c r="IA44" i="8" s="1"/>
  <c r="FE44" i="8"/>
  <c r="FD44" i="8"/>
  <c r="FC44" i="8"/>
  <c r="FB44" i="8"/>
  <c r="FA44" i="8"/>
  <c r="EZ44" i="8"/>
  <c r="EY44" i="8"/>
  <c r="HX44" i="8" s="1"/>
  <c r="EX44" i="8"/>
  <c r="HW44" i="8" s="1"/>
  <c r="JM42" i="8"/>
  <c r="IS42" i="8"/>
  <c r="HM42" i="8"/>
  <c r="JO42" i="8" s="1"/>
  <c r="HL42" i="8"/>
  <c r="JN42" i="8" s="1"/>
  <c r="HK42" i="8"/>
  <c r="HJ42" i="8"/>
  <c r="JL42" i="8" s="1"/>
  <c r="HI42" i="8"/>
  <c r="JK42" i="8" s="1"/>
  <c r="HH42" i="8"/>
  <c r="JJ42" i="8" s="1"/>
  <c r="HG42" i="8"/>
  <c r="JI42" i="8" s="1"/>
  <c r="HF42" i="8"/>
  <c r="JH42" i="8" s="1"/>
  <c r="HE42" i="8"/>
  <c r="JG42" i="8" s="1"/>
  <c r="HD42" i="8"/>
  <c r="JF42" i="8" s="1"/>
  <c r="HC42" i="8"/>
  <c r="JE42" i="8" s="1"/>
  <c r="HB42" i="8"/>
  <c r="JD42" i="8" s="1"/>
  <c r="HA42" i="8"/>
  <c r="JC42" i="8" s="1"/>
  <c r="GZ42" i="8"/>
  <c r="JB42" i="8" s="1"/>
  <c r="GY42" i="8"/>
  <c r="JA42" i="8" s="1"/>
  <c r="GX42" i="8"/>
  <c r="GW42" i="8"/>
  <c r="GV42" i="8"/>
  <c r="GU42" i="8"/>
  <c r="GT42" i="8"/>
  <c r="GS42" i="8"/>
  <c r="GR42" i="8"/>
  <c r="IX42" i="8" s="1"/>
  <c r="GQ42" i="8"/>
  <c r="IW42" i="8" s="1"/>
  <c r="GP42" i="8"/>
  <c r="IV42" i="8" s="1"/>
  <c r="GO42" i="8"/>
  <c r="IU42" i="8" s="1"/>
  <c r="GN42" i="8"/>
  <c r="IT42" i="8" s="1"/>
  <c r="GM42" i="8"/>
  <c r="GL42" i="8"/>
  <c r="IR42" i="8" s="1"/>
  <c r="GK42" i="8"/>
  <c r="IQ42" i="8" s="1"/>
  <c r="GJ42" i="8"/>
  <c r="IP42" i="8" s="1"/>
  <c r="GI42" i="8"/>
  <c r="IO42" i="8" s="1"/>
  <c r="GH42" i="8"/>
  <c r="GG42" i="8"/>
  <c r="GF42" i="8"/>
  <c r="GE42" i="8"/>
  <c r="GD42" i="8"/>
  <c r="GC42" i="8"/>
  <c r="GB42" i="8"/>
  <c r="IL42" i="8" s="1"/>
  <c r="GA42" i="8"/>
  <c r="FZ42" i="8"/>
  <c r="IK42" i="8" s="1"/>
  <c r="FY42" i="8"/>
  <c r="II42" i="8" s="1"/>
  <c r="FX42" i="8"/>
  <c r="IJ42" i="8" s="1"/>
  <c r="FW42" i="8"/>
  <c r="FV42" i="8"/>
  <c r="IH42" i="8" s="1"/>
  <c r="FU42" i="8"/>
  <c r="FT42" i="8"/>
  <c r="FS42" i="8"/>
  <c r="FR42" i="8"/>
  <c r="FQ42" i="8"/>
  <c r="FP42" i="8"/>
  <c r="FO42" i="8"/>
  <c r="FN42" i="8"/>
  <c r="FM42" i="8"/>
  <c r="FL42" i="8"/>
  <c r="FK42" i="8"/>
  <c r="FJ42" i="8"/>
  <c r="FI42" i="8"/>
  <c r="FH42" i="8"/>
  <c r="IC42" i="8" s="1"/>
  <c r="FG42" i="8"/>
  <c r="IB42" i="8" s="1"/>
  <c r="FF42" i="8"/>
  <c r="IA42" i="8" s="1"/>
  <c r="FE42" i="8"/>
  <c r="FD42" i="8"/>
  <c r="FC42" i="8"/>
  <c r="FB42" i="8"/>
  <c r="FA42" i="8"/>
  <c r="EZ42" i="8"/>
  <c r="EY42" i="8"/>
  <c r="HX42" i="8" s="1"/>
  <c r="EX42" i="8"/>
  <c r="HW42" i="8" s="1"/>
  <c r="JL41" i="8"/>
  <c r="IX41" i="8"/>
  <c r="HM41" i="8"/>
  <c r="JO41" i="8" s="1"/>
  <c r="HL41" i="8"/>
  <c r="JN41" i="8" s="1"/>
  <c r="HK41" i="8"/>
  <c r="JM41" i="8" s="1"/>
  <c r="HJ41" i="8"/>
  <c r="HI41" i="8"/>
  <c r="JK41" i="8" s="1"/>
  <c r="HH41" i="8"/>
  <c r="JJ41" i="8" s="1"/>
  <c r="HG41" i="8"/>
  <c r="JI41" i="8" s="1"/>
  <c r="HF41" i="8"/>
  <c r="JH41" i="8" s="1"/>
  <c r="HE41" i="8"/>
  <c r="JG41" i="8" s="1"/>
  <c r="HD41" i="8"/>
  <c r="JF41" i="8" s="1"/>
  <c r="HC41" i="8"/>
  <c r="JE41" i="8" s="1"/>
  <c r="HB41" i="8"/>
  <c r="JD41" i="8" s="1"/>
  <c r="HA41" i="8"/>
  <c r="JC41" i="8" s="1"/>
  <c r="GZ41" i="8"/>
  <c r="JB41" i="8" s="1"/>
  <c r="GY41" i="8"/>
  <c r="JA41" i="8" s="1"/>
  <c r="GX41" i="8"/>
  <c r="GW41" i="8"/>
  <c r="GV41" i="8"/>
  <c r="GU41" i="8"/>
  <c r="GT41" i="8"/>
  <c r="GS41" i="8"/>
  <c r="GR41" i="8"/>
  <c r="GQ41" i="8"/>
  <c r="IW41" i="8" s="1"/>
  <c r="GP41" i="8"/>
  <c r="IV41" i="8" s="1"/>
  <c r="GO41" i="8"/>
  <c r="IU41" i="8" s="1"/>
  <c r="GN41" i="8"/>
  <c r="IT41" i="8" s="1"/>
  <c r="GM41" i="8"/>
  <c r="IS41" i="8" s="1"/>
  <c r="GL41" i="8"/>
  <c r="IR41" i="8" s="1"/>
  <c r="GK41" i="8"/>
  <c r="IQ41" i="8" s="1"/>
  <c r="GJ41" i="8"/>
  <c r="IP41" i="8" s="1"/>
  <c r="GI41" i="8"/>
  <c r="IO41" i="8" s="1"/>
  <c r="GH41" i="8"/>
  <c r="GG41" i="8"/>
  <c r="GF41" i="8"/>
  <c r="GE41" i="8"/>
  <c r="GD41" i="8"/>
  <c r="GC41" i="8"/>
  <c r="GB41" i="8"/>
  <c r="IL41" i="8" s="1"/>
  <c r="GA41" i="8"/>
  <c r="FZ41" i="8"/>
  <c r="FY41" i="8"/>
  <c r="FX41" i="8"/>
  <c r="IJ41" i="8" s="1"/>
  <c r="FW41" i="8"/>
  <c r="II41" i="8" s="1"/>
  <c r="FV41" i="8"/>
  <c r="IH41" i="8" s="1"/>
  <c r="FU41" i="8"/>
  <c r="FT41" i="8"/>
  <c r="FS41" i="8"/>
  <c r="FR41" i="8"/>
  <c r="FQ41" i="8"/>
  <c r="FP41" i="8"/>
  <c r="FO41" i="8"/>
  <c r="FN41" i="8"/>
  <c r="FM41" i="8"/>
  <c r="FL41" i="8"/>
  <c r="FK41" i="8"/>
  <c r="FJ41" i="8"/>
  <c r="FI41" i="8"/>
  <c r="FH41" i="8"/>
  <c r="IC41" i="8" s="1"/>
  <c r="FG41" i="8"/>
  <c r="IB41" i="8" s="1"/>
  <c r="FF41" i="8"/>
  <c r="IA41" i="8" s="1"/>
  <c r="FE41" i="8"/>
  <c r="FD41" i="8"/>
  <c r="FC41" i="8"/>
  <c r="FB41" i="8"/>
  <c r="FA41" i="8"/>
  <c r="EZ41" i="8"/>
  <c r="EY41" i="8"/>
  <c r="HX41" i="8" s="1"/>
  <c r="EX41" i="8"/>
  <c r="HW41" i="8" s="1"/>
  <c r="JC40" i="8"/>
  <c r="HM40" i="8"/>
  <c r="JO40" i="8" s="1"/>
  <c r="HL40" i="8"/>
  <c r="JN40" i="8" s="1"/>
  <c r="HK40" i="8"/>
  <c r="JM40" i="8" s="1"/>
  <c r="HJ40" i="8"/>
  <c r="JL40" i="8" s="1"/>
  <c r="HI40" i="8"/>
  <c r="JK40" i="8" s="1"/>
  <c r="HH40" i="8"/>
  <c r="JJ40" i="8" s="1"/>
  <c r="HG40" i="8"/>
  <c r="JI40" i="8" s="1"/>
  <c r="HF40" i="8"/>
  <c r="JH40" i="8" s="1"/>
  <c r="HE40" i="8"/>
  <c r="JG40" i="8" s="1"/>
  <c r="HD40" i="8"/>
  <c r="JF40" i="8" s="1"/>
  <c r="HC40" i="8"/>
  <c r="JE40" i="8" s="1"/>
  <c r="HB40" i="8"/>
  <c r="JD40" i="8" s="1"/>
  <c r="HA40" i="8"/>
  <c r="GZ40" i="8"/>
  <c r="JB40" i="8" s="1"/>
  <c r="GY40" i="8"/>
  <c r="JA40" i="8" s="1"/>
  <c r="GX40" i="8"/>
  <c r="GW40" i="8"/>
  <c r="GV40" i="8"/>
  <c r="GU40" i="8"/>
  <c r="GT40" i="8"/>
  <c r="GS40" i="8"/>
  <c r="GR40" i="8"/>
  <c r="IX40" i="8" s="1"/>
  <c r="GQ40" i="8"/>
  <c r="IW40" i="8" s="1"/>
  <c r="GP40" i="8"/>
  <c r="IV40" i="8" s="1"/>
  <c r="GO40" i="8"/>
  <c r="IU40" i="8" s="1"/>
  <c r="GN40" i="8"/>
  <c r="IT40" i="8" s="1"/>
  <c r="GM40" i="8"/>
  <c r="IS40" i="8" s="1"/>
  <c r="GL40" i="8"/>
  <c r="IR40" i="8" s="1"/>
  <c r="GK40" i="8"/>
  <c r="IQ40" i="8" s="1"/>
  <c r="GJ40" i="8"/>
  <c r="IP40" i="8" s="1"/>
  <c r="GI40" i="8"/>
  <c r="IO40" i="8" s="1"/>
  <c r="GH40" i="8"/>
  <c r="GG40" i="8"/>
  <c r="GF40" i="8"/>
  <c r="GE40" i="8"/>
  <c r="GD40" i="8"/>
  <c r="GC40" i="8"/>
  <c r="GB40" i="8"/>
  <c r="IL40" i="8" s="1"/>
  <c r="GA40" i="8"/>
  <c r="FZ40" i="8"/>
  <c r="FY40" i="8"/>
  <c r="FX40" i="8"/>
  <c r="IJ40" i="8" s="1"/>
  <c r="FW40" i="8"/>
  <c r="II40" i="8" s="1"/>
  <c r="FV40" i="8"/>
  <c r="IH40" i="8" s="1"/>
  <c r="FU40" i="8"/>
  <c r="FT40" i="8"/>
  <c r="FS40" i="8"/>
  <c r="FR40" i="8"/>
  <c r="FQ40" i="8"/>
  <c r="FP40" i="8"/>
  <c r="FO40" i="8"/>
  <c r="FN40" i="8"/>
  <c r="FM40" i="8"/>
  <c r="FL40" i="8"/>
  <c r="FK40" i="8"/>
  <c r="FJ40" i="8"/>
  <c r="FI40" i="8"/>
  <c r="FH40" i="8"/>
  <c r="IC40" i="8" s="1"/>
  <c r="FG40" i="8"/>
  <c r="IB40" i="8" s="1"/>
  <c r="FF40" i="8"/>
  <c r="IA40" i="8" s="1"/>
  <c r="FE40" i="8"/>
  <c r="FD40" i="8"/>
  <c r="FC40" i="8"/>
  <c r="FB40" i="8"/>
  <c r="FA40" i="8"/>
  <c r="EZ40" i="8"/>
  <c r="EY40" i="8"/>
  <c r="HX40" i="8" s="1"/>
  <c r="EX40" i="8"/>
  <c r="HW40" i="8" s="1"/>
  <c r="HM39" i="8"/>
  <c r="JO39" i="8" s="1"/>
  <c r="HL39" i="8"/>
  <c r="JN39" i="8" s="1"/>
  <c r="HK39" i="8"/>
  <c r="JM39" i="8" s="1"/>
  <c r="HJ39" i="8"/>
  <c r="JL39" i="8" s="1"/>
  <c r="HI39" i="8"/>
  <c r="JK39" i="8" s="1"/>
  <c r="HH39" i="8"/>
  <c r="JJ39" i="8" s="1"/>
  <c r="HG39" i="8"/>
  <c r="JI39" i="8" s="1"/>
  <c r="HF39" i="8"/>
  <c r="JH39" i="8" s="1"/>
  <c r="HE39" i="8"/>
  <c r="JG39" i="8" s="1"/>
  <c r="HD39" i="8"/>
  <c r="JF39" i="8" s="1"/>
  <c r="HC39" i="8"/>
  <c r="JE39" i="8" s="1"/>
  <c r="HB39" i="8"/>
  <c r="JD39" i="8" s="1"/>
  <c r="HA39" i="8"/>
  <c r="JC39" i="8" s="1"/>
  <c r="GZ39" i="8"/>
  <c r="JB39" i="8" s="1"/>
  <c r="GY39" i="8"/>
  <c r="JA39" i="8" s="1"/>
  <c r="GX39" i="8"/>
  <c r="GW39" i="8"/>
  <c r="GV39" i="8"/>
  <c r="GU39" i="8"/>
  <c r="GT39" i="8"/>
  <c r="GS39" i="8"/>
  <c r="GR39" i="8"/>
  <c r="IX39" i="8" s="1"/>
  <c r="GQ39" i="8"/>
  <c r="IW39" i="8" s="1"/>
  <c r="GP39" i="8"/>
  <c r="IV39" i="8" s="1"/>
  <c r="GO39" i="8"/>
  <c r="IU39" i="8" s="1"/>
  <c r="GN39" i="8"/>
  <c r="IT39" i="8" s="1"/>
  <c r="GM39" i="8"/>
  <c r="IS39" i="8" s="1"/>
  <c r="GL39" i="8"/>
  <c r="IR39" i="8" s="1"/>
  <c r="GK39" i="8"/>
  <c r="IQ39" i="8" s="1"/>
  <c r="GJ39" i="8"/>
  <c r="IP39" i="8" s="1"/>
  <c r="GI39" i="8"/>
  <c r="IO39" i="8" s="1"/>
  <c r="GH39" i="8"/>
  <c r="GG39" i="8"/>
  <c r="GF39" i="8"/>
  <c r="GE39" i="8"/>
  <c r="GD39" i="8"/>
  <c r="GC39" i="8"/>
  <c r="GB39" i="8"/>
  <c r="IL39" i="8" s="1"/>
  <c r="GA39" i="8"/>
  <c r="FZ39" i="8"/>
  <c r="FY39" i="8"/>
  <c r="FX39" i="8"/>
  <c r="IJ39" i="8" s="1"/>
  <c r="FW39" i="8"/>
  <c r="FV39" i="8"/>
  <c r="IH39" i="8" s="1"/>
  <c r="FU39" i="8"/>
  <c r="FT39" i="8"/>
  <c r="FS39" i="8"/>
  <c r="FR39" i="8"/>
  <c r="FQ39" i="8"/>
  <c r="FP39" i="8"/>
  <c r="FO39" i="8"/>
  <c r="FN39" i="8"/>
  <c r="FM39" i="8"/>
  <c r="FL39" i="8"/>
  <c r="FK39" i="8"/>
  <c r="FJ39" i="8"/>
  <c r="FI39" i="8"/>
  <c r="FH39" i="8"/>
  <c r="IC39" i="8" s="1"/>
  <c r="FG39" i="8"/>
  <c r="IB39" i="8" s="1"/>
  <c r="FF39" i="8"/>
  <c r="IA39" i="8" s="1"/>
  <c r="FE39" i="8"/>
  <c r="FD39" i="8"/>
  <c r="FC39" i="8"/>
  <c r="FB39" i="8"/>
  <c r="FA39" i="8"/>
  <c r="EZ39" i="8"/>
  <c r="EY39" i="8"/>
  <c r="HX39" i="8" s="1"/>
  <c r="EX39" i="8"/>
  <c r="HW39" i="8" s="1"/>
  <c r="JG38" i="8"/>
  <c r="HM38" i="8"/>
  <c r="JO38" i="8" s="1"/>
  <c r="HL38" i="8"/>
  <c r="JN38" i="8" s="1"/>
  <c r="HK38" i="8"/>
  <c r="JM38" i="8" s="1"/>
  <c r="HJ38" i="8"/>
  <c r="JL38" i="8" s="1"/>
  <c r="HI38" i="8"/>
  <c r="JK38" i="8" s="1"/>
  <c r="HH38" i="8"/>
  <c r="JJ38" i="8" s="1"/>
  <c r="HG38" i="8"/>
  <c r="JI38" i="8" s="1"/>
  <c r="HF38" i="8"/>
  <c r="JH38" i="8" s="1"/>
  <c r="HE38" i="8"/>
  <c r="HD38" i="8"/>
  <c r="JF38" i="8" s="1"/>
  <c r="HC38" i="8"/>
  <c r="JE38" i="8" s="1"/>
  <c r="HB38" i="8"/>
  <c r="JD38" i="8" s="1"/>
  <c r="HA38" i="8"/>
  <c r="JC38" i="8" s="1"/>
  <c r="GZ38" i="8"/>
  <c r="JB38" i="8" s="1"/>
  <c r="GY38" i="8"/>
  <c r="JA38" i="8" s="1"/>
  <c r="GX38" i="8"/>
  <c r="GW38" i="8"/>
  <c r="GV38" i="8"/>
  <c r="GU38" i="8"/>
  <c r="GT38" i="8"/>
  <c r="GS38" i="8"/>
  <c r="GR38" i="8"/>
  <c r="IX38" i="8" s="1"/>
  <c r="GQ38" i="8"/>
  <c r="IW38" i="8" s="1"/>
  <c r="GP38" i="8"/>
  <c r="IV38" i="8" s="1"/>
  <c r="GO38" i="8"/>
  <c r="IU38" i="8" s="1"/>
  <c r="GN38" i="8"/>
  <c r="IT38" i="8" s="1"/>
  <c r="GM38" i="8"/>
  <c r="IS38" i="8" s="1"/>
  <c r="GL38" i="8"/>
  <c r="IR38" i="8" s="1"/>
  <c r="GK38" i="8"/>
  <c r="IQ38" i="8" s="1"/>
  <c r="GJ38" i="8"/>
  <c r="IP38" i="8" s="1"/>
  <c r="GI38" i="8"/>
  <c r="IO38" i="8" s="1"/>
  <c r="GH38" i="8"/>
  <c r="GG38" i="8"/>
  <c r="GF38" i="8"/>
  <c r="GE38" i="8"/>
  <c r="GD38" i="8"/>
  <c r="GC38" i="8"/>
  <c r="GB38" i="8"/>
  <c r="IL38" i="8" s="1"/>
  <c r="GA38" i="8"/>
  <c r="FZ38" i="8"/>
  <c r="IK38" i="8" s="1"/>
  <c r="FY38" i="8"/>
  <c r="FX38" i="8"/>
  <c r="IJ38" i="8" s="1"/>
  <c r="FW38" i="8"/>
  <c r="FV38" i="8"/>
  <c r="IH38" i="8" s="1"/>
  <c r="FU38" i="8"/>
  <c r="FT38" i="8"/>
  <c r="FS38" i="8"/>
  <c r="IG38" i="8" s="1"/>
  <c r="FR38" i="8"/>
  <c r="FQ38" i="8"/>
  <c r="FP38" i="8"/>
  <c r="FO38" i="8"/>
  <c r="FN38" i="8"/>
  <c r="FM38" i="8"/>
  <c r="FL38" i="8"/>
  <c r="FK38" i="8"/>
  <c r="FJ38" i="8"/>
  <c r="FI38" i="8"/>
  <c r="FH38" i="8"/>
  <c r="IC38" i="8" s="1"/>
  <c r="FG38" i="8"/>
  <c r="IB38" i="8" s="1"/>
  <c r="FF38" i="8"/>
  <c r="IA38" i="8" s="1"/>
  <c r="FE38" i="8"/>
  <c r="FD38" i="8"/>
  <c r="FC38" i="8"/>
  <c r="FB38" i="8"/>
  <c r="FA38" i="8"/>
  <c r="EZ38" i="8"/>
  <c r="EY38" i="8"/>
  <c r="HX38" i="8" s="1"/>
  <c r="EX38" i="8"/>
  <c r="HW38" i="8" s="1"/>
  <c r="IU37" i="8"/>
  <c r="HM37" i="8"/>
  <c r="JO37" i="8" s="1"/>
  <c r="HL37" i="8"/>
  <c r="JN37" i="8" s="1"/>
  <c r="HK37" i="8"/>
  <c r="JM37" i="8" s="1"/>
  <c r="HJ37" i="8"/>
  <c r="JL37" i="8" s="1"/>
  <c r="HI37" i="8"/>
  <c r="JK37" i="8" s="1"/>
  <c r="HH37" i="8"/>
  <c r="JJ37" i="8" s="1"/>
  <c r="HG37" i="8"/>
  <c r="JI37" i="8" s="1"/>
  <c r="HF37" i="8"/>
  <c r="JH37" i="8" s="1"/>
  <c r="HE37" i="8"/>
  <c r="JG37" i="8" s="1"/>
  <c r="HD37" i="8"/>
  <c r="JF37" i="8" s="1"/>
  <c r="HC37" i="8"/>
  <c r="JE37" i="8" s="1"/>
  <c r="HB37" i="8"/>
  <c r="JD37" i="8" s="1"/>
  <c r="HA37" i="8"/>
  <c r="JC37" i="8" s="1"/>
  <c r="GZ37" i="8"/>
  <c r="JB37" i="8" s="1"/>
  <c r="GY37" i="8"/>
  <c r="JA37" i="8" s="1"/>
  <c r="GX37" i="8"/>
  <c r="GW37" i="8"/>
  <c r="GV37" i="8"/>
  <c r="GU37" i="8"/>
  <c r="GT37" i="8"/>
  <c r="IY37" i="8" s="1"/>
  <c r="GS37" i="8"/>
  <c r="GR37" i="8"/>
  <c r="IX37" i="8" s="1"/>
  <c r="GQ37" i="8"/>
  <c r="IW37" i="8" s="1"/>
  <c r="GP37" i="8"/>
  <c r="IV37" i="8" s="1"/>
  <c r="GO37" i="8"/>
  <c r="GN37" i="8"/>
  <c r="IT37" i="8" s="1"/>
  <c r="GM37" i="8"/>
  <c r="IS37" i="8" s="1"/>
  <c r="GL37" i="8"/>
  <c r="IR37" i="8" s="1"/>
  <c r="GK37" i="8"/>
  <c r="IQ37" i="8" s="1"/>
  <c r="GJ37" i="8"/>
  <c r="IP37" i="8" s="1"/>
  <c r="GI37" i="8"/>
  <c r="IO37" i="8" s="1"/>
  <c r="GH37" i="8"/>
  <c r="GG37" i="8"/>
  <c r="GF37" i="8"/>
  <c r="GE37" i="8"/>
  <c r="GD37" i="8"/>
  <c r="IM37" i="8" s="1"/>
  <c r="GC37" i="8"/>
  <c r="GB37" i="8"/>
  <c r="IL37" i="8" s="1"/>
  <c r="GA37" i="8"/>
  <c r="FZ37" i="8"/>
  <c r="IK37" i="8" s="1"/>
  <c r="FY37" i="8"/>
  <c r="FX37" i="8"/>
  <c r="IJ37" i="8" s="1"/>
  <c r="FW37" i="8"/>
  <c r="II37" i="8" s="1"/>
  <c r="FV37" i="8"/>
  <c r="IH37" i="8" s="1"/>
  <c r="FU37" i="8"/>
  <c r="FT37" i="8"/>
  <c r="FS37" i="8"/>
  <c r="FR37" i="8"/>
  <c r="FQ37" i="8"/>
  <c r="FP37" i="8"/>
  <c r="FO37" i="8"/>
  <c r="FN37" i="8"/>
  <c r="IE37" i="8" s="1"/>
  <c r="FM37" i="8"/>
  <c r="FL37" i="8"/>
  <c r="FK37" i="8"/>
  <c r="FJ37" i="8"/>
  <c r="FI37" i="8"/>
  <c r="FH37" i="8"/>
  <c r="IC37" i="8" s="1"/>
  <c r="FG37" i="8"/>
  <c r="IB37" i="8" s="1"/>
  <c r="FF37" i="8"/>
  <c r="IA37" i="8" s="1"/>
  <c r="FE37" i="8"/>
  <c r="FD37" i="8"/>
  <c r="FC37" i="8"/>
  <c r="FB37" i="8"/>
  <c r="FA37" i="8"/>
  <c r="EZ37" i="8"/>
  <c r="EY37" i="8"/>
  <c r="HX37" i="8" s="1"/>
  <c r="EX37" i="8"/>
  <c r="HW37" i="8" s="1"/>
  <c r="JF36" i="8"/>
  <c r="IL36" i="8"/>
  <c r="HM36" i="8"/>
  <c r="JO36" i="8" s="1"/>
  <c r="HL36" i="8"/>
  <c r="JN36" i="8" s="1"/>
  <c r="HK36" i="8"/>
  <c r="JM36" i="8" s="1"/>
  <c r="HJ36" i="8"/>
  <c r="JL36" i="8" s="1"/>
  <c r="HI36" i="8"/>
  <c r="JK36" i="8" s="1"/>
  <c r="HH36" i="8"/>
  <c r="JJ36" i="8" s="1"/>
  <c r="HG36" i="8"/>
  <c r="JI36" i="8" s="1"/>
  <c r="HF36" i="8"/>
  <c r="JH36" i="8" s="1"/>
  <c r="HE36" i="8"/>
  <c r="JG36" i="8" s="1"/>
  <c r="HD36" i="8"/>
  <c r="HC36" i="8"/>
  <c r="JE36" i="8" s="1"/>
  <c r="HB36" i="8"/>
  <c r="JD36" i="8" s="1"/>
  <c r="HA36" i="8"/>
  <c r="JC36" i="8" s="1"/>
  <c r="GZ36" i="8"/>
  <c r="JB36" i="8" s="1"/>
  <c r="GY36" i="8"/>
  <c r="JA36" i="8" s="1"/>
  <c r="GX36" i="8"/>
  <c r="GW36" i="8"/>
  <c r="GV36" i="8"/>
  <c r="GU36" i="8"/>
  <c r="GT36" i="8"/>
  <c r="GS36" i="8"/>
  <c r="GR36" i="8"/>
  <c r="IX36" i="8" s="1"/>
  <c r="GQ36" i="8"/>
  <c r="IW36" i="8" s="1"/>
  <c r="GP36" i="8"/>
  <c r="IV36" i="8" s="1"/>
  <c r="GO36" i="8"/>
  <c r="IU36" i="8" s="1"/>
  <c r="GN36" i="8"/>
  <c r="IT36" i="8" s="1"/>
  <c r="GM36" i="8"/>
  <c r="IS36" i="8" s="1"/>
  <c r="GL36" i="8"/>
  <c r="IR36" i="8" s="1"/>
  <c r="GK36" i="8"/>
  <c r="IQ36" i="8" s="1"/>
  <c r="GJ36" i="8"/>
  <c r="IP36" i="8" s="1"/>
  <c r="GI36" i="8"/>
  <c r="IO36" i="8" s="1"/>
  <c r="GH36" i="8"/>
  <c r="GG36" i="8"/>
  <c r="GF36" i="8"/>
  <c r="GE36" i="8"/>
  <c r="GD36" i="8"/>
  <c r="GC36" i="8"/>
  <c r="GB36" i="8"/>
  <c r="GA36" i="8"/>
  <c r="FZ36" i="8"/>
  <c r="IK36" i="8" s="1"/>
  <c r="FY36" i="8"/>
  <c r="FX36" i="8"/>
  <c r="IJ36" i="8" s="1"/>
  <c r="FW36" i="8"/>
  <c r="FV36" i="8"/>
  <c r="IH36" i="8" s="1"/>
  <c r="FU36" i="8"/>
  <c r="FT36" i="8"/>
  <c r="FS36" i="8"/>
  <c r="FR36" i="8"/>
  <c r="FQ36" i="8"/>
  <c r="FP36" i="8"/>
  <c r="FO36" i="8"/>
  <c r="FN36" i="8"/>
  <c r="FM36" i="8"/>
  <c r="FL36" i="8"/>
  <c r="FK36" i="8"/>
  <c r="FJ36" i="8"/>
  <c r="FI36" i="8"/>
  <c r="FH36" i="8"/>
  <c r="IC36" i="8" s="1"/>
  <c r="FG36" i="8"/>
  <c r="IB36" i="8" s="1"/>
  <c r="FF36" i="8"/>
  <c r="IA36" i="8" s="1"/>
  <c r="FE36" i="8"/>
  <c r="HZ36" i="8" s="1"/>
  <c r="FD36" i="8"/>
  <c r="FC36" i="8"/>
  <c r="FB36" i="8"/>
  <c r="FA36" i="8"/>
  <c r="EZ36" i="8"/>
  <c r="EY36" i="8"/>
  <c r="HX36" i="8" s="1"/>
  <c r="EX36" i="8"/>
  <c r="HW36" i="8" s="1"/>
  <c r="IQ35" i="8"/>
  <c r="HM35" i="8"/>
  <c r="JO35" i="8" s="1"/>
  <c r="HL35" i="8"/>
  <c r="JN35" i="8" s="1"/>
  <c r="HK35" i="8"/>
  <c r="JM35" i="8" s="1"/>
  <c r="HJ35" i="8"/>
  <c r="JL35" i="8" s="1"/>
  <c r="HI35" i="8"/>
  <c r="JK35" i="8" s="1"/>
  <c r="HH35" i="8"/>
  <c r="JJ35" i="8" s="1"/>
  <c r="HG35" i="8"/>
  <c r="JI35" i="8" s="1"/>
  <c r="HF35" i="8"/>
  <c r="JH35" i="8" s="1"/>
  <c r="HE35" i="8"/>
  <c r="JG35" i="8" s="1"/>
  <c r="HD35" i="8"/>
  <c r="JF35" i="8" s="1"/>
  <c r="HC35" i="8"/>
  <c r="JE35" i="8" s="1"/>
  <c r="HB35" i="8"/>
  <c r="JD35" i="8" s="1"/>
  <c r="HA35" i="8"/>
  <c r="JC35" i="8" s="1"/>
  <c r="GZ35" i="8"/>
  <c r="JB35" i="8" s="1"/>
  <c r="GY35" i="8"/>
  <c r="JA35" i="8" s="1"/>
  <c r="GX35" i="8"/>
  <c r="GW35" i="8"/>
  <c r="GV35" i="8"/>
  <c r="GU35" i="8"/>
  <c r="GT35" i="8"/>
  <c r="GS35" i="8"/>
  <c r="GR35" i="8"/>
  <c r="IX35" i="8" s="1"/>
  <c r="GQ35" i="8"/>
  <c r="IW35" i="8" s="1"/>
  <c r="GP35" i="8"/>
  <c r="IV35" i="8" s="1"/>
  <c r="GO35" i="8"/>
  <c r="IU35" i="8" s="1"/>
  <c r="GN35" i="8"/>
  <c r="IT35" i="8" s="1"/>
  <c r="GM35" i="8"/>
  <c r="IS35" i="8" s="1"/>
  <c r="GL35" i="8"/>
  <c r="IR35" i="8" s="1"/>
  <c r="GK35" i="8"/>
  <c r="GJ35" i="8"/>
  <c r="IP35" i="8" s="1"/>
  <c r="GI35" i="8"/>
  <c r="IO35" i="8" s="1"/>
  <c r="GH35" i="8"/>
  <c r="GG35" i="8"/>
  <c r="GF35" i="8"/>
  <c r="GE35" i="8"/>
  <c r="GD35" i="8"/>
  <c r="GC35" i="8"/>
  <c r="GB35" i="8"/>
  <c r="IL35" i="8" s="1"/>
  <c r="GA35" i="8"/>
  <c r="FZ35" i="8"/>
  <c r="FY35" i="8"/>
  <c r="FX35" i="8"/>
  <c r="IJ35" i="8" s="1"/>
  <c r="FW35" i="8"/>
  <c r="FV35" i="8"/>
  <c r="IH35" i="8" s="1"/>
  <c r="FU35" i="8"/>
  <c r="FT35" i="8"/>
  <c r="FS35" i="8"/>
  <c r="FR35" i="8"/>
  <c r="FQ35" i="8"/>
  <c r="FP35" i="8"/>
  <c r="FO35" i="8"/>
  <c r="FN35" i="8"/>
  <c r="FM35" i="8"/>
  <c r="FL35" i="8"/>
  <c r="FK35" i="8"/>
  <c r="FJ35" i="8"/>
  <c r="FI35" i="8"/>
  <c r="FH35" i="8"/>
  <c r="IC35" i="8" s="1"/>
  <c r="FG35" i="8"/>
  <c r="IB35" i="8" s="1"/>
  <c r="FF35" i="8"/>
  <c r="IA35" i="8" s="1"/>
  <c r="FE35" i="8"/>
  <c r="FD35" i="8"/>
  <c r="HZ35" i="8" s="1"/>
  <c r="FC35" i="8"/>
  <c r="FB35" i="8"/>
  <c r="FA35" i="8"/>
  <c r="EZ35" i="8"/>
  <c r="EY35" i="8"/>
  <c r="HX35" i="8" s="1"/>
  <c r="EX35" i="8"/>
  <c r="HW35" i="8" s="1"/>
  <c r="IV34" i="8"/>
  <c r="IJ34" i="8"/>
  <c r="HM34" i="8"/>
  <c r="JO34" i="8" s="1"/>
  <c r="HL34" i="8"/>
  <c r="JN34" i="8" s="1"/>
  <c r="HK34" i="8"/>
  <c r="JM34" i="8" s="1"/>
  <c r="HJ34" i="8"/>
  <c r="JL34" i="8" s="1"/>
  <c r="HI34" i="8"/>
  <c r="JK34" i="8" s="1"/>
  <c r="HH34" i="8"/>
  <c r="JJ34" i="8" s="1"/>
  <c r="HG34" i="8"/>
  <c r="JI34" i="8" s="1"/>
  <c r="HF34" i="8"/>
  <c r="JH34" i="8" s="1"/>
  <c r="HE34" i="8"/>
  <c r="JG34" i="8" s="1"/>
  <c r="HD34" i="8"/>
  <c r="JF34" i="8" s="1"/>
  <c r="HC34" i="8"/>
  <c r="JE34" i="8" s="1"/>
  <c r="HB34" i="8"/>
  <c r="JD34" i="8" s="1"/>
  <c r="HA34" i="8"/>
  <c r="JC34" i="8" s="1"/>
  <c r="GZ34" i="8"/>
  <c r="JB34" i="8" s="1"/>
  <c r="GY34" i="8"/>
  <c r="JA34" i="8" s="1"/>
  <c r="GX34" i="8"/>
  <c r="GW34" i="8"/>
  <c r="GV34" i="8"/>
  <c r="GU34" i="8"/>
  <c r="GT34" i="8"/>
  <c r="GS34" i="8"/>
  <c r="GR34" i="8"/>
  <c r="IX34" i="8" s="1"/>
  <c r="GQ34" i="8"/>
  <c r="IW34" i="8" s="1"/>
  <c r="GP34" i="8"/>
  <c r="GO34" i="8"/>
  <c r="IU34" i="8" s="1"/>
  <c r="GN34" i="8"/>
  <c r="IT34" i="8" s="1"/>
  <c r="GM34" i="8"/>
  <c r="IS34" i="8" s="1"/>
  <c r="GL34" i="8"/>
  <c r="IR34" i="8" s="1"/>
  <c r="GK34" i="8"/>
  <c r="IQ34" i="8" s="1"/>
  <c r="GJ34" i="8"/>
  <c r="IP34" i="8" s="1"/>
  <c r="GI34" i="8"/>
  <c r="IO34" i="8" s="1"/>
  <c r="GH34" i="8"/>
  <c r="GG34" i="8"/>
  <c r="GF34" i="8"/>
  <c r="GE34" i="8"/>
  <c r="GD34" i="8"/>
  <c r="GC34" i="8"/>
  <c r="GB34" i="8"/>
  <c r="IL34" i="8" s="1"/>
  <c r="GA34" i="8"/>
  <c r="FZ34" i="8"/>
  <c r="FY34" i="8"/>
  <c r="FX34" i="8"/>
  <c r="FW34" i="8"/>
  <c r="II34" i="8" s="1"/>
  <c r="FV34" i="8"/>
  <c r="IH34" i="8" s="1"/>
  <c r="FU34" i="8"/>
  <c r="FT34" i="8"/>
  <c r="FS34" i="8"/>
  <c r="IG34" i="8" s="1"/>
  <c r="FR34" i="8"/>
  <c r="FQ34" i="8"/>
  <c r="FP34" i="8"/>
  <c r="FO34" i="8"/>
  <c r="FN34" i="8"/>
  <c r="FM34" i="8"/>
  <c r="FL34" i="8"/>
  <c r="FK34" i="8"/>
  <c r="FJ34" i="8"/>
  <c r="FI34" i="8"/>
  <c r="FH34" i="8"/>
  <c r="IC34" i="8" s="1"/>
  <c r="FG34" i="8"/>
  <c r="IB34" i="8" s="1"/>
  <c r="FF34" i="8"/>
  <c r="IA34" i="8" s="1"/>
  <c r="FE34" i="8"/>
  <c r="FD34" i="8"/>
  <c r="FC34" i="8"/>
  <c r="FB34" i="8"/>
  <c r="FA34" i="8"/>
  <c r="EZ34" i="8"/>
  <c r="EY34" i="8"/>
  <c r="HX34" i="8" s="1"/>
  <c r="EX34" i="8"/>
  <c r="HW34" i="8" s="1"/>
  <c r="HM33" i="8"/>
  <c r="JO33" i="8" s="1"/>
  <c r="HL33" i="8"/>
  <c r="JN33" i="8" s="1"/>
  <c r="HK33" i="8"/>
  <c r="JM33" i="8" s="1"/>
  <c r="HJ33" i="8"/>
  <c r="JL33" i="8" s="1"/>
  <c r="HI33" i="8"/>
  <c r="JK33" i="8" s="1"/>
  <c r="HH33" i="8"/>
  <c r="JJ33" i="8" s="1"/>
  <c r="HG33" i="8"/>
  <c r="JI33" i="8" s="1"/>
  <c r="HF33" i="8"/>
  <c r="JH33" i="8" s="1"/>
  <c r="HE33" i="8"/>
  <c r="JG33" i="8" s="1"/>
  <c r="HD33" i="8"/>
  <c r="JF33" i="8" s="1"/>
  <c r="HC33" i="8"/>
  <c r="JE33" i="8" s="1"/>
  <c r="HB33" i="8"/>
  <c r="JD33" i="8" s="1"/>
  <c r="HA33" i="8"/>
  <c r="JC33" i="8" s="1"/>
  <c r="GZ33" i="8"/>
  <c r="JB33" i="8" s="1"/>
  <c r="GY33" i="8"/>
  <c r="JA33" i="8" s="1"/>
  <c r="GX33" i="8"/>
  <c r="GW33" i="8"/>
  <c r="GV33" i="8"/>
  <c r="GU33" i="8"/>
  <c r="GT33" i="8"/>
  <c r="GS33" i="8"/>
  <c r="GR33" i="8"/>
  <c r="IX33" i="8" s="1"/>
  <c r="GQ33" i="8"/>
  <c r="IW33" i="8" s="1"/>
  <c r="GP33" i="8"/>
  <c r="IV33" i="8" s="1"/>
  <c r="GO33" i="8"/>
  <c r="IU33" i="8" s="1"/>
  <c r="GN33" i="8"/>
  <c r="IT33" i="8" s="1"/>
  <c r="GM33" i="8"/>
  <c r="IS33" i="8" s="1"/>
  <c r="GL33" i="8"/>
  <c r="IR33" i="8" s="1"/>
  <c r="GK33" i="8"/>
  <c r="IQ33" i="8" s="1"/>
  <c r="GJ33" i="8"/>
  <c r="IP33" i="8" s="1"/>
  <c r="GI33" i="8"/>
  <c r="IO33" i="8" s="1"/>
  <c r="GH33" i="8"/>
  <c r="GG33" i="8"/>
  <c r="GF33" i="8"/>
  <c r="GE33" i="8"/>
  <c r="GD33" i="8"/>
  <c r="GC33" i="8"/>
  <c r="GB33" i="8"/>
  <c r="IL33" i="8" s="1"/>
  <c r="GA33" i="8"/>
  <c r="FZ33" i="8"/>
  <c r="FY33" i="8"/>
  <c r="FX33" i="8"/>
  <c r="IJ33" i="8" s="1"/>
  <c r="FW33" i="8"/>
  <c r="FV33" i="8"/>
  <c r="IH33" i="8" s="1"/>
  <c r="FU33" i="8"/>
  <c r="FT33" i="8"/>
  <c r="FS33" i="8"/>
  <c r="FR33" i="8"/>
  <c r="FQ33" i="8"/>
  <c r="FP33" i="8"/>
  <c r="FO33" i="8"/>
  <c r="FN33" i="8"/>
  <c r="FM33" i="8"/>
  <c r="FL33" i="8"/>
  <c r="FK33" i="8"/>
  <c r="FJ33" i="8"/>
  <c r="FI33" i="8"/>
  <c r="FH33" i="8"/>
  <c r="IC33" i="8" s="1"/>
  <c r="FG33" i="8"/>
  <c r="IB33" i="8" s="1"/>
  <c r="FF33" i="8"/>
  <c r="IA33" i="8" s="1"/>
  <c r="FE33" i="8"/>
  <c r="FD33" i="8"/>
  <c r="FC33" i="8"/>
  <c r="FB33" i="8"/>
  <c r="FA33" i="8"/>
  <c r="EZ33" i="8"/>
  <c r="EY33" i="8"/>
  <c r="HX33" i="8" s="1"/>
  <c r="EX33" i="8"/>
  <c r="HW33" i="8" s="1"/>
  <c r="IR32" i="8"/>
  <c r="HM32" i="8"/>
  <c r="JO32" i="8" s="1"/>
  <c r="HL32" i="8"/>
  <c r="JN32" i="8" s="1"/>
  <c r="HK32" i="8"/>
  <c r="JM32" i="8" s="1"/>
  <c r="HJ32" i="8"/>
  <c r="JL32" i="8" s="1"/>
  <c r="HI32" i="8"/>
  <c r="JK32" i="8" s="1"/>
  <c r="HH32" i="8"/>
  <c r="JJ32" i="8" s="1"/>
  <c r="HG32" i="8"/>
  <c r="JI32" i="8" s="1"/>
  <c r="HF32" i="8"/>
  <c r="JH32" i="8" s="1"/>
  <c r="HE32" i="8"/>
  <c r="JG32" i="8" s="1"/>
  <c r="HD32" i="8"/>
  <c r="JF32" i="8" s="1"/>
  <c r="HC32" i="8"/>
  <c r="JE32" i="8" s="1"/>
  <c r="HB32" i="8"/>
  <c r="JD32" i="8" s="1"/>
  <c r="HA32" i="8"/>
  <c r="JC32" i="8" s="1"/>
  <c r="GZ32" i="8"/>
  <c r="JB32" i="8" s="1"/>
  <c r="GY32" i="8"/>
  <c r="JA32" i="8" s="1"/>
  <c r="GX32" i="8"/>
  <c r="GW32" i="8"/>
  <c r="GV32" i="8"/>
  <c r="GU32" i="8"/>
  <c r="GT32" i="8"/>
  <c r="GS32" i="8"/>
  <c r="GR32" i="8"/>
  <c r="IX32" i="8" s="1"/>
  <c r="GQ32" i="8"/>
  <c r="IW32" i="8" s="1"/>
  <c r="GP32" i="8"/>
  <c r="IV32" i="8" s="1"/>
  <c r="GO32" i="8"/>
  <c r="IU32" i="8" s="1"/>
  <c r="GN32" i="8"/>
  <c r="IT32" i="8" s="1"/>
  <c r="GM32" i="8"/>
  <c r="IS32" i="8" s="1"/>
  <c r="GL32" i="8"/>
  <c r="GK32" i="8"/>
  <c r="IQ32" i="8" s="1"/>
  <c r="GJ32" i="8"/>
  <c r="IP32" i="8" s="1"/>
  <c r="GI32" i="8"/>
  <c r="IO32" i="8" s="1"/>
  <c r="GH32" i="8"/>
  <c r="GG32" i="8"/>
  <c r="GF32" i="8"/>
  <c r="GE32" i="8"/>
  <c r="GD32" i="8"/>
  <c r="GC32" i="8"/>
  <c r="GB32" i="8"/>
  <c r="IL32" i="8" s="1"/>
  <c r="GA32" i="8"/>
  <c r="FZ32" i="8"/>
  <c r="FY32" i="8"/>
  <c r="FX32" i="8"/>
  <c r="IJ32" i="8" s="1"/>
  <c r="FW32" i="8"/>
  <c r="FV32" i="8"/>
  <c r="IH32" i="8" s="1"/>
  <c r="FU32" i="8"/>
  <c r="FT32" i="8"/>
  <c r="FS32" i="8"/>
  <c r="FR32" i="8"/>
  <c r="FQ32" i="8"/>
  <c r="FP32" i="8"/>
  <c r="FO32" i="8"/>
  <c r="FN32" i="8"/>
  <c r="FM32" i="8"/>
  <c r="FL32" i="8"/>
  <c r="FK32" i="8"/>
  <c r="FJ32" i="8"/>
  <c r="FI32" i="8"/>
  <c r="FH32" i="8"/>
  <c r="IC32" i="8" s="1"/>
  <c r="FG32" i="8"/>
  <c r="IB32" i="8" s="1"/>
  <c r="FF32" i="8"/>
  <c r="IA32" i="8" s="1"/>
  <c r="FE32" i="8"/>
  <c r="FD32" i="8"/>
  <c r="FC32" i="8"/>
  <c r="FB32" i="8"/>
  <c r="FA32" i="8"/>
  <c r="EZ32" i="8"/>
  <c r="EY32" i="8"/>
  <c r="HX32" i="8" s="1"/>
  <c r="EX32" i="8"/>
  <c r="HW32" i="8" s="1"/>
  <c r="JK31" i="8"/>
  <c r="JC31" i="8"/>
  <c r="HM31" i="8"/>
  <c r="JO31" i="8" s="1"/>
  <c r="HL31" i="8"/>
  <c r="JN31" i="8" s="1"/>
  <c r="HK31" i="8"/>
  <c r="JM31" i="8" s="1"/>
  <c r="HJ31" i="8"/>
  <c r="JL31" i="8" s="1"/>
  <c r="HI31" i="8"/>
  <c r="HH31" i="8"/>
  <c r="JJ31" i="8" s="1"/>
  <c r="HG31" i="8"/>
  <c r="JI31" i="8" s="1"/>
  <c r="HF31" i="8"/>
  <c r="JH31" i="8" s="1"/>
  <c r="HE31" i="8"/>
  <c r="JG31" i="8" s="1"/>
  <c r="HD31" i="8"/>
  <c r="JF31" i="8" s="1"/>
  <c r="HC31" i="8"/>
  <c r="JE31" i="8" s="1"/>
  <c r="HB31" i="8"/>
  <c r="JD31" i="8" s="1"/>
  <c r="HA31" i="8"/>
  <c r="GZ31" i="8"/>
  <c r="JB31" i="8" s="1"/>
  <c r="GY31" i="8"/>
  <c r="JA31" i="8" s="1"/>
  <c r="GX31" i="8"/>
  <c r="GW31" i="8"/>
  <c r="GV31" i="8"/>
  <c r="GU31" i="8"/>
  <c r="GT31" i="8"/>
  <c r="GS31" i="8"/>
  <c r="GR31" i="8"/>
  <c r="IX31" i="8" s="1"/>
  <c r="GQ31" i="8"/>
  <c r="IW31" i="8" s="1"/>
  <c r="GP31" i="8"/>
  <c r="IV31" i="8" s="1"/>
  <c r="GO31" i="8"/>
  <c r="IU31" i="8" s="1"/>
  <c r="GN31" i="8"/>
  <c r="IT31" i="8" s="1"/>
  <c r="GM31" i="8"/>
  <c r="IS31" i="8" s="1"/>
  <c r="GL31" i="8"/>
  <c r="IR31" i="8" s="1"/>
  <c r="GK31" i="8"/>
  <c r="IQ31" i="8" s="1"/>
  <c r="GJ31" i="8"/>
  <c r="IP31" i="8" s="1"/>
  <c r="GI31" i="8"/>
  <c r="IO31" i="8" s="1"/>
  <c r="GH31" i="8"/>
  <c r="GG31" i="8"/>
  <c r="GF31" i="8"/>
  <c r="GE31" i="8"/>
  <c r="GD31" i="8"/>
  <c r="GC31" i="8"/>
  <c r="GB31" i="8"/>
  <c r="IL31" i="8" s="1"/>
  <c r="GA31" i="8"/>
  <c r="FZ31" i="8"/>
  <c r="FY31" i="8"/>
  <c r="FX31" i="8"/>
  <c r="IJ31" i="8" s="1"/>
  <c r="FW31" i="8"/>
  <c r="II31" i="8" s="1"/>
  <c r="FV31" i="8"/>
  <c r="IH31" i="8" s="1"/>
  <c r="FU31" i="8"/>
  <c r="FT31" i="8"/>
  <c r="FS31" i="8"/>
  <c r="FR31" i="8"/>
  <c r="FQ31" i="8"/>
  <c r="FP31" i="8"/>
  <c r="FO31" i="8"/>
  <c r="FN31" i="8"/>
  <c r="FM31" i="8"/>
  <c r="FL31" i="8"/>
  <c r="FK31" i="8"/>
  <c r="FJ31" i="8"/>
  <c r="FI31" i="8"/>
  <c r="FH31" i="8"/>
  <c r="IC31" i="8" s="1"/>
  <c r="FG31" i="8"/>
  <c r="IB31" i="8" s="1"/>
  <c r="FF31" i="8"/>
  <c r="IA31" i="8" s="1"/>
  <c r="FE31" i="8"/>
  <c r="FD31" i="8"/>
  <c r="FC31" i="8"/>
  <c r="FB31" i="8"/>
  <c r="FA31" i="8"/>
  <c r="EZ31" i="8"/>
  <c r="EY31" i="8"/>
  <c r="HX31" i="8" s="1"/>
  <c r="EX31" i="8"/>
  <c r="HW31" i="8" s="1"/>
  <c r="IQ30" i="8"/>
  <c r="HM30" i="8"/>
  <c r="JO30" i="8" s="1"/>
  <c r="HL30" i="8"/>
  <c r="JN30" i="8" s="1"/>
  <c r="HK30" i="8"/>
  <c r="JM30" i="8" s="1"/>
  <c r="HJ30" i="8"/>
  <c r="JL30" i="8" s="1"/>
  <c r="HI30" i="8"/>
  <c r="JK30" i="8" s="1"/>
  <c r="HH30" i="8"/>
  <c r="JJ30" i="8" s="1"/>
  <c r="HG30" i="8"/>
  <c r="JI30" i="8" s="1"/>
  <c r="HF30" i="8"/>
  <c r="JH30" i="8" s="1"/>
  <c r="HE30" i="8"/>
  <c r="JG30" i="8" s="1"/>
  <c r="HD30" i="8"/>
  <c r="JF30" i="8" s="1"/>
  <c r="HC30" i="8"/>
  <c r="JE30" i="8" s="1"/>
  <c r="HB30" i="8"/>
  <c r="JD30" i="8" s="1"/>
  <c r="HA30" i="8"/>
  <c r="JC30" i="8" s="1"/>
  <c r="GZ30" i="8"/>
  <c r="JB30" i="8" s="1"/>
  <c r="GY30" i="8"/>
  <c r="JA30" i="8" s="1"/>
  <c r="GX30" i="8"/>
  <c r="GW30" i="8"/>
  <c r="GV30" i="8"/>
  <c r="GU30" i="8"/>
  <c r="GT30" i="8"/>
  <c r="GS30" i="8"/>
  <c r="GR30" i="8"/>
  <c r="IX30" i="8" s="1"/>
  <c r="GQ30" i="8"/>
  <c r="IW30" i="8" s="1"/>
  <c r="GP30" i="8"/>
  <c r="IV30" i="8" s="1"/>
  <c r="GO30" i="8"/>
  <c r="IU30" i="8" s="1"/>
  <c r="GN30" i="8"/>
  <c r="IT30" i="8" s="1"/>
  <c r="GM30" i="8"/>
  <c r="IS30" i="8" s="1"/>
  <c r="GL30" i="8"/>
  <c r="IR30" i="8" s="1"/>
  <c r="GK30" i="8"/>
  <c r="GJ30" i="8"/>
  <c r="IP30" i="8" s="1"/>
  <c r="GI30" i="8"/>
  <c r="IO30" i="8" s="1"/>
  <c r="GH30" i="8"/>
  <c r="GG30" i="8"/>
  <c r="GF30" i="8"/>
  <c r="GE30" i="8"/>
  <c r="GD30" i="8"/>
  <c r="GC30" i="8"/>
  <c r="GB30" i="8"/>
  <c r="IL30" i="8" s="1"/>
  <c r="GA30" i="8"/>
  <c r="FZ30" i="8"/>
  <c r="FY30" i="8"/>
  <c r="FX30" i="8"/>
  <c r="IJ30" i="8" s="1"/>
  <c r="FW30" i="8"/>
  <c r="FV30" i="8"/>
  <c r="IH30" i="8" s="1"/>
  <c r="FU30" i="8"/>
  <c r="FT30" i="8"/>
  <c r="FS30" i="8"/>
  <c r="FR30" i="8"/>
  <c r="FQ30" i="8"/>
  <c r="FP30" i="8"/>
  <c r="FO30" i="8"/>
  <c r="FN30" i="8"/>
  <c r="FM30" i="8"/>
  <c r="FL30" i="8"/>
  <c r="FK30" i="8"/>
  <c r="FJ30" i="8"/>
  <c r="FI30" i="8"/>
  <c r="FH30" i="8"/>
  <c r="IC30" i="8" s="1"/>
  <c r="FG30" i="8"/>
  <c r="IB30" i="8" s="1"/>
  <c r="FF30" i="8"/>
  <c r="IA30" i="8" s="1"/>
  <c r="FE30" i="8"/>
  <c r="FD30" i="8"/>
  <c r="HZ30" i="8" s="1"/>
  <c r="FC30" i="8"/>
  <c r="FB30" i="8"/>
  <c r="FA30" i="8"/>
  <c r="EZ30" i="8"/>
  <c r="EY30" i="8"/>
  <c r="HX30" i="8" s="1"/>
  <c r="EX30" i="8"/>
  <c r="HW30" i="8" s="1"/>
  <c r="JH29" i="8"/>
  <c r="HM29" i="8"/>
  <c r="JO29" i="8" s="1"/>
  <c r="HL29" i="8"/>
  <c r="JN29" i="8" s="1"/>
  <c r="HK29" i="8"/>
  <c r="JM29" i="8" s="1"/>
  <c r="HJ29" i="8"/>
  <c r="JL29" i="8" s="1"/>
  <c r="HI29" i="8"/>
  <c r="JK29" i="8" s="1"/>
  <c r="HH29" i="8"/>
  <c r="JJ29" i="8" s="1"/>
  <c r="HG29" i="8"/>
  <c r="JI29" i="8" s="1"/>
  <c r="HF29" i="8"/>
  <c r="HE29" i="8"/>
  <c r="JG29" i="8" s="1"/>
  <c r="HD29" i="8"/>
  <c r="JF29" i="8" s="1"/>
  <c r="HC29" i="8"/>
  <c r="JE29" i="8" s="1"/>
  <c r="HB29" i="8"/>
  <c r="JD29" i="8" s="1"/>
  <c r="HA29" i="8"/>
  <c r="JC29" i="8" s="1"/>
  <c r="GZ29" i="8"/>
  <c r="JB29" i="8" s="1"/>
  <c r="GY29" i="8"/>
  <c r="JA29" i="8" s="1"/>
  <c r="GX29" i="8"/>
  <c r="GW29" i="8"/>
  <c r="GV29" i="8"/>
  <c r="IZ29" i="8" s="1"/>
  <c r="GU29" i="8"/>
  <c r="GT29" i="8"/>
  <c r="GS29" i="8"/>
  <c r="GR29" i="8"/>
  <c r="IX29" i="8" s="1"/>
  <c r="GQ29" i="8"/>
  <c r="IW29" i="8" s="1"/>
  <c r="GP29" i="8"/>
  <c r="IV29" i="8" s="1"/>
  <c r="GO29" i="8"/>
  <c r="IU29" i="8" s="1"/>
  <c r="GN29" i="8"/>
  <c r="IT29" i="8" s="1"/>
  <c r="GM29" i="8"/>
  <c r="IS29" i="8" s="1"/>
  <c r="GL29" i="8"/>
  <c r="IR29" i="8" s="1"/>
  <c r="GK29" i="8"/>
  <c r="IQ29" i="8" s="1"/>
  <c r="GJ29" i="8"/>
  <c r="IP29" i="8" s="1"/>
  <c r="GI29" i="8"/>
  <c r="IO29" i="8" s="1"/>
  <c r="GH29" i="8"/>
  <c r="GG29" i="8"/>
  <c r="GF29" i="8"/>
  <c r="IN29" i="8" s="1"/>
  <c r="GE29" i="8"/>
  <c r="GD29" i="8"/>
  <c r="GC29" i="8"/>
  <c r="GB29" i="8"/>
  <c r="IL29" i="8" s="1"/>
  <c r="GA29" i="8"/>
  <c r="FZ29" i="8"/>
  <c r="FY29" i="8"/>
  <c r="FX29" i="8"/>
  <c r="IJ29" i="8" s="1"/>
  <c r="FW29" i="8"/>
  <c r="FV29" i="8"/>
  <c r="IH29" i="8" s="1"/>
  <c r="FU29" i="8"/>
  <c r="FT29" i="8"/>
  <c r="FS29" i="8"/>
  <c r="FR29" i="8"/>
  <c r="FQ29" i="8"/>
  <c r="FP29" i="8"/>
  <c r="FO29" i="8"/>
  <c r="FN29" i="8"/>
  <c r="FM29" i="8"/>
  <c r="FL29" i="8"/>
  <c r="FK29" i="8"/>
  <c r="FJ29" i="8"/>
  <c r="FI29" i="8"/>
  <c r="FH29" i="8"/>
  <c r="IC29" i="8" s="1"/>
  <c r="FG29" i="8"/>
  <c r="IB29" i="8" s="1"/>
  <c r="FF29" i="8"/>
  <c r="IA29" i="8" s="1"/>
  <c r="FE29" i="8"/>
  <c r="FD29" i="8"/>
  <c r="FC29" i="8"/>
  <c r="FB29" i="8"/>
  <c r="FA29" i="8"/>
  <c r="EZ29" i="8"/>
  <c r="EY29" i="8"/>
  <c r="HX29" i="8" s="1"/>
  <c r="EX29" i="8"/>
  <c r="HW29" i="8" s="1"/>
  <c r="JK28" i="8"/>
  <c r="JG28" i="8"/>
  <c r="IQ28" i="8"/>
  <c r="HM28" i="8"/>
  <c r="JO28" i="8" s="1"/>
  <c r="HL28" i="8"/>
  <c r="JN28" i="8" s="1"/>
  <c r="HK28" i="8"/>
  <c r="JM28" i="8" s="1"/>
  <c r="HJ28" i="8"/>
  <c r="JL28" i="8" s="1"/>
  <c r="HI28" i="8"/>
  <c r="HH28" i="8"/>
  <c r="JJ28" i="8" s="1"/>
  <c r="HG28" i="8"/>
  <c r="JI28" i="8" s="1"/>
  <c r="HF28" i="8"/>
  <c r="JH28" i="8" s="1"/>
  <c r="HE28" i="8"/>
  <c r="HD28" i="8"/>
  <c r="JF28" i="8" s="1"/>
  <c r="HC28" i="8"/>
  <c r="JE28" i="8" s="1"/>
  <c r="HB28" i="8"/>
  <c r="JD28" i="8" s="1"/>
  <c r="HA28" i="8"/>
  <c r="JC28" i="8" s="1"/>
  <c r="GZ28" i="8"/>
  <c r="JB28" i="8" s="1"/>
  <c r="GY28" i="8"/>
  <c r="JA28" i="8" s="1"/>
  <c r="GX28" i="8"/>
  <c r="GW28" i="8"/>
  <c r="GV28" i="8"/>
  <c r="GU28" i="8"/>
  <c r="GT28" i="8"/>
  <c r="GS28" i="8"/>
  <c r="GR28" i="8"/>
  <c r="IX28" i="8" s="1"/>
  <c r="GQ28" i="8"/>
  <c r="IW28" i="8" s="1"/>
  <c r="GP28" i="8"/>
  <c r="IV28" i="8" s="1"/>
  <c r="GO28" i="8"/>
  <c r="IU28" i="8" s="1"/>
  <c r="GN28" i="8"/>
  <c r="IT28" i="8" s="1"/>
  <c r="GM28" i="8"/>
  <c r="IS28" i="8" s="1"/>
  <c r="GL28" i="8"/>
  <c r="IR28" i="8" s="1"/>
  <c r="GK28" i="8"/>
  <c r="GJ28" i="8"/>
  <c r="IP28" i="8" s="1"/>
  <c r="GI28" i="8"/>
  <c r="IO28" i="8" s="1"/>
  <c r="GH28" i="8"/>
  <c r="GG28" i="8"/>
  <c r="GF28" i="8"/>
  <c r="GE28" i="8"/>
  <c r="GD28" i="8"/>
  <c r="GC28" i="8"/>
  <c r="GB28" i="8"/>
  <c r="IL28" i="8" s="1"/>
  <c r="GA28" i="8"/>
  <c r="FZ28" i="8"/>
  <c r="FY28" i="8"/>
  <c r="FX28" i="8"/>
  <c r="IJ28" i="8" s="1"/>
  <c r="FW28" i="8"/>
  <c r="II28" i="8" s="1"/>
  <c r="FV28" i="8"/>
  <c r="IH28" i="8" s="1"/>
  <c r="FU28" i="8"/>
  <c r="FT28" i="8"/>
  <c r="FS28" i="8"/>
  <c r="FR28" i="8"/>
  <c r="FQ28" i="8"/>
  <c r="FP28" i="8"/>
  <c r="FO28" i="8"/>
  <c r="FN28" i="8"/>
  <c r="FM28" i="8"/>
  <c r="FL28" i="8"/>
  <c r="FK28" i="8"/>
  <c r="FJ28" i="8"/>
  <c r="FI28" i="8"/>
  <c r="FH28" i="8"/>
  <c r="IC28" i="8" s="1"/>
  <c r="FG28" i="8"/>
  <c r="IB28" i="8" s="1"/>
  <c r="FF28" i="8"/>
  <c r="IA28" i="8" s="1"/>
  <c r="FE28" i="8"/>
  <c r="FD28" i="8"/>
  <c r="HZ28" i="8" s="1"/>
  <c r="FC28" i="8"/>
  <c r="FB28" i="8"/>
  <c r="FA28" i="8"/>
  <c r="EZ28" i="8"/>
  <c r="EY28" i="8"/>
  <c r="HX28" i="8" s="1"/>
  <c r="EX28" i="8"/>
  <c r="HW28" i="8" s="1"/>
  <c r="IT27" i="8"/>
  <c r="IJ27" i="8"/>
  <c r="HM27" i="8"/>
  <c r="JO27" i="8" s="1"/>
  <c r="HL27" i="8"/>
  <c r="JN27" i="8" s="1"/>
  <c r="HK27" i="8"/>
  <c r="JM27" i="8" s="1"/>
  <c r="HJ27" i="8"/>
  <c r="JL27" i="8" s="1"/>
  <c r="HI27" i="8"/>
  <c r="JK27" i="8" s="1"/>
  <c r="HH27" i="8"/>
  <c r="JJ27" i="8" s="1"/>
  <c r="HG27" i="8"/>
  <c r="JI27" i="8" s="1"/>
  <c r="HF27" i="8"/>
  <c r="JH27" i="8" s="1"/>
  <c r="HE27" i="8"/>
  <c r="JG27" i="8" s="1"/>
  <c r="HD27" i="8"/>
  <c r="JF27" i="8" s="1"/>
  <c r="HC27" i="8"/>
  <c r="JE27" i="8" s="1"/>
  <c r="HB27" i="8"/>
  <c r="JD27" i="8" s="1"/>
  <c r="HA27" i="8"/>
  <c r="JC27" i="8" s="1"/>
  <c r="GZ27" i="8"/>
  <c r="JB27" i="8" s="1"/>
  <c r="GY27" i="8"/>
  <c r="JA27" i="8" s="1"/>
  <c r="GX27" i="8"/>
  <c r="GW27" i="8"/>
  <c r="GV27" i="8"/>
  <c r="GU27" i="8"/>
  <c r="GT27" i="8"/>
  <c r="GS27" i="8"/>
  <c r="GR27" i="8"/>
  <c r="IX27" i="8" s="1"/>
  <c r="GQ27" i="8"/>
  <c r="IW27" i="8" s="1"/>
  <c r="GP27" i="8"/>
  <c r="IV27" i="8" s="1"/>
  <c r="GO27" i="8"/>
  <c r="IU27" i="8" s="1"/>
  <c r="GN27" i="8"/>
  <c r="GM27" i="8"/>
  <c r="IS27" i="8" s="1"/>
  <c r="GL27" i="8"/>
  <c r="IR27" i="8" s="1"/>
  <c r="GK27" i="8"/>
  <c r="IQ27" i="8" s="1"/>
  <c r="GJ27" i="8"/>
  <c r="IP27" i="8" s="1"/>
  <c r="GI27" i="8"/>
  <c r="IO27" i="8" s="1"/>
  <c r="GH27" i="8"/>
  <c r="GG27" i="8"/>
  <c r="GF27" i="8"/>
  <c r="GE27" i="8"/>
  <c r="GD27" i="8"/>
  <c r="GC27" i="8"/>
  <c r="GB27" i="8"/>
  <c r="IL27" i="8" s="1"/>
  <c r="GA27" i="8"/>
  <c r="FZ27" i="8"/>
  <c r="FY27" i="8"/>
  <c r="FX27" i="8"/>
  <c r="FW27" i="8"/>
  <c r="II27" i="8" s="1"/>
  <c r="FV27" i="8"/>
  <c r="IH27" i="8" s="1"/>
  <c r="FU27" i="8"/>
  <c r="FT27" i="8"/>
  <c r="FS27" i="8"/>
  <c r="IG27" i="8" s="1"/>
  <c r="FR27" i="8"/>
  <c r="FQ27" i="8"/>
  <c r="FP27" i="8"/>
  <c r="FO27" i="8"/>
  <c r="FN27" i="8"/>
  <c r="FM27" i="8"/>
  <c r="FL27" i="8"/>
  <c r="FK27" i="8"/>
  <c r="FJ27" i="8"/>
  <c r="FI27" i="8"/>
  <c r="FH27" i="8"/>
  <c r="IC27" i="8" s="1"/>
  <c r="FG27" i="8"/>
  <c r="IB27" i="8" s="1"/>
  <c r="FF27" i="8"/>
  <c r="IA27" i="8" s="1"/>
  <c r="FE27" i="8"/>
  <c r="FD27" i="8"/>
  <c r="FC27" i="8"/>
  <c r="FB27" i="8"/>
  <c r="FA27" i="8"/>
  <c r="EZ27" i="8"/>
  <c r="EY27" i="8"/>
  <c r="HX27" i="8" s="1"/>
  <c r="EX27" i="8"/>
  <c r="HW27" i="8" s="1"/>
  <c r="JE25" i="8"/>
  <c r="HM25" i="8"/>
  <c r="JO25" i="8" s="1"/>
  <c r="HL25" i="8"/>
  <c r="JN25" i="8" s="1"/>
  <c r="HK25" i="8"/>
  <c r="JM25" i="8" s="1"/>
  <c r="HJ25" i="8"/>
  <c r="JL25" i="8" s="1"/>
  <c r="HI25" i="8"/>
  <c r="JK25" i="8" s="1"/>
  <c r="HH25" i="8"/>
  <c r="JJ25" i="8" s="1"/>
  <c r="HG25" i="8"/>
  <c r="JI25" i="8" s="1"/>
  <c r="HF25" i="8"/>
  <c r="JH25" i="8" s="1"/>
  <c r="HE25" i="8"/>
  <c r="JG25" i="8" s="1"/>
  <c r="HD25" i="8"/>
  <c r="JF25" i="8" s="1"/>
  <c r="HC25" i="8"/>
  <c r="HB25" i="8"/>
  <c r="JD25" i="8" s="1"/>
  <c r="HA25" i="8"/>
  <c r="JC25" i="8" s="1"/>
  <c r="GZ25" i="8"/>
  <c r="JB25" i="8" s="1"/>
  <c r="GY25" i="8"/>
  <c r="JA25" i="8" s="1"/>
  <c r="GX25" i="8"/>
  <c r="GW25" i="8"/>
  <c r="GV25" i="8"/>
  <c r="GU25" i="8"/>
  <c r="GT25" i="8"/>
  <c r="GS25" i="8"/>
  <c r="GR25" i="8"/>
  <c r="IX25" i="8" s="1"/>
  <c r="GQ25" i="8"/>
  <c r="IW25" i="8" s="1"/>
  <c r="GP25" i="8"/>
  <c r="IV25" i="8" s="1"/>
  <c r="GO25" i="8"/>
  <c r="IU25" i="8" s="1"/>
  <c r="GN25" i="8"/>
  <c r="IT25" i="8" s="1"/>
  <c r="GM25" i="8"/>
  <c r="IS25" i="8" s="1"/>
  <c r="GL25" i="8"/>
  <c r="IR25" i="8" s="1"/>
  <c r="GK25" i="8"/>
  <c r="IQ25" i="8" s="1"/>
  <c r="GJ25" i="8"/>
  <c r="IP25" i="8" s="1"/>
  <c r="GI25" i="8"/>
  <c r="IO25" i="8" s="1"/>
  <c r="GH25" i="8"/>
  <c r="GG25" i="8"/>
  <c r="GF25" i="8"/>
  <c r="GE25" i="8"/>
  <c r="GD25" i="8"/>
  <c r="GC25" i="8"/>
  <c r="GB25" i="8"/>
  <c r="IL25" i="8" s="1"/>
  <c r="GA25" i="8"/>
  <c r="FZ25" i="8"/>
  <c r="FY25" i="8"/>
  <c r="FX25" i="8"/>
  <c r="IJ25" i="8" s="1"/>
  <c r="FW25" i="8"/>
  <c r="FV25" i="8"/>
  <c r="IH25" i="8" s="1"/>
  <c r="FU25" i="8"/>
  <c r="FT25" i="8"/>
  <c r="FS25" i="8"/>
  <c r="FR25" i="8"/>
  <c r="FQ25" i="8"/>
  <c r="FP25" i="8"/>
  <c r="FO25" i="8"/>
  <c r="FN25" i="8"/>
  <c r="FM25" i="8"/>
  <c r="FL25" i="8"/>
  <c r="FK25" i="8"/>
  <c r="FJ25" i="8"/>
  <c r="FI25" i="8"/>
  <c r="FH25" i="8"/>
  <c r="IC25" i="8" s="1"/>
  <c r="FG25" i="8"/>
  <c r="IB25" i="8" s="1"/>
  <c r="FF25" i="8"/>
  <c r="IA25" i="8" s="1"/>
  <c r="FE25" i="8"/>
  <c r="FD25" i="8"/>
  <c r="FC25" i="8"/>
  <c r="FB25" i="8"/>
  <c r="FA25" i="8"/>
  <c r="EZ25" i="8"/>
  <c r="EY25" i="8"/>
  <c r="HX25" i="8" s="1"/>
  <c r="EX25" i="8"/>
  <c r="HW25" i="8" s="1"/>
  <c r="JL24" i="8"/>
  <c r="IV24" i="8"/>
  <c r="IL24" i="8"/>
  <c r="HM24" i="8"/>
  <c r="JO24" i="8" s="1"/>
  <c r="HL24" i="8"/>
  <c r="JN24" i="8" s="1"/>
  <c r="HK24" i="8"/>
  <c r="JM24" i="8" s="1"/>
  <c r="HJ24" i="8"/>
  <c r="HI24" i="8"/>
  <c r="JK24" i="8" s="1"/>
  <c r="HH24" i="8"/>
  <c r="JJ24" i="8" s="1"/>
  <c r="HG24" i="8"/>
  <c r="JI24" i="8" s="1"/>
  <c r="HF24" i="8"/>
  <c r="JH24" i="8" s="1"/>
  <c r="HE24" i="8"/>
  <c r="JG24" i="8" s="1"/>
  <c r="HD24" i="8"/>
  <c r="JF24" i="8" s="1"/>
  <c r="HC24" i="8"/>
  <c r="JE24" i="8" s="1"/>
  <c r="HB24" i="8"/>
  <c r="JD24" i="8" s="1"/>
  <c r="HA24" i="8"/>
  <c r="JC24" i="8" s="1"/>
  <c r="GZ24" i="8"/>
  <c r="JB24" i="8" s="1"/>
  <c r="GY24" i="8"/>
  <c r="JA24" i="8" s="1"/>
  <c r="GX24" i="8"/>
  <c r="GW24" i="8"/>
  <c r="GV24" i="8"/>
  <c r="GU24" i="8"/>
  <c r="GT24" i="8"/>
  <c r="GS24" i="8"/>
  <c r="GR24" i="8"/>
  <c r="IX24" i="8" s="1"/>
  <c r="GQ24" i="8"/>
  <c r="IW24" i="8" s="1"/>
  <c r="GP24" i="8"/>
  <c r="GO24" i="8"/>
  <c r="IU24" i="8" s="1"/>
  <c r="GN24" i="8"/>
  <c r="IT24" i="8" s="1"/>
  <c r="GM24" i="8"/>
  <c r="IS24" i="8" s="1"/>
  <c r="GL24" i="8"/>
  <c r="IR24" i="8" s="1"/>
  <c r="GK24" i="8"/>
  <c r="IQ24" i="8" s="1"/>
  <c r="GJ24" i="8"/>
  <c r="IP24" i="8" s="1"/>
  <c r="GI24" i="8"/>
  <c r="IO24" i="8" s="1"/>
  <c r="GH24" i="8"/>
  <c r="GG24" i="8"/>
  <c r="GF24" i="8"/>
  <c r="GE24" i="8"/>
  <c r="GD24" i="8"/>
  <c r="GC24" i="8"/>
  <c r="GB24" i="8"/>
  <c r="GA24" i="8"/>
  <c r="FZ24" i="8"/>
  <c r="FY24" i="8"/>
  <c r="FX24" i="8"/>
  <c r="IJ24" i="8" s="1"/>
  <c r="FW24" i="8"/>
  <c r="II24" i="8" s="1"/>
  <c r="FV24" i="8"/>
  <c r="IH24" i="8" s="1"/>
  <c r="FU24" i="8"/>
  <c r="FT24" i="8"/>
  <c r="FS24" i="8"/>
  <c r="FR24" i="8"/>
  <c r="FQ24" i="8"/>
  <c r="FP24" i="8"/>
  <c r="FO24" i="8"/>
  <c r="FN24" i="8"/>
  <c r="FM24" i="8"/>
  <c r="FL24" i="8"/>
  <c r="FK24" i="8"/>
  <c r="FJ24" i="8"/>
  <c r="FI24" i="8"/>
  <c r="FH24" i="8"/>
  <c r="IC24" i="8" s="1"/>
  <c r="FG24" i="8"/>
  <c r="IB24" i="8" s="1"/>
  <c r="FF24" i="8"/>
  <c r="IA24" i="8" s="1"/>
  <c r="FE24" i="8"/>
  <c r="FD24" i="8"/>
  <c r="FC24" i="8"/>
  <c r="FB24" i="8"/>
  <c r="FA24" i="8"/>
  <c r="EZ24" i="8"/>
  <c r="EY24" i="8"/>
  <c r="HX24" i="8" s="1"/>
  <c r="EX24" i="8"/>
  <c r="HW24" i="8" s="1"/>
  <c r="JK23" i="8"/>
  <c r="JC23" i="8"/>
  <c r="HM23" i="8"/>
  <c r="JO23" i="8" s="1"/>
  <c r="HL23" i="8"/>
  <c r="JN23" i="8" s="1"/>
  <c r="HK23" i="8"/>
  <c r="JM23" i="8" s="1"/>
  <c r="HJ23" i="8"/>
  <c r="JL23" i="8" s="1"/>
  <c r="HI23" i="8"/>
  <c r="HH23" i="8"/>
  <c r="JJ23" i="8" s="1"/>
  <c r="HG23" i="8"/>
  <c r="JI23" i="8" s="1"/>
  <c r="HF23" i="8"/>
  <c r="JH23" i="8" s="1"/>
  <c r="HE23" i="8"/>
  <c r="JG23" i="8" s="1"/>
  <c r="HD23" i="8"/>
  <c r="JF23" i="8" s="1"/>
  <c r="HC23" i="8"/>
  <c r="JE23" i="8" s="1"/>
  <c r="HB23" i="8"/>
  <c r="JD23" i="8" s="1"/>
  <c r="HA23" i="8"/>
  <c r="GZ23" i="8"/>
  <c r="JB23" i="8" s="1"/>
  <c r="GY23" i="8"/>
  <c r="JA23" i="8" s="1"/>
  <c r="GX23" i="8"/>
  <c r="GW23" i="8"/>
  <c r="GV23" i="8"/>
  <c r="GU23" i="8"/>
  <c r="GT23" i="8"/>
  <c r="GS23" i="8"/>
  <c r="GR23" i="8"/>
  <c r="IX23" i="8" s="1"/>
  <c r="GQ23" i="8"/>
  <c r="IW23" i="8" s="1"/>
  <c r="GP23" i="8"/>
  <c r="IV23" i="8" s="1"/>
  <c r="GO23" i="8"/>
  <c r="IU23" i="8" s="1"/>
  <c r="GN23" i="8"/>
  <c r="IT23" i="8" s="1"/>
  <c r="GM23" i="8"/>
  <c r="IS23" i="8" s="1"/>
  <c r="GL23" i="8"/>
  <c r="IR23" i="8" s="1"/>
  <c r="GK23" i="8"/>
  <c r="IQ23" i="8" s="1"/>
  <c r="GJ23" i="8"/>
  <c r="IP23" i="8" s="1"/>
  <c r="GI23" i="8"/>
  <c r="IO23" i="8" s="1"/>
  <c r="GH23" i="8"/>
  <c r="GG23" i="8"/>
  <c r="GF23" i="8"/>
  <c r="GE23" i="8"/>
  <c r="GD23" i="8"/>
  <c r="GC23" i="8"/>
  <c r="GB23" i="8"/>
  <c r="IL23" i="8" s="1"/>
  <c r="GA23" i="8"/>
  <c r="FZ23" i="8"/>
  <c r="FY23" i="8"/>
  <c r="FX23" i="8"/>
  <c r="IJ23" i="8" s="1"/>
  <c r="FW23" i="8"/>
  <c r="II23" i="8" s="1"/>
  <c r="FV23" i="8"/>
  <c r="IH23" i="8" s="1"/>
  <c r="FU23" i="8"/>
  <c r="FT23" i="8"/>
  <c r="FS23" i="8"/>
  <c r="FR23" i="8"/>
  <c r="FQ23" i="8"/>
  <c r="FP23" i="8"/>
  <c r="FO23" i="8"/>
  <c r="FN23" i="8"/>
  <c r="FM23" i="8"/>
  <c r="FL23" i="8"/>
  <c r="FK23" i="8"/>
  <c r="FJ23" i="8"/>
  <c r="FI23" i="8"/>
  <c r="FH23" i="8"/>
  <c r="IC23" i="8" s="1"/>
  <c r="FG23" i="8"/>
  <c r="IB23" i="8" s="1"/>
  <c r="FF23" i="8"/>
  <c r="IA23" i="8" s="1"/>
  <c r="FE23" i="8"/>
  <c r="FD23" i="8"/>
  <c r="FC23" i="8"/>
  <c r="FB23" i="8"/>
  <c r="FA23" i="8"/>
  <c r="EZ23" i="8"/>
  <c r="EY23" i="8"/>
  <c r="HX23" i="8" s="1"/>
  <c r="EX23" i="8"/>
  <c r="HW23" i="8" s="1"/>
  <c r="JF22" i="8"/>
  <c r="IX22" i="8"/>
  <c r="IL22" i="8"/>
  <c r="HM22" i="8"/>
  <c r="JO22" i="8" s="1"/>
  <c r="HL22" i="8"/>
  <c r="JN22" i="8" s="1"/>
  <c r="HK22" i="8"/>
  <c r="JM22" i="8" s="1"/>
  <c r="HJ22" i="8"/>
  <c r="JL22" i="8" s="1"/>
  <c r="HI22" i="8"/>
  <c r="JK22" i="8" s="1"/>
  <c r="HH22" i="8"/>
  <c r="JJ22" i="8" s="1"/>
  <c r="HG22" i="8"/>
  <c r="JI22" i="8" s="1"/>
  <c r="HF22" i="8"/>
  <c r="JH22" i="8" s="1"/>
  <c r="HE22" i="8"/>
  <c r="JG22" i="8" s="1"/>
  <c r="HD22" i="8"/>
  <c r="HC22" i="8"/>
  <c r="JE22" i="8" s="1"/>
  <c r="HB22" i="8"/>
  <c r="JD22" i="8" s="1"/>
  <c r="HA22" i="8"/>
  <c r="JC22" i="8" s="1"/>
  <c r="GZ22" i="8"/>
  <c r="JB22" i="8" s="1"/>
  <c r="GY22" i="8"/>
  <c r="JA22" i="8" s="1"/>
  <c r="GX22" i="8"/>
  <c r="GW22" i="8"/>
  <c r="GV22" i="8"/>
  <c r="GU22" i="8"/>
  <c r="GT22" i="8"/>
  <c r="GS22" i="8"/>
  <c r="GR22" i="8"/>
  <c r="GQ22" i="8"/>
  <c r="IW22" i="8" s="1"/>
  <c r="GP22" i="8"/>
  <c r="IV22" i="8" s="1"/>
  <c r="GO22" i="8"/>
  <c r="IU22" i="8" s="1"/>
  <c r="GN22" i="8"/>
  <c r="IT22" i="8" s="1"/>
  <c r="GM22" i="8"/>
  <c r="IS22" i="8" s="1"/>
  <c r="GL22" i="8"/>
  <c r="IR22" i="8" s="1"/>
  <c r="GK22" i="8"/>
  <c r="IQ22" i="8" s="1"/>
  <c r="GJ22" i="8"/>
  <c r="IP22" i="8" s="1"/>
  <c r="GI22" i="8"/>
  <c r="IO22" i="8" s="1"/>
  <c r="GH22" i="8"/>
  <c r="GG22" i="8"/>
  <c r="GF22" i="8"/>
  <c r="GE22" i="8"/>
  <c r="GD22" i="8"/>
  <c r="GC22" i="8"/>
  <c r="GB22" i="8"/>
  <c r="GA22" i="8"/>
  <c r="FZ22" i="8"/>
  <c r="IK22" i="8" s="1"/>
  <c r="FY22" i="8"/>
  <c r="FX22" i="8"/>
  <c r="IJ22" i="8" s="1"/>
  <c r="FW22" i="8"/>
  <c r="FV22" i="8"/>
  <c r="IH22" i="8" s="1"/>
  <c r="FU22" i="8"/>
  <c r="FT22" i="8"/>
  <c r="FS22" i="8"/>
  <c r="FR22" i="8"/>
  <c r="FQ22" i="8"/>
  <c r="FP22" i="8"/>
  <c r="FO22" i="8"/>
  <c r="FN22" i="8"/>
  <c r="FM22" i="8"/>
  <c r="FL22" i="8"/>
  <c r="FK22" i="8"/>
  <c r="FJ22" i="8"/>
  <c r="FI22" i="8"/>
  <c r="FH22" i="8"/>
  <c r="IC22" i="8" s="1"/>
  <c r="FG22" i="8"/>
  <c r="IB22" i="8" s="1"/>
  <c r="FF22" i="8"/>
  <c r="IA22" i="8" s="1"/>
  <c r="FE22" i="8"/>
  <c r="HZ22" i="8" s="1"/>
  <c r="FD22" i="8"/>
  <c r="FC22" i="8"/>
  <c r="FB22" i="8"/>
  <c r="FA22" i="8"/>
  <c r="EZ22" i="8"/>
  <c r="EY22" i="8"/>
  <c r="HX22" i="8" s="1"/>
  <c r="EX22" i="8"/>
  <c r="HW22" i="8" s="1"/>
  <c r="JE21" i="8"/>
  <c r="IW21" i="8"/>
  <c r="II21" i="8"/>
  <c r="HM21" i="8"/>
  <c r="JO21" i="8" s="1"/>
  <c r="HL21" i="8"/>
  <c r="JN21" i="8" s="1"/>
  <c r="HK21" i="8"/>
  <c r="JM21" i="8" s="1"/>
  <c r="HJ21" i="8"/>
  <c r="JL21" i="8" s="1"/>
  <c r="HI21" i="8"/>
  <c r="JK21" i="8" s="1"/>
  <c r="HH21" i="8"/>
  <c r="JJ21" i="8" s="1"/>
  <c r="HG21" i="8"/>
  <c r="JI21" i="8" s="1"/>
  <c r="HF21" i="8"/>
  <c r="JH21" i="8" s="1"/>
  <c r="HE21" i="8"/>
  <c r="JG21" i="8" s="1"/>
  <c r="HD21" i="8"/>
  <c r="JF21" i="8" s="1"/>
  <c r="HC21" i="8"/>
  <c r="HB21" i="8"/>
  <c r="JD21" i="8" s="1"/>
  <c r="HA21" i="8"/>
  <c r="JC21" i="8" s="1"/>
  <c r="GZ21" i="8"/>
  <c r="JB21" i="8" s="1"/>
  <c r="GY21" i="8"/>
  <c r="JA21" i="8" s="1"/>
  <c r="GX21" i="8"/>
  <c r="GW21" i="8"/>
  <c r="GV21" i="8"/>
  <c r="GU21" i="8"/>
  <c r="GT21" i="8"/>
  <c r="IY21" i="8" s="1"/>
  <c r="GS21" i="8"/>
  <c r="GR21" i="8"/>
  <c r="IX21" i="8" s="1"/>
  <c r="GQ21" i="8"/>
  <c r="GP21" i="8"/>
  <c r="IV21" i="8" s="1"/>
  <c r="GO21" i="8"/>
  <c r="IU21" i="8" s="1"/>
  <c r="GN21" i="8"/>
  <c r="IT21" i="8" s="1"/>
  <c r="GM21" i="8"/>
  <c r="IS21" i="8" s="1"/>
  <c r="GL21" i="8"/>
  <c r="IR21" i="8" s="1"/>
  <c r="GK21" i="8"/>
  <c r="IQ21" i="8" s="1"/>
  <c r="GJ21" i="8"/>
  <c r="IP21" i="8" s="1"/>
  <c r="GI21" i="8"/>
  <c r="IO21" i="8" s="1"/>
  <c r="GH21" i="8"/>
  <c r="GG21" i="8"/>
  <c r="GF21" i="8"/>
  <c r="GE21" i="8"/>
  <c r="GD21" i="8"/>
  <c r="IM21" i="8" s="1"/>
  <c r="GC21" i="8"/>
  <c r="GB21" i="8"/>
  <c r="IL21" i="8" s="1"/>
  <c r="GA21" i="8"/>
  <c r="FZ21" i="8"/>
  <c r="IK21" i="8" s="1"/>
  <c r="FY21" i="8"/>
  <c r="FX21" i="8"/>
  <c r="IJ21" i="8" s="1"/>
  <c r="FW21" i="8"/>
  <c r="FV21" i="8"/>
  <c r="IH21" i="8" s="1"/>
  <c r="FU21" i="8"/>
  <c r="FT21" i="8"/>
  <c r="FS21" i="8"/>
  <c r="FR21" i="8"/>
  <c r="FQ21" i="8"/>
  <c r="FP21" i="8"/>
  <c r="FO21" i="8"/>
  <c r="FN21" i="8"/>
  <c r="IE21" i="8" s="1"/>
  <c r="FM21" i="8"/>
  <c r="FL21" i="8"/>
  <c r="FK21" i="8"/>
  <c r="FJ21" i="8"/>
  <c r="FI21" i="8"/>
  <c r="FH21" i="8"/>
  <c r="IC21" i="8" s="1"/>
  <c r="FG21" i="8"/>
  <c r="IB21" i="8" s="1"/>
  <c r="FF21" i="8"/>
  <c r="IA21" i="8" s="1"/>
  <c r="FE21" i="8"/>
  <c r="FD21" i="8"/>
  <c r="FC21" i="8"/>
  <c r="FB21" i="8"/>
  <c r="FA21" i="8"/>
  <c r="EZ21" i="8"/>
  <c r="EY21" i="8"/>
  <c r="HX21" i="8" s="1"/>
  <c r="EX21" i="8"/>
  <c r="HW21" i="8" s="1"/>
  <c r="JB20" i="8"/>
  <c r="IX20" i="8"/>
  <c r="IP20" i="8"/>
  <c r="HM20" i="8"/>
  <c r="JO20" i="8" s="1"/>
  <c r="HL20" i="8"/>
  <c r="JN20" i="8" s="1"/>
  <c r="HK20" i="8"/>
  <c r="JM20" i="8" s="1"/>
  <c r="HJ20" i="8"/>
  <c r="JL20" i="8" s="1"/>
  <c r="HI20" i="8"/>
  <c r="JK20" i="8" s="1"/>
  <c r="HH20" i="8"/>
  <c r="JJ20" i="8" s="1"/>
  <c r="HG20" i="8"/>
  <c r="JI20" i="8" s="1"/>
  <c r="HF20" i="8"/>
  <c r="JH20" i="8" s="1"/>
  <c r="HE20" i="8"/>
  <c r="JG20" i="8" s="1"/>
  <c r="HD20" i="8"/>
  <c r="JF20" i="8" s="1"/>
  <c r="HC20" i="8"/>
  <c r="JE20" i="8" s="1"/>
  <c r="HB20" i="8"/>
  <c r="JD20" i="8" s="1"/>
  <c r="HA20" i="8"/>
  <c r="JC20" i="8" s="1"/>
  <c r="GZ20" i="8"/>
  <c r="GY20" i="8"/>
  <c r="JA20" i="8" s="1"/>
  <c r="GX20" i="8"/>
  <c r="GW20" i="8"/>
  <c r="GV20" i="8"/>
  <c r="GU20" i="8"/>
  <c r="GT20" i="8"/>
  <c r="GS20" i="8"/>
  <c r="GR20" i="8"/>
  <c r="GQ20" i="8"/>
  <c r="IW20" i="8" s="1"/>
  <c r="GP20" i="8"/>
  <c r="IV20" i="8" s="1"/>
  <c r="GO20" i="8"/>
  <c r="IU20" i="8" s="1"/>
  <c r="GN20" i="8"/>
  <c r="IT20" i="8" s="1"/>
  <c r="GM20" i="8"/>
  <c r="IS20" i="8" s="1"/>
  <c r="GL20" i="8"/>
  <c r="IR20" i="8" s="1"/>
  <c r="GK20" i="8"/>
  <c r="IQ20" i="8" s="1"/>
  <c r="GJ20" i="8"/>
  <c r="GI20" i="8"/>
  <c r="IO20" i="8" s="1"/>
  <c r="GH20" i="8"/>
  <c r="GG20" i="8"/>
  <c r="GF20" i="8"/>
  <c r="GE20" i="8"/>
  <c r="GD20" i="8"/>
  <c r="GC20" i="8"/>
  <c r="GB20" i="8"/>
  <c r="IL20" i="8" s="1"/>
  <c r="GA20" i="8"/>
  <c r="FZ20" i="8"/>
  <c r="FY20" i="8"/>
  <c r="FX20" i="8"/>
  <c r="IJ20" i="8" s="1"/>
  <c r="FW20" i="8"/>
  <c r="II20" i="8" s="1"/>
  <c r="FV20" i="8"/>
  <c r="IH20" i="8" s="1"/>
  <c r="FU20" i="8"/>
  <c r="FT20" i="8"/>
  <c r="FS20" i="8"/>
  <c r="IG20" i="8" s="1"/>
  <c r="FR20" i="8"/>
  <c r="FQ20" i="8"/>
  <c r="FP20" i="8"/>
  <c r="FO20" i="8"/>
  <c r="FN20" i="8"/>
  <c r="FM20" i="8"/>
  <c r="FL20" i="8"/>
  <c r="FK20" i="8"/>
  <c r="FJ20" i="8"/>
  <c r="FI20" i="8"/>
  <c r="FH20" i="8"/>
  <c r="IC20" i="8" s="1"/>
  <c r="FG20" i="8"/>
  <c r="IB20" i="8" s="1"/>
  <c r="FF20" i="8"/>
  <c r="IA20" i="8" s="1"/>
  <c r="FE20" i="8"/>
  <c r="HZ20" i="8" s="1"/>
  <c r="FD20" i="8"/>
  <c r="FC20" i="8"/>
  <c r="FB20" i="8"/>
  <c r="FA20" i="8"/>
  <c r="EZ20" i="8"/>
  <c r="EY20" i="8"/>
  <c r="HX20" i="8" s="1"/>
  <c r="EX20" i="8"/>
  <c r="HW20" i="8" s="1"/>
  <c r="JA19" i="8"/>
  <c r="HM19" i="8"/>
  <c r="JO19" i="8" s="1"/>
  <c r="HL19" i="8"/>
  <c r="JN19" i="8" s="1"/>
  <c r="HK19" i="8"/>
  <c r="JM19" i="8" s="1"/>
  <c r="HJ19" i="8"/>
  <c r="JL19" i="8" s="1"/>
  <c r="HI19" i="8"/>
  <c r="JK19" i="8" s="1"/>
  <c r="HH19" i="8"/>
  <c r="JJ19" i="8" s="1"/>
  <c r="HG19" i="8"/>
  <c r="JI19" i="8" s="1"/>
  <c r="HF19" i="8"/>
  <c r="JH19" i="8" s="1"/>
  <c r="HE19" i="8"/>
  <c r="JG19" i="8" s="1"/>
  <c r="HD19" i="8"/>
  <c r="JF19" i="8" s="1"/>
  <c r="HC19" i="8"/>
  <c r="JE19" i="8" s="1"/>
  <c r="HB19" i="8"/>
  <c r="JD19" i="8" s="1"/>
  <c r="HA19" i="8"/>
  <c r="JC19" i="8" s="1"/>
  <c r="GZ19" i="8"/>
  <c r="JB19" i="8" s="1"/>
  <c r="GY19" i="8"/>
  <c r="GX19" i="8"/>
  <c r="GW19" i="8"/>
  <c r="GV19" i="8"/>
  <c r="GU19" i="8"/>
  <c r="GT19" i="8"/>
  <c r="GS19" i="8"/>
  <c r="GR19" i="8"/>
  <c r="IX19" i="8" s="1"/>
  <c r="GQ19" i="8"/>
  <c r="IW19" i="8" s="1"/>
  <c r="GP19" i="8"/>
  <c r="IV19" i="8" s="1"/>
  <c r="GO19" i="8"/>
  <c r="IU19" i="8" s="1"/>
  <c r="GN19" i="8"/>
  <c r="IT19" i="8" s="1"/>
  <c r="GM19" i="8"/>
  <c r="IS19" i="8" s="1"/>
  <c r="GL19" i="8"/>
  <c r="IR19" i="8" s="1"/>
  <c r="GK19" i="8"/>
  <c r="IQ19" i="8" s="1"/>
  <c r="GJ19" i="8"/>
  <c r="IP19" i="8" s="1"/>
  <c r="GI19" i="8"/>
  <c r="IO19" i="8" s="1"/>
  <c r="GH19" i="8"/>
  <c r="GG19" i="8"/>
  <c r="GF19" i="8"/>
  <c r="GE19" i="8"/>
  <c r="GD19" i="8"/>
  <c r="GC19" i="8"/>
  <c r="GB19" i="8"/>
  <c r="IL19" i="8" s="1"/>
  <c r="GA19" i="8"/>
  <c r="FZ19" i="8"/>
  <c r="FY19" i="8"/>
  <c r="FX19" i="8"/>
  <c r="IJ19" i="8" s="1"/>
  <c r="FW19" i="8"/>
  <c r="FV19" i="8"/>
  <c r="IH19" i="8" s="1"/>
  <c r="FU19" i="8"/>
  <c r="FT19" i="8"/>
  <c r="FS19" i="8"/>
  <c r="FR19" i="8"/>
  <c r="FQ19" i="8"/>
  <c r="FP19" i="8"/>
  <c r="FO19" i="8"/>
  <c r="FN19" i="8"/>
  <c r="FM19" i="8"/>
  <c r="FL19" i="8"/>
  <c r="FK19" i="8"/>
  <c r="FJ19" i="8"/>
  <c r="FI19" i="8"/>
  <c r="FH19" i="8"/>
  <c r="IC19" i="8" s="1"/>
  <c r="FG19" i="8"/>
  <c r="IB19" i="8" s="1"/>
  <c r="FF19" i="8"/>
  <c r="IA19" i="8" s="1"/>
  <c r="FE19" i="8"/>
  <c r="FD19" i="8"/>
  <c r="FC19" i="8"/>
  <c r="FB19" i="8"/>
  <c r="FA19" i="8"/>
  <c r="EZ19" i="8"/>
  <c r="EY19" i="8"/>
  <c r="HX19" i="8" s="1"/>
  <c r="EX19" i="8"/>
  <c r="HW19" i="8" s="1"/>
  <c r="JJ18" i="8"/>
  <c r="HM18" i="8"/>
  <c r="JO18" i="8" s="1"/>
  <c r="HL18" i="8"/>
  <c r="JN18" i="8" s="1"/>
  <c r="HK18" i="8"/>
  <c r="JM18" i="8" s="1"/>
  <c r="HJ18" i="8"/>
  <c r="JL18" i="8" s="1"/>
  <c r="HI18" i="8"/>
  <c r="JK18" i="8" s="1"/>
  <c r="HH18" i="8"/>
  <c r="HG18" i="8"/>
  <c r="JI18" i="8" s="1"/>
  <c r="HF18" i="8"/>
  <c r="JH18" i="8" s="1"/>
  <c r="HE18" i="8"/>
  <c r="JG18" i="8" s="1"/>
  <c r="HD18" i="8"/>
  <c r="JF18" i="8" s="1"/>
  <c r="HC18" i="8"/>
  <c r="JE18" i="8" s="1"/>
  <c r="HB18" i="8"/>
  <c r="JD18" i="8" s="1"/>
  <c r="HA18" i="8"/>
  <c r="JC18" i="8" s="1"/>
  <c r="GZ18" i="8"/>
  <c r="JB18" i="8" s="1"/>
  <c r="GY18" i="8"/>
  <c r="JA18" i="8" s="1"/>
  <c r="GX18" i="8"/>
  <c r="GW18" i="8"/>
  <c r="GV18" i="8"/>
  <c r="GU18" i="8"/>
  <c r="GT18" i="8"/>
  <c r="GS18" i="8"/>
  <c r="GR18" i="8"/>
  <c r="IX18" i="8" s="1"/>
  <c r="GQ18" i="8"/>
  <c r="IW18" i="8" s="1"/>
  <c r="GP18" i="8"/>
  <c r="IV18" i="8" s="1"/>
  <c r="GO18" i="8"/>
  <c r="IU18" i="8" s="1"/>
  <c r="GN18" i="8"/>
  <c r="IT18" i="8" s="1"/>
  <c r="GM18" i="8"/>
  <c r="IS18" i="8" s="1"/>
  <c r="GL18" i="8"/>
  <c r="IR18" i="8" s="1"/>
  <c r="GK18" i="8"/>
  <c r="IQ18" i="8" s="1"/>
  <c r="GJ18" i="8"/>
  <c r="IP18" i="8" s="1"/>
  <c r="GI18" i="8"/>
  <c r="IO18" i="8" s="1"/>
  <c r="GH18" i="8"/>
  <c r="GG18" i="8"/>
  <c r="GF18" i="8"/>
  <c r="GE18" i="8"/>
  <c r="GD18" i="8"/>
  <c r="GC18" i="8"/>
  <c r="GB18" i="8"/>
  <c r="IL18" i="8" s="1"/>
  <c r="GA18" i="8"/>
  <c r="FZ18" i="8"/>
  <c r="FY18" i="8"/>
  <c r="FX18" i="8"/>
  <c r="IJ18" i="8" s="1"/>
  <c r="FW18" i="8"/>
  <c r="FV18" i="8"/>
  <c r="IH18" i="8" s="1"/>
  <c r="FU18" i="8"/>
  <c r="FT18" i="8"/>
  <c r="FS18" i="8"/>
  <c r="FR18" i="8"/>
  <c r="FQ18" i="8"/>
  <c r="FP18" i="8"/>
  <c r="FO18" i="8"/>
  <c r="FN18" i="8"/>
  <c r="FM18" i="8"/>
  <c r="FL18" i="8"/>
  <c r="FK18" i="8"/>
  <c r="FJ18" i="8"/>
  <c r="FI18" i="8"/>
  <c r="FH18" i="8"/>
  <c r="IC18" i="8" s="1"/>
  <c r="FG18" i="8"/>
  <c r="IB18" i="8" s="1"/>
  <c r="FF18" i="8"/>
  <c r="IA18" i="8" s="1"/>
  <c r="FE18" i="8"/>
  <c r="HZ18" i="8" s="1"/>
  <c r="FD18" i="8"/>
  <c r="FC18" i="8"/>
  <c r="FB18" i="8"/>
  <c r="FA18" i="8"/>
  <c r="EZ18" i="8"/>
  <c r="EY18" i="8"/>
  <c r="HX18" i="8" s="1"/>
  <c r="EX18" i="8"/>
  <c r="HW18" i="8" s="1"/>
  <c r="JO17" i="8"/>
  <c r="IQ17" i="8"/>
  <c r="HM17" i="8"/>
  <c r="HL17" i="8"/>
  <c r="JN17" i="8" s="1"/>
  <c r="HK17" i="8"/>
  <c r="JM17" i="8" s="1"/>
  <c r="HJ17" i="8"/>
  <c r="JL17" i="8" s="1"/>
  <c r="HI17" i="8"/>
  <c r="JK17" i="8" s="1"/>
  <c r="HH17" i="8"/>
  <c r="JJ17" i="8" s="1"/>
  <c r="HG17" i="8"/>
  <c r="JI17" i="8" s="1"/>
  <c r="HF17" i="8"/>
  <c r="JH17" i="8" s="1"/>
  <c r="HE17" i="8"/>
  <c r="JG17" i="8" s="1"/>
  <c r="HD17" i="8"/>
  <c r="JF17" i="8" s="1"/>
  <c r="HC17" i="8"/>
  <c r="JE17" i="8" s="1"/>
  <c r="HB17" i="8"/>
  <c r="JD17" i="8" s="1"/>
  <c r="HA17" i="8"/>
  <c r="JC17" i="8" s="1"/>
  <c r="GZ17" i="8"/>
  <c r="JB17" i="8" s="1"/>
  <c r="GY17" i="8"/>
  <c r="JA17" i="8" s="1"/>
  <c r="GX17" i="8"/>
  <c r="GW17" i="8"/>
  <c r="GV17" i="8"/>
  <c r="GU17" i="8"/>
  <c r="GT17" i="8"/>
  <c r="GS17" i="8"/>
  <c r="GR17" i="8"/>
  <c r="IX17" i="8" s="1"/>
  <c r="GQ17" i="8"/>
  <c r="IW17" i="8" s="1"/>
  <c r="GP17" i="8"/>
  <c r="IV17" i="8" s="1"/>
  <c r="GO17" i="8"/>
  <c r="IU17" i="8" s="1"/>
  <c r="GN17" i="8"/>
  <c r="IT17" i="8" s="1"/>
  <c r="GM17" i="8"/>
  <c r="IS17" i="8" s="1"/>
  <c r="GL17" i="8"/>
  <c r="IR17" i="8" s="1"/>
  <c r="GK17" i="8"/>
  <c r="GJ17" i="8"/>
  <c r="IP17" i="8" s="1"/>
  <c r="GI17" i="8"/>
  <c r="IO17" i="8" s="1"/>
  <c r="GH17" i="8"/>
  <c r="GG17" i="8"/>
  <c r="GF17" i="8"/>
  <c r="GE17" i="8"/>
  <c r="GD17" i="8"/>
  <c r="GC17" i="8"/>
  <c r="GB17" i="8"/>
  <c r="IL17" i="8" s="1"/>
  <c r="GA17" i="8"/>
  <c r="FZ17" i="8"/>
  <c r="FY17" i="8"/>
  <c r="FX17" i="8"/>
  <c r="IJ17" i="8" s="1"/>
  <c r="FW17" i="8"/>
  <c r="II17" i="8" s="1"/>
  <c r="FV17" i="8"/>
  <c r="IH17" i="8" s="1"/>
  <c r="FU17" i="8"/>
  <c r="FT17" i="8"/>
  <c r="FS17" i="8"/>
  <c r="FR17" i="8"/>
  <c r="FQ17" i="8"/>
  <c r="FP17" i="8"/>
  <c r="IF17" i="8" s="1"/>
  <c r="FO17" i="8"/>
  <c r="FN17" i="8"/>
  <c r="FM17" i="8"/>
  <c r="FL17" i="8"/>
  <c r="FK17" i="8"/>
  <c r="FJ17" i="8"/>
  <c r="FI17" i="8"/>
  <c r="FH17" i="8"/>
  <c r="IC17" i="8" s="1"/>
  <c r="FG17" i="8"/>
  <c r="IB17" i="8" s="1"/>
  <c r="FF17" i="8"/>
  <c r="IA17" i="8" s="1"/>
  <c r="FE17" i="8"/>
  <c r="FD17" i="8"/>
  <c r="HZ17" i="8" s="1"/>
  <c r="FC17" i="8"/>
  <c r="FB17" i="8"/>
  <c r="FA17" i="8"/>
  <c r="EZ17" i="8"/>
  <c r="EY17" i="8"/>
  <c r="HX17" i="8" s="1"/>
  <c r="EX17" i="8"/>
  <c r="HW17" i="8" s="1"/>
  <c r="HM16" i="8"/>
  <c r="JO16" i="8" s="1"/>
  <c r="HL16" i="8"/>
  <c r="JN16" i="8" s="1"/>
  <c r="HK16" i="8"/>
  <c r="JM16" i="8" s="1"/>
  <c r="HJ16" i="8"/>
  <c r="JL16" i="8" s="1"/>
  <c r="HI16" i="8"/>
  <c r="JK16" i="8" s="1"/>
  <c r="HH16" i="8"/>
  <c r="JJ16" i="8" s="1"/>
  <c r="HG16" i="8"/>
  <c r="JI16" i="8" s="1"/>
  <c r="HF16" i="8"/>
  <c r="JH16" i="8" s="1"/>
  <c r="HE16" i="8"/>
  <c r="JG16" i="8" s="1"/>
  <c r="HD16" i="8"/>
  <c r="JF16" i="8" s="1"/>
  <c r="HC16" i="8"/>
  <c r="JE16" i="8" s="1"/>
  <c r="HB16" i="8"/>
  <c r="JD16" i="8" s="1"/>
  <c r="HA16" i="8"/>
  <c r="JC16" i="8" s="1"/>
  <c r="GZ16" i="8"/>
  <c r="JB16" i="8" s="1"/>
  <c r="GY16" i="8"/>
  <c r="JA16" i="8" s="1"/>
  <c r="GX16" i="8"/>
  <c r="GW16" i="8"/>
  <c r="GV16" i="8"/>
  <c r="GU16" i="8"/>
  <c r="GT16" i="8"/>
  <c r="GS16" i="8"/>
  <c r="GR16" i="8"/>
  <c r="IX16" i="8" s="1"/>
  <c r="GQ16" i="8"/>
  <c r="IW16" i="8" s="1"/>
  <c r="GP16" i="8"/>
  <c r="IV16" i="8" s="1"/>
  <c r="GO16" i="8"/>
  <c r="IU16" i="8" s="1"/>
  <c r="GN16" i="8"/>
  <c r="IT16" i="8" s="1"/>
  <c r="GM16" i="8"/>
  <c r="IS16" i="8" s="1"/>
  <c r="GL16" i="8"/>
  <c r="IR16" i="8" s="1"/>
  <c r="GK16" i="8"/>
  <c r="IQ16" i="8" s="1"/>
  <c r="GJ16" i="8"/>
  <c r="IP16" i="8" s="1"/>
  <c r="GI16" i="8"/>
  <c r="IO16" i="8" s="1"/>
  <c r="GH16" i="8"/>
  <c r="GG16" i="8"/>
  <c r="GF16" i="8"/>
  <c r="GE16" i="8"/>
  <c r="GD16" i="8"/>
  <c r="GC16" i="8"/>
  <c r="GB16" i="8"/>
  <c r="IL16" i="8" s="1"/>
  <c r="GA16" i="8"/>
  <c r="FZ16" i="8"/>
  <c r="FY16" i="8"/>
  <c r="FX16" i="8"/>
  <c r="IJ16" i="8" s="1"/>
  <c r="FW16" i="8"/>
  <c r="II16" i="8" s="1"/>
  <c r="FV16" i="8"/>
  <c r="IH16" i="8" s="1"/>
  <c r="FU16" i="8"/>
  <c r="FT16" i="8"/>
  <c r="FS16" i="8"/>
  <c r="FR16" i="8"/>
  <c r="FQ16" i="8"/>
  <c r="FP16" i="8"/>
  <c r="FO16" i="8"/>
  <c r="FN16" i="8"/>
  <c r="FM16" i="8"/>
  <c r="FL16" i="8"/>
  <c r="FK16" i="8"/>
  <c r="FJ16" i="8"/>
  <c r="FI16" i="8"/>
  <c r="FH16" i="8"/>
  <c r="IC16" i="8" s="1"/>
  <c r="FG16" i="8"/>
  <c r="IB16" i="8" s="1"/>
  <c r="FF16" i="8"/>
  <c r="IA16" i="8" s="1"/>
  <c r="FE16" i="8"/>
  <c r="FD16" i="8"/>
  <c r="FC16" i="8"/>
  <c r="FB16" i="8"/>
  <c r="FA16" i="8"/>
  <c r="EZ16" i="8"/>
  <c r="EY16" i="8"/>
  <c r="HX16" i="8" s="1"/>
  <c r="EX16" i="8"/>
  <c r="HW16" i="8" s="1"/>
  <c r="IU15" i="8"/>
  <c r="HM15" i="8"/>
  <c r="JO15" i="8" s="1"/>
  <c r="HL15" i="8"/>
  <c r="JN15" i="8" s="1"/>
  <c r="HK15" i="8"/>
  <c r="JM15" i="8" s="1"/>
  <c r="HJ15" i="8"/>
  <c r="JL15" i="8" s="1"/>
  <c r="HI15" i="8"/>
  <c r="JK15" i="8" s="1"/>
  <c r="HH15" i="8"/>
  <c r="JJ15" i="8" s="1"/>
  <c r="HG15" i="8"/>
  <c r="JI15" i="8" s="1"/>
  <c r="HF15" i="8"/>
  <c r="JH15" i="8" s="1"/>
  <c r="HE15" i="8"/>
  <c r="JG15" i="8" s="1"/>
  <c r="HD15" i="8"/>
  <c r="JF15" i="8" s="1"/>
  <c r="HC15" i="8"/>
  <c r="JE15" i="8" s="1"/>
  <c r="HB15" i="8"/>
  <c r="JD15" i="8" s="1"/>
  <c r="HA15" i="8"/>
  <c r="JC15" i="8" s="1"/>
  <c r="GZ15" i="8"/>
  <c r="JB15" i="8" s="1"/>
  <c r="GY15" i="8"/>
  <c r="JA15" i="8" s="1"/>
  <c r="GX15" i="8"/>
  <c r="GW15" i="8"/>
  <c r="GV15" i="8"/>
  <c r="GU15" i="8"/>
  <c r="GT15" i="8"/>
  <c r="IY15" i="8" s="1"/>
  <c r="GS15" i="8"/>
  <c r="GR15" i="8"/>
  <c r="IX15" i="8" s="1"/>
  <c r="GQ15" i="8"/>
  <c r="IW15" i="8" s="1"/>
  <c r="GP15" i="8"/>
  <c r="IV15" i="8" s="1"/>
  <c r="GO15" i="8"/>
  <c r="GN15" i="8"/>
  <c r="IT15" i="8" s="1"/>
  <c r="GM15" i="8"/>
  <c r="IS15" i="8" s="1"/>
  <c r="GL15" i="8"/>
  <c r="IR15" i="8" s="1"/>
  <c r="GK15" i="8"/>
  <c r="IQ15" i="8" s="1"/>
  <c r="GJ15" i="8"/>
  <c r="IP15" i="8" s="1"/>
  <c r="GI15" i="8"/>
  <c r="IO15" i="8" s="1"/>
  <c r="GH15" i="8"/>
  <c r="GG15" i="8"/>
  <c r="GF15" i="8"/>
  <c r="GE15" i="8"/>
  <c r="GD15" i="8"/>
  <c r="IM15" i="8" s="1"/>
  <c r="GC15" i="8"/>
  <c r="GB15" i="8"/>
  <c r="IL15" i="8" s="1"/>
  <c r="GA15" i="8"/>
  <c r="FZ15" i="8"/>
  <c r="IK15" i="8" s="1"/>
  <c r="FY15" i="8"/>
  <c r="FX15" i="8"/>
  <c r="IJ15" i="8" s="1"/>
  <c r="FW15" i="8"/>
  <c r="II15" i="8" s="1"/>
  <c r="FV15" i="8"/>
  <c r="IH15" i="8" s="1"/>
  <c r="FU15" i="8"/>
  <c r="FT15" i="8"/>
  <c r="FS15" i="8"/>
  <c r="FR15" i="8"/>
  <c r="FQ15" i="8"/>
  <c r="FP15" i="8"/>
  <c r="FO15" i="8"/>
  <c r="FN15" i="8"/>
  <c r="IE15" i="8" s="1"/>
  <c r="FM15" i="8"/>
  <c r="FL15" i="8"/>
  <c r="FK15" i="8"/>
  <c r="FJ15" i="8"/>
  <c r="FI15" i="8"/>
  <c r="FH15" i="8"/>
  <c r="IC15" i="8" s="1"/>
  <c r="FG15" i="8"/>
  <c r="IB15" i="8" s="1"/>
  <c r="FF15" i="8"/>
  <c r="IA15" i="8" s="1"/>
  <c r="FE15" i="8"/>
  <c r="FD15" i="8"/>
  <c r="HZ15" i="8" s="1"/>
  <c r="FC15" i="8"/>
  <c r="FB15" i="8"/>
  <c r="FA15" i="8"/>
  <c r="EZ15" i="8"/>
  <c r="EY15" i="8"/>
  <c r="HX15" i="8" s="1"/>
  <c r="EX15" i="8"/>
  <c r="HW15" i="8" s="1"/>
  <c r="IJ14" i="8"/>
  <c r="HM14" i="8"/>
  <c r="JO14" i="8" s="1"/>
  <c r="HL14" i="8"/>
  <c r="JN14" i="8" s="1"/>
  <c r="HK14" i="8"/>
  <c r="JM14" i="8" s="1"/>
  <c r="HJ14" i="8"/>
  <c r="JL14" i="8" s="1"/>
  <c r="HI14" i="8"/>
  <c r="JK14" i="8" s="1"/>
  <c r="HH14" i="8"/>
  <c r="JJ14" i="8" s="1"/>
  <c r="HG14" i="8"/>
  <c r="JI14" i="8" s="1"/>
  <c r="HF14" i="8"/>
  <c r="JH14" i="8" s="1"/>
  <c r="HE14" i="8"/>
  <c r="JG14" i="8" s="1"/>
  <c r="HD14" i="8"/>
  <c r="JF14" i="8" s="1"/>
  <c r="HC14" i="8"/>
  <c r="JE14" i="8" s="1"/>
  <c r="HB14" i="8"/>
  <c r="JD14" i="8" s="1"/>
  <c r="HA14" i="8"/>
  <c r="JC14" i="8" s="1"/>
  <c r="GZ14" i="8"/>
  <c r="JB14" i="8" s="1"/>
  <c r="GY14" i="8"/>
  <c r="JA14" i="8" s="1"/>
  <c r="GX14" i="8"/>
  <c r="IZ14" i="8" s="1"/>
  <c r="GW14" i="8"/>
  <c r="GV14" i="8"/>
  <c r="GU14" i="8"/>
  <c r="GT14" i="8"/>
  <c r="GS14" i="8"/>
  <c r="GR14" i="8"/>
  <c r="IX14" i="8" s="1"/>
  <c r="GQ14" i="8"/>
  <c r="IW14" i="8" s="1"/>
  <c r="GP14" i="8"/>
  <c r="IV14" i="8" s="1"/>
  <c r="GO14" i="8"/>
  <c r="IU14" i="8" s="1"/>
  <c r="GN14" i="8"/>
  <c r="IT14" i="8" s="1"/>
  <c r="GM14" i="8"/>
  <c r="IS14" i="8" s="1"/>
  <c r="GL14" i="8"/>
  <c r="IR14" i="8" s="1"/>
  <c r="GK14" i="8"/>
  <c r="IQ14" i="8" s="1"/>
  <c r="GJ14" i="8"/>
  <c r="IP14" i="8" s="1"/>
  <c r="GI14" i="8"/>
  <c r="IO14" i="8" s="1"/>
  <c r="GH14" i="8"/>
  <c r="GG14" i="8"/>
  <c r="GF14" i="8"/>
  <c r="GE14" i="8"/>
  <c r="GD14" i="8"/>
  <c r="GC14" i="8"/>
  <c r="GB14" i="8"/>
  <c r="IL14" i="8" s="1"/>
  <c r="GA14" i="8"/>
  <c r="FZ14" i="8"/>
  <c r="IK14" i="8" s="1"/>
  <c r="FY14" i="8"/>
  <c r="FX14" i="8"/>
  <c r="FW14" i="8"/>
  <c r="II14" i="8" s="1"/>
  <c r="FV14" i="8"/>
  <c r="IH14" i="8" s="1"/>
  <c r="FU14" i="8"/>
  <c r="FT14" i="8"/>
  <c r="FS14" i="8"/>
  <c r="FR14" i="8"/>
  <c r="FQ14" i="8"/>
  <c r="FP14" i="8"/>
  <c r="FO14" i="8"/>
  <c r="FN14" i="8"/>
  <c r="FM14" i="8"/>
  <c r="FL14" i="8"/>
  <c r="FK14" i="8"/>
  <c r="FJ14" i="8"/>
  <c r="FI14" i="8"/>
  <c r="FH14" i="8"/>
  <c r="IC14" i="8" s="1"/>
  <c r="FG14" i="8"/>
  <c r="IB14" i="8" s="1"/>
  <c r="FF14" i="8"/>
  <c r="IA14" i="8" s="1"/>
  <c r="FE14" i="8"/>
  <c r="FD14" i="8"/>
  <c r="FC14" i="8"/>
  <c r="FB14" i="8"/>
  <c r="FA14" i="8"/>
  <c r="EZ14" i="8"/>
  <c r="EY14" i="8"/>
  <c r="HX14" i="8" s="1"/>
  <c r="EX14" i="8"/>
  <c r="HW14" i="8" s="1"/>
  <c r="HM13" i="8"/>
  <c r="JO13" i="8" s="1"/>
  <c r="HL13" i="8"/>
  <c r="JN13" i="8" s="1"/>
  <c r="HK13" i="8"/>
  <c r="JM13" i="8" s="1"/>
  <c r="HJ13" i="8"/>
  <c r="JL13" i="8" s="1"/>
  <c r="HI13" i="8"/>
  <c r="JK13" i="8" s="1"/>
  <c r="HH13" i="8"/>
  <c r="JJ13" i="8" s="1"/>
  <c r="HG13" i="8"/>
  <c r="JI13" i="8" s="1"/>
  <c r="HF13" i="8"/>
  <c r="JH13" i="8" s="1"/>
  <c r="HE13" i="8"/>
  <c r="JG13" i="8" s="1"/>
  <c r="HD13" i="8"/>
  <c r="JF13" i="8" s="1"/>
  <c r="HC13" i="8"/>
  <c r="JE13" i="8" s="1"/>
  <c r="HB13" i="8"/>
  <c r="JD13" i="8" s="1"/>
  <c r="HA13" i="8"/>
  <c r="JC13" i="8" s="1"/>
  <c r="GZ13" i="8"/>
  <c r="JB13" i="8" s="1"/>
  <c r="GY13" i="8"/>
  <c r="JA13" i="8" s="1"/>
  <c r="GX13" i="8"/>
  <c r="GW13" i="8"/>
  <c r="GV13" i="8"/>
  <c r="GU13" i="8"/>
  <c r="GT13" i="8"/>
  <c r="GS13" i="8"/>
  <c r="GR13" i="8"/>
  <c r="IX13" i="8" s="1"/>
  <c r="GQ13" i="8"/>
  <c r="IW13" i="8" s="1"/>
  <c r="GP13" i="8"/>
  <c r="IV13" i="8" s="1"/>
  <c r="GO13" i="8"/>
  <c r="IU13" i="8" s="1"/>
  <c r="GN13" i="8"/>
  <c r="IT13" i="8" s="1"/>
  <c r="GM13" i="8"/>
  <c r="IS13" i="8" s="1"/>
  <c r="GL13" i="8"/>
  <c r="IR13" i="8" s="1"/>
  <c r="GK13" i="8"/>
  <c r="IQ13" i="8" s="1"/>
  <c r="GJ13" i="8"/>
  <c r="IP13" i="8" s="1"/>
  <c r="GI13" i="8"/>
  <c r="IO13" i="8" s="1"/>
  <c r="GH13" i="8"/>
  <c r="GG13" i="8"/>
  <c r="GF13" i="8"/>
  <c r="GE13" i="8"/>
  <c r="GD13" i="8"/>
  <c r="GC13" i="8"/>
  <c r="GB13" i="8"/>
  <c r="IL13" i="8" s="1"/>
  <c r="GA13" i="8"/>
  <c r="FZ13" i="8"/>
  <c r="FY13" i="8"/>
  <c r="FX13" i="8"/>
  <c r="IJ13" i="8" s="1"/>
  <c r="FW13" i="8"/>
  <c r="FV13" i="8"/>
  <c r="IH13" i="8" s="1"/>
  <c r="FU13" i="8"/>
  <c r="FT13" i="8"/>
  <c r="FS13" i="8"/>
  <c r="FR13" i="8"/>
  <c r="FQ13" i="8"/>
  <c r="FP13" i="8"/>
  <c r="FO13" i="8"/>
  <c r="FN13" i="8"/>
  <c r="FM13" i="8"/>
  <c r="FL13" i="8"/>
  <c r="FK13" i="8"/>
  <c r="FJ13" i="8"/>
  <c r="FI13" i="8"/>
  <c r="FH13" i="8"/>
  <c r="IC13" i="8" s="1"/>
  <c r="FG13" i="8"/>
  <c r="IB13" i="8" s="1"/>
  <c r="FF13" i="8"/>
  <c r="IA13" i="8" s="1"/>
  <c r="FE13" i="8"/>
  <c r="FD13" i="8"/>
  <c r="FC13" i="8"/>
  <c r="FB13" i="8"/>
  <c r="FA13" i="8"/>
  <c r="EZ13" i="8"/>
  <c r="EY13" i="8"/>
  <c r="HX13" i="8" s="1"/>
  <c r="EX13" i="8"/>
  <c r="HW13" i="8" s="1"/>
  <c r="JN12" i="8"/>
  <c r="JH12" i="8"/>
  <c r="JD12" i="8"/>
  <c r="IL12" i="8"/>
  <c r="HM12" i="8"/>
  <c r="JO12" i="8" s="1"/>
  <c r="HL12" i="8"/>
  <c r="HK12" i="8"/>
  <c r="JM12" i="8" s="1"/>
  <c r="HJ12" i="8"/>
  <c r="JL12" i="8" s="1"/>
  <c r="HI12" i="8"/>
  <c r="JK12" i="8" s="1"/>
  <c r="HH12" i="8"/>
  <c r="JJ12" i="8" s="1"/>
  <c r="HG12" i="8"/>
  <c r="JI12" i="8" s="1"/>
  <c r="HF12" i="8"/>
  <c r="HE12" i="8"/>
  <c r="JG12" i="8" s="1"/>
  <c r="HD12" i="8"/>
  <c r="JF12" i="8" s="1"/>
  <c r="HC12" i="8"/>
  <c r="JE12" i="8" s="1"/>
  <c r="HB12" i="8"/>
  <c r="HA12" i="8"/>
  <c r="JC12" i="8" s="1"/>
  <c r="GZ12" i="8"/>
  <c r="JB12" i="8" s="1"/>
  <c r="GY12" i="8"/>
  <c r="JA12" i="8" s="1"/>
  <c r="GX12" i="8"/>
  <c r="GW12" i="8"/>
  <c r="GV12" i="8"/>
  <c r="GU12" i="8"/>
  <c r="GT12" i="8"/>
  <c r="GS12" i="8"/>
  <c r="GR12" i="8"/>
  <c r="IX12" i="8" s="1"/>
  <c r="GQ12" i="8"/>
  <c r="IW12" i="8" s="1"/>
  <c r="GP12" i="8"/>
  <c r="IV12" i="8" s="1"/>
  <c r="GO12" i="8"/>
  <c r="IU12" i="8" s="1"/>
  <c r="GN12" i="8"/>
  <c r="IT12" i="8" s="1"/>
  <c r="GM12" i="8"/>
  <c r="IS12" i="8" s="1"/>
  <c r="GL12" i="8"/>
  <c r="IR12" i="8" s="1"/>
  <c r="GK12" i="8"/>
  <c r="IQ12" i="8" s="1"/>
  <c r="GJ12" i="8"/>
  <c r="IP12" i="8" s="1"/>
  <c r="GI12" i="8"/>
  <c r="IO12" i="8" s="1"/>
  <c r="GH12" i="8"/>
  <c r="GG12" i="8"/>
  <c r="GF12" i="8"/>
  <c r="GE12" i="8"/>
  <c r="GD12" i="8"/>
  <c r="GC12" i="8"/>
  <c r="GB12" i="8"/>
  <c r="GA12" i="8"/>
  <c r="FZ12" i="8"/>
  <c r="FY12" i="8"/>
  <c r="FX12" i="8"/>
  <c r="IJ12" i="8" s="1"/>
  <c r="FW12" i="8"/>
  <c r="II12" i="8" s="1"/>
  <c r="FV12" i="8"/>
  <c r="IH12" i="8" s="1"/>
  <c r="FU12" i="8"/>
  <c r="FT12" i="8"/>
  <c r="FS12" i="8"/>
  <c r="IG12" i="8" s="1"/>
  <c r="FR12" i="8"/>
  <c r="FQ12" i="8"/>
  <c r="FP12" i="8"/>
  <c r="FO12" i="8"/>
  <c r="FN12" i="8"/>
  <c r="FM12" i="8"/>
  <c r="FL12" i="8"/>
  <c r="FK12" i="8"/>
  <c r="FJ12" i="8"/>
  <c r="FI12" i="8"/>
  <c r="FH12" i="8"/>
  <c r="IC12" i="8" s="1"/>
  <c r="FG12" i="8"/>
  <c r="IB12" i="8" s="1"/>
  <c r="FF12" i="8"/>
  <c r="IA12" i="8" s="1"/>
  <c r="FE12" i="8"/>
  <c r="FD12" i="8"/>
  <c r="FC12" i="8"/>
  <c r="FB12" i="8"/>
  <c r="FA12" i="8"/>
  <c r="EZ12" i="8"/>
  <c r="EY12" i="8"/>
  <c r="HX12" i="8" s="1"/>
  <c r="EX12" i="8"/>
  <c r="HW12" i="8" s="1"/>
  <c r="HM11" i="8"/>
  <c r="JO11" i="8" s="1"/>
  <c r="HL11" i="8"/>
  <c r="JN11" i="8" s="1"/>
  <c r="HK11" i="8"/>
  <c r="JM11" i="8" s="1"/>
  <c r="HJ11" i="8"/>
  <c r="JL11" i="8" s="1"/>
  <c r="HI11" i="8"/>
  <c r="JK11" i="8" s="1"/>
  <c r="HH11" i="8"/>
  <c r="JJ11" i="8" s="1"/>
  <c r="HG11" i="8"/>
  <c r="JI11" i="8" s="1"/>
  <c r="HF11" i="8"/>
  <c r="JH11" i="8" s="1"/>
  <c r="HE11" i="8"/>
  <c r="JG11" i="8" s="1"/>
  <c r="HD11" i="8"/>
  <c r="JF11" i="8" s="1"/>
  <c r="HC11" i="8"/>
  <c r="JE11" i="8" s="1"/>
  <c r="HB11" i="8"/>
  <c r="JD11" i="8" s="1"/>
  <c r="HA11" i="8"/>
  <c r="JC11" i="8" s="1"/>
  <c r="GZ11" i="8"/>
  <c r="JB11" i="8" s="1"/>
  <c r="GY11" i="8"/>
  <c r="JA11" i="8" s="1"/>
  <c r="GX11" i="8"/>
  <c r="GW11" i="8"/>
  <c r="GV11" i="8"/>
  <c r="GU11" i="8"/>
  <c r="GT11" i="8"/>
  <c r="GS11" i="8"/>
  <c r="GR11" i="8"/>
  <c r="IX11" i="8" s="1"/>
  <c r="GQ11" i="8"/>
  <c r="IW11" i="8" s="1"/>
  <c r="GP11" i="8"/>
  <c r="IV11" i="8" s="1"/>
  <c r="GO11" i="8"/>
  <c r="IU11" i="8" s="1"/>
  <c r="GN11" i="8"/>
  <c r="IT11" i="8" s="1"/>
  <c r="GM11" i="8"/>
  <c r="IS11" i="8" s="1"/>
  <c r="GL11" i="8"/>
  <c r="IR11" i="8" s="1"/>
  <c r="GK11" i="8"/>
  <c r="IQ11" i="8" s="1"/>
  <c r="GJ11" i="8"/>
  <c r="IP11" i="8" s="1"/>
  <c r="GI11" i="8"/>
  <c r="IO11" i="8" s="1"/>
  <c r="GH11" i="8"/>
  <c r="GG11" i="8"/>
  <c r="GF11" i="8"/>
  <c r="GE11" i="8"/>
  <c r="GD11" i="8"/>
  <c r="GC11" i="8"/>
  <c r="GB11" i="8"/>
  <c r="IL11" i="8" s="1"/>
  <c r="GA11" i="8"/>
  <c r="FZ11" i="8"/>
  <c r="FY11" i="8"/>
  <c r="FX11" i="8"/>
  <c r="IJ11" i="8" s="1"/>
  <c r="FW11" i="8"/>
  <c r="II11" i="8" s="1"/>
  <c r="FV11" i="8"/>
  <c r="IH11" i="8" s="1"/>
  <c r="FU11" i="8"/>
  <c r="FT11" i="8"/>
  <c r="FS11" i="8"/>
  <c r="FR11" i="8"/>
  <c r="FQ11" i="8"/>
  <c r="FP11" i="8"/>
  <c r="FO11" i="8"/>
  <c r="FN11" i="8"/>
  <c r="FM11" i="8"/>
  <c r="FL11" i="8"/>
  <c r="FK11" i="8"/>
  <c r="FJ11" i="8"/>
  <c r="FI11" i="8"/>
  <c r="FH11" i="8"/>
  <c r="IC11" i="8" s="1"/>
  <c r="FG11" i="8"/>
  <c r="IB11" i="8" s="1"/>
  <c r="FF11" i="8"/>
  <c r="IA11" i="8" s="1"/>
  <c r="FE11" i="8"/>
  <c r="FD11" i="8"/>
  <c r="FC11" i="8"/>
  <c r="FB11" i="8"/>
  <c r="FA11" i="8"/>
  <c r="EZ11" i="8"/>
  <c r="EY11" i="8"/>
  <c r="HX11" i="8" s="1"/>
  <c r="EX11" i="8"/>
  <c r="HW11" i="8" s="1"/>
  <c r="HM10" i="8"/>
  <c r="JO10" i="8" s="1"/>
  <c r="HL10" i="8"/>
  <c r="JN10" i="8" s="1"/>
  <c r="HK10" i="8"/>
  <c r="JM10" i="8" s="1"/>
  <c r="HJ10" i="8"/>
  <c r="JL10" i="8" s="1"/>
  <c r="HI10" i="8"/>
  <c r="JK10" i="8" s="1"/>
  <c r="HH10" i="8"/>
  <c r="JJ10" i="8" s="1"/>
  <c r="HG10" i="8"/>
  <c r="JI10" i="8" s="1"/>
  <c r="HF10" i="8"/>
  <c r="JH10" i="8" s="1"/>
  <c r="HE10" i="8"/>
  <c r="JG10" i="8" s="1"/>
  <c r="HD10" i="8"/>
  <c r="JF10" i="8" s="1"/>
  <c r="HC10" i="8"/>
  <c r="JE10" i="8" s="1"/>
  <c r="HB10" i="8"/>
  <c r="JD10" i="8" s="1"/>
  <c r="HA10" i="8"/>
  <c r="JC10" i="8" s="1"/>
  <c r="GZ10" i="8"/>
  <c r="JB10" i="8" s="1"/>
  <c r="GY10" i="8"/>
  <c r="JA10" i="8" s="1"/>
  <c r="GX10" i="8"/>
  <c r="GW10" i="8"/>
  <c r="GV10" i="8"/>
  <c r="GU10" i="8"/>
  <c r="GT10" i="8"/>
  <c r="GS10" i="8"/>
  <c r="GR10" i="8"/>
  <c r="IX10" i="8" s="1"/>
  <c r="GQ10" i="8"/>
  <c r="IW10" i="8" s="1"/>
  <c r="GP10" i="8"/>
  <c r="IV10" i="8" s="1"/>
  <c r="GO10" i="8"/>
  <c r="IU10" i="8" s="1"/>
  <c r="GN10" i="8"/>
  <c r="IT10" i="8" s="1"/>
  <c r="GM10" i="8"/>
  <c r="IS10" i="8" s="1"/>
  <c r="GL10" i="8"/>
  <c r="IR10" i="8" s="1"/>
  <c r="GK10" i="8"/>
  <c r="IQ10" i="8" s="1"/>
  <c r="GJ10" i="8"/>
  <c r="IP10" i="8" s="1"/>
  <c r="GI10" i="8"/>
  <c r="IO10" i="8" s="1"/>
  <c r="GH10" i="8"/>
  <c r="GG10" i="8"/>
  <c r="GF10" i="8"/>
  <c r="GE10" i="8"/>
  <c r="GD10" i="8"/>
  <c r="GC10" i="8"/>
  <c r="GB10" i="8"/>
  <c r="IL10" i="8" s="1"/>
  <c r="GA10" i="8"/>
  <c r="FZ10" i="8"/>
  <c r="FY10" i="8"/>
  <c r="FX10" i="8"/>
  <c r="IJ10" i="8" s="1"/>
  <c r="FW10" i="8"/>
  <c r="FV10" i="8"/>
  <c r="IH10" i="8" s="1"/>
  <c r="FU10" i="8"/>
  <c r="FT10" i="8"/>
  <c r="FS10" i="8"/>
  <c r="FR10" i="8"/>
  <c r="FQ10" i="8"/>
  <c r="FP10" i="8"/>
  <c r="FO10" i="8"/>
  <c r="FN10" i="8"/>
  <c r="FM10" i="8"/>
  <c r="FL10" i="8"/>
  <c r="FK10" i="8"/>
  <c r="FJ10" i="8"/>
  <c r="FI10" i="8"/>
  <c r="FH10" i="8"/>
  <c r="IC10" i="8" s="1"/>
  <c r="FG10" i="8"/>
  <c r="IB10" i="8" s="1"/>
  <c r="FF10" i="8"/>
  <c r="IA10" i="8" s="1"/>
  <c r="FE10" i="8"/>
  <c r="FD10" i="8"/>
  <c r="FC10" i="8"/>
  <c r="FB10" i="8"/>
  <c r="FA10" i="8"/>
  <c r="EZ10" i="8"/>
  <c r="EY10" i="8"/>
  <c r="HX10" i="8" s="1"/>
  <c r="EX10" i="8"/>
  <c r="HW10" i="8" s="1"/>
  <c r="JM9" i="8"/>
  <c r="JK9" i="8"/>
  <c r="JA9" i="8"/>
  <c r="HM9" i="8"/>
  <c r="JO9" i="8" s="1"/>
  <c r="HL9" i="8"/>
  <c r="JN9" i="8" s="1"/>
  <c r="HK9" i="8"/>
  <c r="HJ9" i="8"/>
  <c r="JL9" i="8" s="1"/>
  <c r="HI9" i="8"/>
  <c r="HH9" i="8"/>
  <c r="JJ9" i="8" s="1"/>
  <c r="HG9" i="8"/>
  <c r="JI9" i="8" s="1"/>
  <c r="HF9" i="8"/>
  <c r="JH9" i="8" s="1"/>
  <c r="HE9" i="8"/>
  <c r="JG9" i="8" s="1"/>
  <c r="HD9" i="8"/>
  <c r="JF9" i="8" s="1"/>
  <c r="HC9" i="8"/>
  <c r="JE9" i="8" s="1"/>
  <c r="HB9" i="8"/>
  <c r="JD9" i="8" s="1"/>
  <c r="HA9" i="8"/>
  <c r="JC9" i="8" s="1"/>
  <c r="GZ9" i="8"/>
  <c r="JB9" i="8" s="1"/>
  <c r="GY9" i="8"/>
  <c r="GX9" i="8"/>
  <c r="GW9" i="8"/>
  <c r="GV9" i="8"/>
  <c r="GU9" i="8"/>
  <c r="GT9" i="8"/>
  <c r="GS9" i="8"/>
  <c r="GR9" i="8"/>
  <c r="IX9" i="8" s="1"/>
  <c r="GQ9" i="8"/>
  <c r="IW9" i="8" s="1"/>
  <c r="GP9" i="8"/>
  <c r="IV9" i="8" s="1"/>
  <c r="GO9" i="8"/>
  <c r="IU9" i="8" s="1"/>
  <c r="GN9" i="8"/>
  <c r="IT9" i="8" s="1"/>
  <c r="GM9" i="8"/>
  <c r="IS9" i="8" s="1"/>
  <c r="GL9" i="8"/>
  <c r="IR9" i="8" s="1"/>
  <c r="GK9" i="8"/>
  <c r="IQ9" i="8" s="1"/>
  <c r="GJ9" i="8"/>
  <c r="IP9" i="8" s="1"/>
  <c r="GI9" i="8"/>
  <c r="IO9" i="8" s="1"/>
  <c r="GH9" i="8"/>
  <c r="GG9" i="8"/>
  <c r="GF9" i="8"/>
  <c r="GE9" i="8"/>
  <c r="GD9" i="8"/>
  <c r="GC9" i="8"/>
  <c r="GB9" i="8"/>
  <c r="IL9" i="8" s="1"/>
  <c r="GA9" i="8"/>
  <c r="FZ9" i="8"/>
  <c r="IK9" i="8" s="1"/>
  <c r="FY9" i="8"/>
  <c r="FX9" i="8"/>
  <c r="IJ9" i="8" s="1"/>
  <c r="FW9" i="8"/>
  <c r="II9" i="8" s="1"/>
  <c r="FV9" i="8"/>
  <c r="IH9" i="8" s="1"/>
  <c r="FU9" i="8"/>
  <c r="FT9" i="8"/>
  <c r="FS9" i="8"/>
  <c r="FR9" i="8"/>
  <c r="FQ9" i="8"/>
  <c r="FP9" i="8"/>
  <c r="FO9" i="8"/>
  <c r="FN9" i="8"/>
  <c r="IE9" i="8" s="1"/>
  <c r="FM9" i="8"/>
  <c r="FL9" i="8"/>
  <c r="FK9" i="8"/>
  <c r="FJ9" i="8"/>
  <c r="FI9" i="8"/>
  <c r="FH9" i="8"/>
  <c r="IC9" i="8" s="1"/>
  <c r="FG9" i="8"/>
  <c r="IB9" i="8" s="1"/>
  <c r="FF9" i="8"/>
  <c r="IA9" i="8" s="1"/>
  <c r="FE9" i="8"/>
  <c r="FD9" i="8"/>
  <c r="FC9" i="8"/>
  <c r="FB9" i="8"/>
  <c r="FA9" i="8"/>
  <c r="EZ9" i="8"/>
  <c r="EY9" i="8"/>
  <c r="HX9" i="8" s="1"/>
  <c r="EX9" i="8"/>
  <c r="HW9" i="8" s="1"/>
  <c r="JD8" i="8"/>
  <c r="IT8" i="8"/>
  <c r="HM8" i="8"/>
  <c r="JO8" i="8" s="1"/>
  <c r="HL8" i="8"/>
  <c r="JN8" i="8" s="1"/>
  <c r="HK8" i="8"/>
  <c r="JM8" i="8" s="1"/>
  <c r="HJ8" i="8"/>
  <c r="JL8" i="8" s="1"/>
  <c r="HI8" i="8"/>
  <c r="JK8" i="8" s="1"/>
  <c r="HH8" i="8"/>
  <c r="JJ8" i="8" s="1"/>
  <c r="HG8" i="8"/>
  <c r="JI8" i="8" s="1"/>
  <c r="HF8" i="8"/>
  <c r="JH8" i="8" s="1"/>
  <c r="HE8" i="8"/>
  <c r="JG8" i="8" s="1"/>
  <c r="HD8" i="8"/>
  <c r="JF8" i="8" s="1"/>
  <c r="HC8" i="8"/>
  <c r="JE8" i="8" s="1"/>
  <c r="HB8" i="8"/>
  <c r="HA8" i="8"/>
  <c r="JC8" i="8" s="1"/>
  <c r="GZ8" i="8"/>
  <c r="JB8" i="8" s="1"/>
  <c r="GY8" i="8"/>
  <c r="JA8" i="8" s="1"/>
  <c r="GX8" i="8"/>
  <c r="GW8" i="8"/>
  <c r="GV8" i="8"/>
  <c r="GU8" i="8"/>
  <c r="GT8" i="8"/>
  <c r="GS8" i="8"/>
  <c r="GR8" i="8"/>
  <c r="IX8" i="8" s="1"/>
  <c r="GQ8" i="8"/>
  <c r="IW8" i="8" s="1"/>
  <c r="GP8" i="8"/>
  <c r="IV8" i="8" s="1"/>
  <c r="GO8" i="8"/>
  <c r="IU8" i="8" s="1"/>
  <c r="GN8" i="8"/>
  <c r="GM8" i="8"/>
  <c r="IS8" i="8" s="1"/>
  <c r="GL8" i="8"/>
  <c r="IR8" i="8" s="1"/>
  <c r="GK8" i="8"/>
  <c r="IQ8" i="8" s="1"/>
  <c r="GJ8" i="8"/>
  <c r="IP8" i="8" s="1"/>
  <c r="GI8" i="8"/>
  <c r="IO8" i="8" s="1"/>
  <c r="GH8" i="8"/>
  <c r="GG8" i="8"/>
  <c r="GF8" i="8"/>
  <c r="GE8" i="8"/>
  <c r="GD8" i="8"/>
  <c r="GC8" i="8"/>
  <c r="GB8" i="8"/>
  <c r="IL8" i="8" s="1"/>
  <c r="GA8" i="8"/>
  <c r="FZ8" i="8"/>
  <c r="FY8" i="8"/>
  <c r="FX8" i="8"/>
  <c r="IJ8" i="8" s="1"/>
  <c r="FW8" i="8"/>
  <c r="II8" i="8" s="1"/>
  <c r="FV8" i="8"/>
  <c r="IH8" i="8" s="1"/>
  <c r="FU8" i="8"/>
  <c r="FT8" i="8"/>
  <c r="FS8" i="8"/>
  <c r="FR8" i="8"/>
  <c r="FQ8" i="8"/>
  <c r="FP8" i="8"/>
  <c r="FO8" i="8"/>
  <c r="FN8" i="8"/>
  <c r="FM8" i="8"/>
  <c r="FL8" i="8"/>
  <c r="FK8" i="8"/>
  <c r="FJ8" i="8"/>
  <c r="FI8" i="8"/>
  <c r="FH8" i="8"/>
  <c r="IC8" i="8" s="1"/>
  <c r="FG8" i="8"/>
  <c r="IB8" i="8" s="1"/>
  <c r="FF8" i="8"/>
  <c r="IA8" i="8" s="1"/>
  <c r="FE8" i="8"/>
  <c r="FD8" i="8"/>
  <c r="FC8" i="8"/>
  <c r="FB8" i="8"/>
  <c r="FA8" i="8"/>
  <c r="EZ8" i="8"/>
  <c r="EY8" i="8"/>
  <c r="HX8" i="8" s="1"/>
  <c r="EX8" i="8"/>
  <c r="HW8" i="8" s="1"/>
  <c r="HM7" i="8"/>
  <c r="JO7" i="8" s="1"/>
  <c r="HL7" i="8"/>
  <c r="JN7" i="8" s="1"/>
  <c r="HK7" i="8"/>
  <c r="JM7" i="8" s="1"/>
  <c r="HJ7" i="8"/>
  <c r="JL7" i="8" s="1"/>
  <c r="HI7" i="8"/>
  <c r="JK7" i="8" s="1"/>
  <c r="HH7" i="8"/>
  <c r="JJ7" i="8" s="1"/>
  <c r="HG7" i="8"/>
  <c r="JI7" i="8" s="1"/>
  <c r="HF7" i="8"/>
  <c r="JH7" i="8" s="1"/>
  <c r="HE7" i="8"/>
  <c r="JG7" i="8" s="1"/>
  <c r="HD7" i="8"/>
  <c r="JF7" i="8" s="1"/>
  <c r="HC7" i="8"/>
  <c r="JE7" i="8" s="1"/>
  <c r="HB7" i="8"/>
  <c r="JD7" i="8" s="1"/>
  <c r="HA7" i="8"/>
  <c r="JC7" i="8" s="1"/>
  <c r="GZ7" i="8"/>
  <c r="JB7" i="8" s="1"/>
  <c r="GY7" i="8"/>
  <c r="JA7" i="8" s="1"/>
  <c r="GX7" i="8"/>
  <c r="GW7" i="8"/>
  <c r="GV7" i="8"/>
  <c r="GU7" i="8"/>
  <c r="GT7" i="8"/>
  <c r="GS7" i="8"/>
  <c r="GR7" i="8"/>
  <c r="IX7" i="8" s="1"/>
  <c r="GQ7" i="8"/>
  <c r="IW7" i="8" s="1"/>
  <c r="GP7" i="8"/>
  <c r="IV7" i="8" s="1"/>
  <c r="GO7" i="8"/>
  <c r="IU7" i="8" s="1"/>
  <c r="GN7" i="8"/>
  <c r="IT7" i="8" s="1"/>
  <c r="GM7" i="8"/>
  <c r="IS7" i="8" s="1"/>
  <c r="GL7" i="8"/>
  <c r="IR7" i="8" s="1"/>
  <c r="GK7" i="8"/>
  <c r="IQ7" i="8" s="1"/>
  <c r="GJ7" i="8"/>
  <c r="IP7" i="8" s="1"/>
  <c r="GI7" i="8"/>
  <c r="IO7" i="8" s="1"/>
  <c r="GH7" i="8"/>
  <c r="GG7" i="8"/>
  <c r="GF7" i="8"/>
  <c r="GE7" i="8"/>
  <c r="GD7" i="8"/>
  <c r="GC7" i="8"/>
  <c r="GB7" i="8"/>
  <c r="IL7" i="8" s="1"/>
  <c r="GA7" i="8"/>
  <c r="FZ7" i="8"/>
  <c r="FY7" i="8"/>
  <c r="FX7" i="8"/>
  <c r="IJ7" i="8" s="1"/>
  <c r="FW7" i="8"/>
  <c r="FV7" i="8"/>
  <c r="IH7" i="8" s="1"/>
  <c r="FU7" i="8"/>
  <c r="FT7" i="8"/>
  <c r="FS7" i="8"/>
  <c r="FR7" i="8"/>
  <c r="FQ7" i="8"/>
  <c r="FP7" i="8"/>
  <c r="FO7" i="8"/>
  <c r="FN7" i="8"/>
  <c r="FM7" i="8"/>
  <c r="FL7" i="8"/>
  <c r="FK7" i="8"/>
  <c r="FJ7" i="8"/>
  <c r="FI7" i="8"/>
  <c r="FH7" i="8"/>
  <c r="IC7" i="8" s="1"/>
  <c r="FG7" i="8"/>
  <c r="IB7" i="8" s="1"/>
  <c r="FF7" i="8"/>
  <c r="IA7" i="8" s="1"/>
  <c r="FE7" i="8"/>
  <c r="FD7" i="8"/>
  <c r="FC7" i="8"/>
  <c r="FB7" i="8"/>
  <c r="FA7" i="8"/>
  <c r="EZ7" i="8"/>
  <c r="EY7" i="8"/>
  <c r="HX7" i="8" s="1"/>
  <c r="EX7" i="8"/>
  <c r="HW7" i="8" s="1"/>
  <c r="HM6" i="8"/>
  <c r="JO6" i="8" s="1"/>
  <c r="HL6" i="8"/>
  <c r="JN6" i="8" s="1"/>
  <c r="HK6" i="8"/>
  <c r="JM6" i="8" s="1"/>
  <c r="HJ6" i="8"/>
  <c r="JL6" i="8" s="1"/>
  <c r="HI6" i="8"/>
  <c r="JK6" i="8" s="1"/>
  <c r="HH6" i="8"/>
  <c r="JJ6" i="8" s="1"/>
  <c r="HG6" i="8"/>
  <c r="JI6" i="8" s="1"/>
  <c r="HF6" i="8"/>
  <c r="JH6" i="8" s="1"/>
  <c r="HE6" i="8"/>
  <c r="JG6" i="8" s="1"/>
  <c r="HD6" i="8"/>
  <c r="JF6" i="8" s="1"/>
  <c r="HC6" i="8"/>
  <c r="JE6" i="8" s="1"/>
  <c r="HB6" i="8"/>
  <c r="JD6" i="8" s="1"/>
  <c r="HA6" i="8"/>
  <c r="JC6" i="8" s="1"/>
  <c r="GZ6" i="8"/>
  <c r="JB6" i="8" s="1"/>
  <c r="GY6" i="8"/>
  <c r="JA6" i="8" s="1"/>
  <c r="GX6" i="8"/>
  <c r="GW6" i="8"/>
  <c r="GV6" i="8"/>
  <c r="GU6" i="8"/>
  <c r="GT6" i="8"/>
  <c r="GS6" i="8"/>
  <c r="GR6" i="8"/>
  <c r="IX6" i="8" s="1"/>
  <c r="GQ6" i="8"/>
  <c r="IW6" i="8" s="1"/>
  <c r="GP6" i="8"/>
  <c r="IV6" i="8" s="1"/>
  <c r="GO6" i="8"/>
  <c r="IU6" i="8" s="1"/>
  <c r="GN6" i="8"/>
  <c r="IT6" i="8" s="1"/>
  <c r="GM6" i="8"/>
  <c r="IS6" i="8" s="1"/>
  <c r="GL6" i="8"/>
  <c r="IR6" i="8" s="1"/>
  <c r="GK6" i="8"/>
  <c r="IQ6" i="8" s="1"/>
  <c r="GJ6" i="8"/>
  <c r="IP6" i="8" s="1"/>
  <c r="GI6" i="8"/>
  <c r="IO6" i="8" s="1"/>
  <c r="GH6" i="8"/>
  <c r="GG6" i="8"/>
  <c r="GF6" i="8"/>
  <c r="GE6" i="8"/>
  <c r="GD6" i="8"/>
  <c r="GC6" i="8"/>
  <c r="GB6" i="8"/>
  <c r="IL6" i="8" s="1"/>
  <c r="GA6" i="8"/>
  <c r="FZ6" i="8"/>
  <c r="IK6" i="8" s="1"/>
  <c r="FY6" i="8"/>
  <c r="FX6" i="8"/>
  <c r="IJ6" i="8" s="1"/>
  <c r="FW6" i="8"/>
  <c r="FV6" i="8"/>
  <c r="IH6" i="8" s="1"/>
  <c r="FU6" i="8"/>
  <c r="FT6" i="8"/>
  <c r="FS6" i="8"/>
  <c r="FR6" i="8"/>
  <c r="FQ6" i="8"/>
  <c r="FP6" i="8"/>
  <c r="FO6" i="8"/>
  <c r="FN6" i="8"/>
  <c r="FM6" i="8"/>
  <c r="FL6" i="8"/>
  <c r="FK6" i="8"/>
  <c r="FJ6" i="8"/>
  <c r="FI6" i="8"/>
  <c r="FH6" i="8"/>
  <c r="IC6" i="8" s="1"/>
  <c r="FG6" i="8"/>
  <c r="IB6" i="8" s="1"/>
  <c r="FF6" i="8"/>
  <c r="IA6" i="8" s="1"/>
  <c r="FE6" i="8"/>
  <c r="FD6" i="8"/>
  <c r="FC6" i="8"/>
  <c r="FB6" i="8"/>
  <c r="FA6" i="8"/>
  <c r="EZ6" i="8"/>
  <c r="EY6" i="8"/>
  <c r="HX6" i="8" s="1"/>
  <c r="EX6" i="8"/>
  <c r="HW6" i="8" s="1"/>
  <c r="AK35" i="4"/>
  <c r="AJ35" i="4"/>
  <c r="AJ32" i="4"/>
  <c r="AK36" i="4" s="1"/>
  <c r="J6" i="4"/>
  <c r="I6" i="4"/>
  <c r="H6" i="4"/>
  <c r="AE5" i="4"/>
  <c r="AD5" i="4"/>
  <c r="AC5" i="4"/>
  <c r="T5" i="4"/>
  <c r="S5" i="4"/>
  <c r="R5" i="4"/>
  <c r="J5" i="4"/>
  <c r="I5" i="4"/>
  <c r="H5" i="4"/>
  <c r="AE4" i="4"/>
  <c r="AD4" i="4"/>
  <c r="AC4" i="4"/>
  <c r="T4" i="4"/>
  <c r="S4" i="4"/>
  <c r="R4" i="4"/>
  <c r="J4" i="4"/>
  <c r="I4" i="4"/>
  <c r="H4" i="4"/>
  <c r="AE3" i="4"/>
  <c r="AD3" i="4"/>
  <c r="AC3" i="4"/>
  <c r="T3" i="4"/>
  <c r="S3" i="4"/>
  <c r="R3" i="4"/>
  <c r="HZ7" i="8" l="1"/>
  <c r="IG7" i="8"/>
  <c r="HY8" i="8"/>
  <c r="IF8" i="8"/>
  <c r="IN8" i="8"/>
  <c r="IZ8" i="8"/>
  <c r="IG14" i="8"/>
  <c r="HY17" i="8"/>
  <c r="IG17" i="8"/>
  <c r="IN17" i="8"/>
  <c r="IZ17" i="8"/>
  <c r="IK18" i="8"/>
  <c r="ID19" i="8"/>
  <c r="HY24" i="8"/>
  <c r="ID25" i="8"/>
  <c r="II25" i="8"/>
  <c r="IF28" i="8"/>
  <c r="IN28" i="8"/>
  <c r="IZ28" i="8"/>
  <c r="HZ29" i="8"/>
  <c r="ID29" i="8"/>
  <c r="IE29" i="8"/>
  <c r="IF29" i="8"/>
  <c r="IM29" i="8"/>
  <c r="IY29" i="8"/>
  <c r="HY30" i="8"/>
  <c r="IF30" i="8"/>
  <c r="IG30" i="8"/>
  <c r="IN30" i="8"/>
  <c r="IZ30" i="8"/>
  <c r="HZ32" i="8"/>
  <c r="ID32" i="8"/>
  <c r="IE32" i="8"/>
  <c r="IF32" i="8"/>
  <c r="IM32" i="8"/>
  <c r="IN32" i="8"/>
  <c r="IY32" i="8"/>
  <c r="IZ32" i="8"/>
  <c r="IF6" i="8"/>
  <c r="IZ6" i="8"/>
  <c r="IM9" i="8"/>
  <c r="IY9" i="8"/>
  <c r="II10" i="8"/>
  <c r="ID13" i="8"/>
  <c r="II13" i="8"/>
  <c r="IZ16" i="8"/>
  <c r="IG18" i="8"/>
  <c r="II18" i="8"/>
  <c r="IF20" i="8"/>
  <c r="IN20" i="8"/>
  <c r="IZ20" i="8"/>
  <c r="HY21" i="8"/>
  <c r="HZ21" i="8"/>
  <c r="IF21" i="8"/>
  <c r="IG21" i="8"/>
  <c r="IN21" i="8"/>
  <c r="IZ21" i="8"/>
  <c r="IK25" i="8"/>
  <c r="IK29" i="8"/>
  <c r="II30" i="8"/>
  <c r="IK31" i="8"/>
  <c r="AJ36" i="4"/>
  <c r="IK7" i="8"/>
  <c r="IY7" i="8"/>
  <c r="IK8" i="8"/>
  <c r="HY10" i="8"/>
  <c r="HZ10" i="8"/>
  <c r="IF10" i="8"/>
  <c r="IN10" i="8"/>
  <c r="IZ10" i="8"/>
  <c r="IK13" i="8"/>
  <c r="ID22" i="8"/>
  <c r="IE22" i="8"/>
  <c r="IF22" i="8"/>
  <c r="IM22" i="8"/>
  <c r="IN22" i="8"/>
  <c r="IY22" i="8"/>
  <c r="IZ22" i="8"/>
  <c r="IK30" i="8"/>
  <c r="IG31" i="8"/>
  <c r="II35" i="8"/>
  <c r="HZ39" i="8"/>
  <c r="IF39" i="8"/>
  <c r="IN39" i="8"/>
  <c r="IZ39" i="8"/>
  <c r="ID40" i="8"/>
  <c r="IF48" i="8"/>
  <c r="IN48" i="8"/>
  <c r="IZ48" i="8"/>
  <c r="HZ49" i="8"/>
  <c r="IG49" i="8"/>
  <c r="IZ55" i="8"/>
  <c r="IK56" i="8"/>
  <c r="ID33" i="8"/>
  <c r="II33" i="8"/>
  <c r="IN34" i="8"/>
  <c r="IZ34" i="8"/>
  <c r="IF38" i="8"/>
  <c r="IN38" i="8"/>
  <c r="IK40" i="8"/>
  <c r="IM40" i="8"/>
  <c r="IY40" i="8"/>
  <c r="HY42" i="8"/>
  <c r="HZ42" i="8"/>
  <c r="IF42" i="8"/>
  <c r="IG42" i="8"/>
  <c r="IN42" i="8"/>
  <c r="IZ42" i="8"/>
  <c r="IG44" i="8"/>
  <c r="II44" i="8"/>
  <c r="ID53" i="8"/>
  <c r="IE53" i="8"/>
  <c r="IM53" i="8"/>
  <c r="IY53" i="8"/>
  <c r="ID54" i="8"/>
  <c r="II56" i="8"/>
  <c r="IG57" i="8"/>
  <c r="II57" i="8"/>
  <c r="IG58" i="8"/>
  <c r="II58" i="8"/>
  <c r="ID59" i="8"/>
  <c r="IE59" i="8"/>
  <c r="IM59" i="8"/>
  <c r="IY59" i="8"/>
  <c r="HZ63" i="8"/>
  <c r="II65" i="8"/>
  <c r="IG66" i="8"/>
  <c r="ID69" i="8"/>
  <c r="IE69" i="8"/>
  <c r="IM69" i="8"/>
  <c r="IY69" i="8"/>
  <c r="IG70" i="8"/>
  <c r="II70" i="8"/>
  <c r="IG71" i="8"/>
  <c r="II71" i="8"/>
  <c r="IG72" i="8"/>
  <c r="II72" i="8"/>
  <c r="IG73" i="8"/>
  <c r="II73" i="8"/>
  <c r="IG74" i="8"/>
  <c r="II74" i="8"/>
  <c r="II75" i="8"/>
  <c r="IG76" i="8"/>
  <c r="II76" i="8"/>
  <c r="IK33" i="8"/>
  <c r="ID36" i="8"/>
  <c r="IE36" i="8"/>
  <c r="IF36" i="8"/>
  <c r="IM36" i="8"/>
  <c r="IN36" i="8"/>
  <c r="IY36" i="8"/>
  <c r="IZ36" i="8"/>
  <c r="IG41" i="8"/>
  <c r="ID46" i="8"/>
  <c r="IG48" i="8"/>
  <c r="IE49" i="8"/>
  <c r="IK49" i="8"/>
  <c r="IM49" i="8"/>
  <c r="IY49" i="8"/>
  <c r="IK51" i="8"/>
  <c r="HY56" i="8"/>
  <c r="HZ56" i="8"/>
  <c r="IF56" i="8"/>
  <c r="IG56" i="8"/>
  <c r="IN56" i="8"/>
  <c r="IZ56" i="8"/>
  <c r="IG64" i="8"/>
  <c r="HY65" i="8"/>
  <c r="HZ65" i="8"/>
  <c r="IF65" i="8"/>
  <c r="IG65" i="8"/>
  <c r="IN65" i="8"/>
  <c r="IZ65" i="8"/>
  <c r="IE67" i="8"/>
  <c r="IF67" i="8"/>
  <c r="IK67" i="8"/>
  <c r="IM67" i="8"/>
  <c r="IN67" i="8"/>
  <c r="IY67" i="8"/>
  <c r="IZ67" i="8"/>
  <c r="IG68" i="8"/>
  <c r="II68" i="8"/>
  <c r="IK68" i="8"/>
  <c r="IK69" i="8"/>
  <c r="HZ70" i="8"/>
  <c r="HZ71" i="8"/>
  <c r="HZ72" i="8"/>
  <c r="HZ73" i="8"/>
  <c r="HZ74" i="8"/>
  <c r="HZ75" i="8"/>
  <c r="HZ76" i="8"/>
  <c r="IG6" i="8"/>
  <c r="II6" i="8"/>
  <c r="HY7" i="8"/>
  <c r="IF7" i="8"/>
  <c r="IN7" i="8"/>
  <c r="IZ7" i="8"/>
  <c r="HY38" i="8"/>
  <c r="IN6" i="8"/>
  <c r="ID7" i="8"/>
  <c r="IE7" i="8"/>
  <c r="IM7" i="8"/>
  <c r="IG8" i="8"/>
  <c r="HY9" i="8"/>
  <c r="HZ9" i="8"/>
  <c r="IF9" i="8"/>
  <c r="IN9" i="8"/>
  <c r="IZ9" i="8"/>
  <c r="IK10" i="8"/>
  <c r="ID11" i="8"/>
  <c r="HY12" i="8"/>
  <c r="IG16" i="8"/>
  <c r="IE23" i="8"/>
  <c r="IK23" i="8"/>
  <c r="IM23" i="8"/>
  <c r="IY23" i="8"/>
  <c r="IG24" i="8"/>
  <c r="IE33" i="8"/>
  <c r="IM33" i="8"/>
  <c r="IY33" i="8"/>
  <c r="ID6" i="8"/>
  <c r="IE6" i="8"/>
  <c r="IM6" i="8"/>
  <c r="IY6" i="8"/>
  <c r="ID9" i="8"/>
  <c r="IG10" i="8"/>
  <c r="IE11" i="8"/>
  <c r="IK11" i="8"/>
  <c r="IM11" i="8"/>
  <c r="IY11" i="8"/>
  <c r="HY13" i="8"/>
  <c r="HZ13" i="8"/>
  <c r="IF13" i="8"/>
  <c r="IG13" i="8"/>
  <c r="IN13" i="8"/>
  <c r="IZ13" i="8"/>
  <c r="ID18" i="8"/>
  <c r="IE18" i="8"/>
  <c r="HY25" i="8"/>
  <c r="HZ25" i="8"/>
  <c r="IF25" i="8"/>
  <c r="IG25" i="8"/>
  <c r="IN25" i="8"/>
  <c r="IZ25" i="8"/>
  <c r="IK27" i="8"/>
  <c r="IE35" i="8"/>
  <c r="IK35" i="8"/>
  <c r="IM35" i="8"/>
  <c r="IY35" i="8"/>
  <c r="HZ12" i="8"/>
  <c r="IE12" i="8"/>
  <c r="IM12" i="8"/>
  <c r="IY12" i="8"/>
  <c r="IM13" i="8"/>
  <c r="HY14" i="8"/>
  <c r="IG15" i="8"/>
  <c r="HZ16" i="8"/>
  <c r="IF16" i="8"/>
  <c r="ID17" i="8"/>
  <c r="ID20" i="8"/>
  <c r="IY20" i="8"/>
  <c r="HZ24" i="8"/>
  <c r="ID24" i="8"/>
  <c r="IE24" i="8"/>
  <c r="IF24" i="8"/>
  <c r="IN24" i="8"/>
  <c r="IY24" i="8"/>
  <c r="IZ24" i="8"/>
  <c r="IE25" i="8"/>
  <c r="IM25" i="8"/>
  <c r="IY25" i="8"/>
  <c r="HY27" i="8"/>
  <c r="HY28" i="8"/>
  <c r="IG28" i="8"/>
  <c r="ID30" i="8"/>
  <c r="IY31" i="8"/>
  <c r="HY34" i="8"/>
  <c r="HY35" i="8"/>
  <c r="IF35" i="8"/>
  <c r="IG35" i="8"/>
  <c r="IN35" i="8"/>
  <c r="IE40" i="8"/>
  <c r="ID12" i="8"/>
  <c r="IF12" i="8"/>
  <c r="IN12" i="8"/>
  <c r="IZ12" i="8"/>
  <c r="IE13" i="8"/>
  <c r="IY13" i="8"/>
  <c r="HY15" i="8"/>
  <c r="IF15" i="8"/>
  <c r="IN15" i="8"/>
  <c r="IZ15" i="8"/>
  <c r="ID16" i="8"/>
  <c r="IN16" i="8"/>
  <c r="II19" i="8"/>
  <c r="IE20" i="8"/>
  <c r="IM20" i="8"/>
  <c r="IM24" i="8"/>
  <c r="HY6" i="8"/>
  <c r="HZ6" i="8"/>
  <c r="II7" i="8"/>
  <c r="HZ8" i="8"/>
  <c r="ID8" i="8"/>
  <c r="IE8" i="8"/>
  <c r="IM8" i="8"/>
  <c r="IY8" i="8"/>
  <c r="IG9" i="8"/>
  <c r="ID10" i="8"/>
  <c r="IE10" i="8"/>
  <c r="IM10" i="8"/>
  <c r="IY10" i="8"/>
  <c r="HY11" i="8"/>
  <c r="HZ11" i="8"/>
  <c r="IF11" i="8"/>
  <c r="IG11" i="8"/>
  <c r="IN11" i="8"/>
  <c r="IZ11" i="8"/>
  <c r="IK12" i="8"/>
  <c r="HZ14" i="8"/>
  <c r="ID14" i="8"/>
  <c r="IE14" i="8"/>
  <c r="IF14" i="8"/>
  <c r="IM14" i="8"/>
  <c r="IN14" i="8"/>
  <c r="IY14" i="8"/>
  <c r="ID15" i="8"/>
  <c r="IE17" i="8"/>
  <c r="IK17" i="8"/>
  <c r="IM17" i="8"/>
  <c r="IY17" i="8"/>
  <c r="HY18" i="8"/>
  <c r="HY19" i="8"/>
  <c r="HZ19" i="8"/>
  <c r="IF19" i="8"/>
  <c r="IG19" i="8"/>
  <c r="IN19" i="8"/>
  <c r="IZ19" i="8"/>
  <c r="IK20" i="8"/>
  <c r="HY22" i="8"/>
  <c r="ID23" i="8"/>
  <c r="ID28" i="8"/>
  <c r="IG29" i="8"/>
  <c r="II29" i="8"/>
  <c r="IE30" i="8"/>
  <c r="IM30" i="8"/>
  <c r="IY30" i="8"/>
  <c r="HY31" i="8"/>
  <c r="IZ31" i="8"/>
  <c r="HZ34" i="8"/>
  <c r="ID34" i="8"/>
  <c r="IE34" i="8"/>
  <c r="IF34" i="8"/>
  <c r="IM34" i="8"/>
  <c r="IY34" i="8"/>
  <c r="HY36" i="8"/>
  <c r="ID37" i="8"/>
  <c r="IZ35" i="8"/>
  <c r="HZ38" i="8"/>
  <c r="IE38" i="8"/>
  <c r="HY41" i="8"/>
  <c r="ID42" i="8"/>
  <c r="IF18" i="8"/>
  <c r="IM18" i="8"/>
  <c r="IN18" i="8"/>
  <c r="IY18" i="8"/>
  <c r="IZ18" i="8"/>
  <c r="IE19" i="8"/>
  <c r="IK19" i="8"/>
  <c r="IM19" i="8"/>
  <c r="IY19" i="8"/>
  <c r="HY20" i="8"/>
  <c r="ID21" i="8"/>
  <c r="IG22" i="8"/>
  <c r="II22" i="8"/>
  <c r="HY23" i="8"/>
  <c r="HZ23" i="8"/>
  <c r="IF23" i="8"/>
  <c r="IG23" i="8"/>
  <c r="IN23" i="8"/>
  <c r="IZ23" i="8"/>
  <c r="IK24" i="8"/>
  <c r="HZ27" i="8"/>
  <c r="ID27" i="8"/>
  <c r="IE27" i="8"/>
  <c r="IF27" i="8"/>
  <c r="IM27" i="8"/>
  <c r="IN27" i="8"/>
  <c r="IY27" i="8"/>
  <c r="IZ27" i="8"/>
  <c r="IE28" i="8"/>
  <c r="IK28" i="8"/>
  <c r="IM28" i="8"/>
  <c r="IY28" i="8"/>
  <c r="HY29" i="8"/>
  <c r="ID31" i="8"/>
  <c r="IE31" i="8"/>
  <c r="IF31" i="8"/>
  <c r="IM31" i="8"/>
  <c r="HY33" i="8"/>
  <c r="HZ33" i="8"/>
  <c r="IF33" i="8"/>
  <c r="IG33" i="8"/>
  <c r="IN33" i="8"/>
  <c r="IZ33" i="8"/>
  <c r="IK34" i="8"/>
  <c r="ID35" i="8"/>
  <c r="IG36" i="8"/>
  <c r="II36" i="8"/>
  <c r="HY37" i="8"/>
  <c r="HZ37" i="8"/>
  <c r="IF37" i="8"/>
  <c r="IG37" i="8"/>
  <c r="IN37" i="8"/>
  <c r="IZ37" i="8"/>
  <c r="HZ41" i="8"/>
  <c r="ID41" i="8"/>
  <c r="IE41" i="8"/>
  <c r="IF41" i="8"/>
  <c r="IM41" i="8"/>
  <c r="IN41" i="8"/>
  <c r="IY41" i="8"/>
  <c r="IZ41" i="8"/>
  <c r="IE42" i="8"/>
  <c r="IM42" i="8"/>
  <c r="IY42" i="8"/>
  <c r="HY44" i="8"/>
  <c r="HY45" i="8"/>
  <c r="HZ45" i="8"/>
  <c r="IF45" i="8"/>
  <c r="IG45" i="8"/>
  <c r="IN45" i="8"/>
  <c r="IZ45" i="8"/>
  <c r="IK46" i="8"/>
  <c r="ID47" i="8"/>
  <c r="ID48" i="8"/>
  <c r="IE48" i="8"/>
  <c r="IM48" i="8"/>
  <c r="IY48" i="8"/>
  <c r="HY49" i="8"/>
  <c r="IF49" i="8"/>
  <c r="IN49" i="8"/>
  <c r="IZ49" i="8"/>
  <c r="ID45" i="8"/>
  <c r="ID51" i="8"/>
  <c r="IE51" i="8"/>
  <c r="IF51" i="8"/>
  <c r="IM51" i="8"/>
  <c r="IN51" i="8"/>
  <c r="II38" i="8"/>
  <c r="IM38" i="8"/>
  <c r="IY38" i="8"/>
  <c r="IG39" i="8"/>
  <c r="II39" i="8"/>
  <c r="HY40" i="8"/>
  <c r="HZ40" i="8"/>
  <c r="IF40" i="8"/>
  <c r="IG40" i="8"/>
  <c r="IN40" i="8"/>
  <c r="IZ40" i="8"/>
  <c r="IK41" i="8"/>
  <c r="HZ44" i="8"/>
  <c r="ID44" i="8"/>
  <c r="IE44" i="8"/>
  <c r="IF44" i="8"/>
  <c r="IM44" i="8"/>
  <c r="IN44" i="8"/>
  <c r="IY44" i="8"/>
  <c r="IZ44" i="8"/>
  <c r="IE45" i="8"/>
  <c r="IK45" i="8"/>
  <c r="IM45" i="8"/>
  <c r="IY45" i="8"/>
  <c r="HY46" i="8"/>
  <c r="HY47" i="8"/>
  <c r="HZ47" i="8"/>
  <c r="IF47" i="8"/>
  <c r="IG47" i="8"/>
  <c r="IN47" i="8"/>
  <c r="IZ47" i="8"/>
  <c r="IK48" i="8"/>
  <c r="HY51" i="8"/>
  <c r="HZ51" i="8"/>
  <c r="ID52" i="8"/>
  <c r="HY55" i="8"/>
  <c r="IF55" i="8"/>
  <c r="IN55" i="8"/>
  <c r="ID57" i="8"/>
  <c r="IE57" i="8"/>
  <c r="IM57" i="8"/>
  <c r="IY57" i="8"/>
  <c r="ID58" i="8"/>
  <c r="IG59" i="8"/>
  <c r="II59" i="8"/>
  <c r="IY51" i="8"/>
  <c r="IZ51" i="8"/>
  <c r="IE52" i="8"/>
  <c r="IK52" i="8"/>
  <c r="IM52" i="8"/>
  <c r="IY52" i="8"/>
  <c r="IG53" i="8"/>
  <c r="II53" i="8"/>
  <c r="IG54" i="8"/>
  <c r="II54" i="8"/>
  <c r="ID64" i="8"/>
  <c r="IE64" i="8"/>
  <c r="IM64" i="8"/>
  <c r="IY64" i="8"/>
  <c r="ID66" i="8"/>
  <c r="IE66" i="8"/>
  <c r="II66" i="8"/>
  <c r="IE46" i="8"/>
  <c r="IF46" i="8"/>
  <c r="IM46" i="8"/>
  <c r="IN46" i="8"/>
  <c r="IY46" i="8"/>
  <c r="IZ46" i="8"/>
  <c r="IE47" i="8"/>
  <c r="IK47" i="8"/>
  <c r="IM47" i="8"/>
  <c r="IY47" i="8"/>
  <c r="HY48" i="8"/>
  <c r="HZ48" i="8"/>
  <c r="ID49" i="8"/>
  <c r="IG51" i="8"/>
  <c r="II51" i="8"/>
  <c r="HY52" i="8"/>
  <c r="HZ52" i="8"/>
  <c r="IF52" i="8"/>
  <c r="IG52" i="8"/>
  <c r="IN52" i="8"/>
  <c r="IZ52" i="8"/>
  <c r="IK53" i="8"/>
  <c r="HY54" i="8"/>
  <c r="HZ54" i="8"/>
  <c r="IF54" i="8"/>
  <c r="IN54" i="8"/>
  <c r="IZ54" i="8"/>
  <c r="IG55" i="8"/>
  <c r="II55" i="8"/>
  <c r="ID56" i="8"/>
  <c r="IE56" i="8"/>
  <c r="IM56" i="8"/>
  <c r="IY56" i="8"/>
  <c r="IK57" i="8"/>
  <c r="ID61" i="8"/>
  <c r="IE61" i="8"/>
  <c r="IM61" i="8"/>
  <c r="IY61" i="8"/>
  <c r="IZ61" i="8"/>
  <c r="IE63" i="8"/>
  <c r="IK63" i="8"/>
  <c r="IM63" i="8"/>
  <c r="IY63" i="8"/>
  <c r="HY64" i="8"/>
  <c r="HZ64" i="8"/>
  <c r="IF64" i="8"/>
  <c r="IN64" i="8"/>
  <c r="IZ64" i="8"/>
  <c r="IK66" i="8"/>
  <c r="ID67" i="8"/>
  <c r="HY53" i="8"/>
  <c r="HZ53" i="8"/>
  <c r="IE54" i="8"/>
  <c r="IK54" i="8"/>
  <c r="IM54" i="8"/>
  <c r="IY54" i="8"/>
  <c r="HY57" i="8"/>
  <c r="HZ57" i="8"/>
  <c r="IF57" i="8"/>
  <c r="IN57" i="8"/>
  <c r="IZ57" i="8"/>
  <c r="HY58" i="8"/>
  <c r="HZ58" i="8"/>
  <c r="IF58" i="8"/>
  <c r="IN58" i="8"/>
  <c r="IZ58" i="8"/>
  <c r="HY60" i="8"/>
  <c r="HZ60" i="8"/>
  <c r="IF60" i="8"/>
  <c r="IG60" i="8"/>
  <c r="IN60" i="8"/>
  <c r="IZ60" i="8"/>
  <c r="IG61" i="8"/>
  <c r="II61" i="8"/>
  <c r="ID62" i="8"/>
  <c r="IE62" i="8"/>
  <c r="IM62" i="8"/>
  <c r="IG75" i="8"/>
  <c r="IG67" i="8"/>
  <c r="II67" i="8"/>
  <c r="HY68" i="8"/>
  <c r="IF68" i="8"/>
  <c r="IN68" i="8"/>
  <c r="IZ68" i="8"/>
  <c r="II69" i="8"/>
  <c r="HY70" i="8"/>
  <c r="IF70" i="8"/>
  <c r="IN70" i="8"/>
  <c r="IZ70" i="8"/>
  <c r="HY71" i="8"/>
  <c r="IF71" i="8"/>
  <c r="IN71" i="8"/>
  <c r="IZ71" i="8"/>
  <c r="HY72" i="8"/>
  <c r="IF72" i="8"/>
  <c r="IN72" i="8"/>
  <c r="IZ72" i="8"/>
  <c r="HY73" i="8"/>
  <c r="IF73" i="8"/>
  <c r="IN73" i="8"/>
  <c r="IZ73" i="8"/>
  <c r="HY74" i="8"/>
  <c r="IF74" i="8"/>
  <c r="IN74" i="8"/>
  <c r="IZ74" i="8"/>
  <c r="HY75" i="8"/>
  <c r="IF75" i="8"/>
  <c r="IN75" i="8"/>
  <c r="IZ75" i="8"/>
  <c r="HY76" i="8"/>
  <c r="IF76" i="8"/>
  <c r="IN76" i="8"/>
  <c r="IZ76" i="8"/>
  <c r="IE58" i="8"/>
  <c r="IK58" i="8"/>
  <c r="IM58" i="8"/>
  <c r="IY58" i="8"/>
  <c r="HY59" i="8"/>
  <c r="HZ59" i="8"/>
  <c r="IF59" i="8"/>
  <c r="IN59" i="8"/>
  <c r="IZ59" i="8"/>
  <c r="II60" i="8"/>
  <c r="HY61" i="8"/>
  <c r="HZ61" i="8"/>
  <c r="IF61" i="8"/>
  <c r="IN61" i="8"/>
  <c r="HY62" i="8"/>
  <c r="HZ62" i="8"/>
  <c r="ID65" i="8"/>
  <c r="IE65" i="8"/>
  <c r="IM65" i="8"/>
  <c r="IY65" i="8"/>
  <c r="HY66" i="8"/>
  <c r="IF66" i="8"/>
  <c r="IN66" i="8"/>
  <c r="IZ66" i="8"/>
  <c r="HY67" i="8"/>
  <c r="HZ67" i="8"/>
  <c r="ID68" i="8"/>
  <c r="IE68" i="8"/>
  <c r="IM68" i="8"/>
  <c r="IY68" i="8"/>
  <c r="HY69" i="8"/>
  <c r="HZ69" i="8"/>
  <c r="IF69" i="8"/>
  <c r="IG69" i="8"/>
  <c r="IN69" i="8"/>
  <c r="IZ69" i="8"/>
  <c r="ID70" i="8"/>
  <c r="IE70" i="8"/>
  <c r="IM70" i="8"/>
  <c r="IY70" i="8"/>
  <c r="ID71" i="8"/>
  <c r="IE71" i="8"/>
  <c r="IM71" i="8"/>
  <c r="IY71" i="8"/>
  <c r="ID72" i="8"/>
  <c r="IE72" i="8"/>
  <c r="IM72" i="8"/>
  <c r="IY72" i="8"/>
  <c r="ID73" i="8"/>
  <c r="IE73" i="8"/>
  <c r="IM73" i="8"/>
  <c r="IY73" i="8"/>
  <c r="ID74" i="8"/>
  <c r="IE74" i="8"/>
  <c r="IM74" i="8"/>
  <c r="IY74" i="8"/>
  <c r="ID75" i="8"/>
  <c r="IE75" i="8"/>
  <c r="IM75" i="8"/>
  <c r="IY75" i="8"/>
  <c r="ID76" i="8"/>
  <c r="IE76" i="8"/>
  <c r="IM76" i="8"/>
  <c r="IY76" i="8"/>
  <c r="HY16" i="8"/>
  <c r="IE16" i="8"/>
  <c r="IM16" i="8"/>
  <c r="IY16" i="8"/>
  <c r="IK16" i="8"/>
  <c r="IK32" i="8"/>
  <c r="IG32" i="8"/>
  <c r="II32" i="8"/>
  <c r="HZ31" i="8"/>
  <c r="IN31" i="8"/>
  <c r="HY32" i="8"/>
  <c r="IZ38" i="8"/>
  <c r="HY39" i="8"/>
  <c r="ID38" i="8"/>
  <c r="ID39" i="8"/>
  <c r="IE39" i="8"/>
  <c r="IM39" i="8"/>
  <c r="IY39" i="8"/>
  <c r="IK39" i="8"/>
  <c r="ID55" i="8"/>
  <c r="IE55" i="8"/>
  <c r="IM55" i="8"/>
  <c r="IY55" i="8"/>
  <c r="IK55" i="8"/>
  <c r="HZ55" i="8"/>
  <c r="IF62" i="8"/>
  <c r="IN62" i="8"/>
  <c r="IZ62" i="8"/>
  <c r="HY63" i="8"/>
  <c r="ID63" i="8"/>
  <c r="IK62" i="8"/>
</calcChain>
</file>

<file path=xl/sharedStrings.xml><?xml version="1.0" encoding="utf-8"?>
<sst xmlns="http://schemas.openxmlformats.org/spreadsheetml/2006/main" count="1596" uniqueCount="590">
  <si>
    <t>A</t>
  </si>
  <si>
    <t>Abbreviation</t>
  </si>
  <si>
    <t>Long term</t>
  </si>
  <si>
    <t>B</t>
  </si>
  <si>
    <t>1,2,3 etc</t>
  </si>
  <si>
    <t>Description - Other remarks</t>
  </si>
  <si>
    <t>Row with numbers to identify in R which colums are needed for which SEM-model</t>
  </si>
  <si>
    <t>Volgnr</t>
  </si>
  <si>
    <t>Volgnummer</t>
  </si>
  <si>
    <t>Column with sequence of nr to identify rows of data in the sheet (not correlated to other sequences of numbers in other files)</t>
  </si>
  <si>
    <t>Plotnr</t>
  </si>
  <si>
    <t>Plotnumber</t>
  </si>
  <si>
    <t>Field plot from which community- and plant trait data was collected in 2012 and/or 2013. (Data is plot-averaged over the 4 (or less if a plant was missing) plants monitored)</t>
  </si>
  <si>
    <t>T12</t>
  </si>
  <si>
    <t>Treatment 2012</t>
  </si>
  <si>
    <t>...</t>
  </si>
  <si>
    <t>C</t>
  </si>
  <si>
    <t>T13</t>
  </si>
  <si>
    <t>Treatment 2013</t>
  </si>
  <si>
    <t>1 = A = Aphids B.b. in 2013; 2 = C = Caterpillars P.x. in 2013; 3 = N = None = no early herbivores in 2013 on the plants</t>
  </si>
  <si>
    <t>1 = A = Aphids B.b. in 2012; 2 = C = Caterpillars P.x. in 2012; 3 = N = None = no early herbivores in 2012 on the plants</t>
  </si>
  <si>
    <t>H13</t>
  </si>
  <si>
    <t>C13</t>
  </si>
  <si>
    <t>H</t>
  </si>
  <si>
    <t>S</t>
  </si>
  <si>
    <t>Hs</t>
  </si>
  <si>
    <t>Cs</t>
  </si>
  <si>
    <t>As</t>
  </si>
  <si>
    <t>Ai</t>
  </si>
  <si>
    <t>Hi</t>
  </si>
  <si>
    <t>Ci</t>
  </si>
  <si>
    <t>Al</t>
  </si>
  <si>
    <t>Hl</t>
  </si>
  <si>
    <t>Cl</t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</si>
  <si>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ll species in community of 2013, PCA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</si>
  <si>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erbivore community 2013, PCA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</si>
  <si>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arnivore community 2013, PCA</t>
    </r>
  </si>
  <si>
    <t>PL</t>
  </si>
  <si>
    <t>PF</t>
  </si>
  <si>
    <t>Plant Leaves</t>
  </si>
  <si>
    <t>Plant Flowers</t>
  </si>
  <si>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eeds 2013</t>
    </r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</si>
  <si>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</si>
  <si>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</si>
  <si>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</t>
    </r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</si>
  <si>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</si>
  <si>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</si>
  <si>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</si>
  <si>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ll species,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</si>
  <si>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erbivores,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</si>
  <si>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arnivores,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</t>
    </r>
  </si>
  <si>
    <t>Row with numbers to identify in R which colums are needed for which SEM-model.</t>
  </si>
  <si>
    <t>Column with sequence of nr to identify rows of data in the sheet (not correlated to other sequences of numbers in other files). Not used for SEM, only own reference.</t>
  </si>
  <si>
    <t>Field plot from which community- and plant trait data was collected in 2012 and/or 2013. (Data is plot-averaged over the 4 (or less if a plant was missing) plants monitored).  Not used for SEM, only own reference.</t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</si>
  <si>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ll species in community of 2012, PCA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</si>
  <si>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erbivore community 2012, PCA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</si>
  <si>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arnivore community 2012, PCA</t>
    </r>
  </si>
  <si>
    <t>A12</t>
  </si>
  <si>
    <t>H12</t>
  </si>
  <si>
    <t>C12</t>
  </si>
  <si>
    <t>A13</t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</si>
  <si>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2012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</si>
  <si>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2012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</si>
  <si>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2012</t>
    </r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</si>
  <si>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2013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</si>
  <si>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2013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</si>
  <si>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pecies 2013</t>
    </r>
  </si>
  <si>
    <t>As12</t>
  </si>
  <si>
    <t>Hs12</t>
  </si>
  <si>
    <t>Cs12</t>
  </si>
  <si>
    <t>As13</t>
  </si>
  <si>
    <t>Hs13</t>
  </si>
  <si>
    <t>Cs13</t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</si>
  <si>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2012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</si>
  <si>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2012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</si>
  <si>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2012</t>
    </r>
  </si>
  <si>
    <r>
      <t>A</t>
    </r>
    <r>
      <rPr>
        <sz val="11"/>
        <color theme="1"/>
        <rFont val="Calibri"/>
        <family val="2"/>
        <scheme val="minor"/>
      </rPr>
      <t xml:space="preserve">ll species,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2013</t>
    </r>
  </si>
  <si>
    <r>
      <t>H</t>
    </r>
    <r>
      <rPr>
        <sz val="11"/>
        <color theme="1"/>
        <rFont val="Calibri"/>
        <family val="2"/>
        <scheme val="minor"/>
      </rPr>
      <t xml:space="preserve">erbivores,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2013</t>
    </r>
  </si>
  <si>
    <r>
      <t>C</t>
    </r>
    <r>
      <rPr>
        <sz val="11"/>
        <color theme="1"/>
        <rFont val="Calibri"/>
        <family val="2"/>
        <scheme val="minor"/>
      </rPr>
      <t xml:space="preserve">arnivores, number of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ndividual insects 2013</t>
    </r>
  </si>
  <si>
    <t>Ai12</t>
  </si>
  <si>
    <t>Hi12</t>
  </si>
  <si>
    <t>Ci12</t>
  </si>
  <si>
    <t>Hi13</t>
  </si>
  <si>
    <t>Ci13</t>
  </si>
  <si>
    <t>Ai13</t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</si>
  <si>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ll species,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2012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</si>
  <si>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erbivores,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2012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</si>
  <si>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arnivores,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2012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</si>
  <si>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ll species,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2013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</si>
  <si>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erbivores,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2013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</si>
  <si>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arnivores,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ife stages separate, PCA 2013</t>
    </r>
  </si>
  <si>
    <t>Al12</t>
  </si>
  <si>
    <t>Hl12</t>
  </si>
  <si>
    <t>Cl12</t>
  </si>
  <si>
    <t>Al13</t>
  </si>
  <si>
    <t>Hl13</t>
  </si>
  <si>
    <t>Cl13</t>
  </si>
  <si>
    <t>PL12</t>
  </si>
  <si>
    <t>PL13</t>
  </si>
  <si>
    <t>PF13</t>
  </si>
  <si>
    <t>PCA over (cumulative (herb+carn) community over Round 1+2); plot score on first axis of PCA.</t>
  </si>
  <si>
    <t>PCA over (cummulative herb community over Round 1+2); plot score on first axis of PCA.</t>
  </si>
  <si>
    <t>PCA over (cummulative carn community over Round 1+2); plot score on first axis of PCA.</t>
  </si>
  <si>
    <t>Total number of individual herbivores 2013: sum of # individual herbivores per species per plot field 2013, cumulative over all 12 time points.</t>
  </si>
  <si>
    <t>Total number of individual carnivores 2013: sum of # individual carnivores per species per plot field 2013, cumulative over all 12 time points.</t>
  </si>
  <si>
    <t>Total number of individuals 2013: sum of # individuals per species per plot field 2013, cumulative over all 12 time points.</t>
  </si>
  <si>
    <t>Community 2013 with each life stage (ls) separate, as monitored; PCA over (cummulative herbivore only community over Round 1+2); plot score on first axis of PCA.</t>
  </si>
  <si>
    <t>Community 2013 with each life stage (ls) separate, as monitored; PCA over (cumulative (herb+carn) community over Round 1+2); plot score on first axis of PCA.</t>
  </si>
  <si>
    <t>Community 2013 with each life stage (ls) separate, as monitored; PCA over (cummulative carnivore only (pred+paras) community over Round 1+2); plot score on first axis of PCA.</t>
  </si>
  <si>
    <t>Average number of leaves over the whole season, plot average</t>
  </si>
  <si>
    <t>Average number of flower heads over the whole season, plot average</t>
  </si>
  <si>
    <t>PCA over (cumulative (herb+carn) community over Round 1+2) 2013 (only non-blue plots); plot score on first axis of PCA.</t>
  </si>
  <si>
    <t>PCA over (cumulative (herb+carn) community over all 12 time points) 2012 (only non-blue plots); plot score on first axis of PCA.</t>
  </si>
  <si>
    <t>PCA over (cumulative (herb only) community over all 12 time points) 2012 (only non-blue plots); plot score on first axis of PCA.</t>
  </si>
  <si>
    <t>PCA over (cumulative (carn only) community over all 12 time points) 2012 (only non-blue plots); plot score on first axis of PCA.</t>
  </si>
  <si>
    <t>PCA over community 2012 with each life stage (ls) separate, as monitored; PCA: in Canoco: herb/pred/paras together</t>
  </si>
  <si>
    <t>PCA over community 2012 with each life stage (ls) separate, as monitored; PCA: in Canoco: herbs only</t>
  </si>
  <si>
    <t>PCA over community 2012 with each life stage (ls) separate, as monitored; PCA: in Canoco: pred+paras only</t>
  </si>
  <si>
    <t>PCA over community 2013 with each life stage (ls) separate, as monitored, but for the plots monitored in 2012 only (2013 treatment = none); PCA over (cummulative (herb+carn) community over Round 1+2); plot score on first axis of PCA.</t>
  </si>
  <si>
    <t>PCA over community 2013 with each life stage (ls) separate, as monitored, but for the plots monitored in 2012 only (2013 treatment = none); PCA over (cummulative (herbs only) community over Round 1+2); plot score on first axis of PCA.</t>
  </si>
  <si>
    <t>PCA over community 2013 with each life stage (ls) separate, as monitored, but for the plots monitored in 2012 only (2013 treatment = none); PCA over (cummulative (carns only) community over Round 1+2); plot score on first axis of PCA.</t>
  </si>
  <si>
    <t>Total number of individuals 2012: sum of # species per plot field 2012 (cummulative over all 12 time points), for plants monitored in 2012 only</t>
  </si>
  <si>
    <t>Total number of herbivore individuals 2012: sum of # herbivore species per plot field 2012 (cummulative over all 12 time points), for plants monitored in 2012 only</t>
  </si>
  <si>
    <t>Total number of carnivore individuals 2012: sum of # carnivorespecies per plot field 2012 (cummulative over all 12 time points), for plants monitored in 2012 only</t>
  </si>
  <si>
    <t>Total number of individuals 2013: sum of # individuals per species per plot field 2013 (cummulative over both rounds)</t>
  </si>
  <si>
    <t>Total number of herbivore individuals 2013: sum of # herbivore individuals per species per plot field 2013 (cummulative over both rounds)</t>
  </si>
  <si>
    <t>Total number of carnivore individuals 2013: sum of # carnivore individuals per species per plot field 2013 (cummulative over both rounds)</t>
  </si>
  <si>
    <t>Average number of leaves over the whole season 2012, plot average</t>
  </si>
  <si>
    <t>Average number of flower heads over the whole season 2013, plot average</t>
  </si>
  <si>
    <t>Average number of leaves over the whole season 2013, plot average</t>
  </si>
  <si>
    <t>Total number of species 2013: count of # species per plot field 2013, cumulative over all 12 time points. So: The total number of species that, during all time points, once or several times occurred on the plants in that plot (e.g. if on plant 1 and 4  in week 1 there were 3 Pr and 2 Mp, in week 2 there were 1 pr, 5 Mp and 1 Mb and in week 3 on plant 1 and 3 there were 0 Pr, 1 Mp and 3 Ag, the total nr of species here for that plot would count 4 (Pr, Mp, Mb and Ag).)</t>
  </si>
  <si>
    <t>Total number of herbivore species 2013: count of # herbivore species per plot field 2013, cumulative over all 12 time points. See example with As.</t>
  </si>
  <si>
    <t>Total number of carnivore species 2013: count of # carnivore species per plot field 2013, cumulative over all 12 time points. See example with As.</t>
  </si>
  <si>
    <t>Total number of herbivore species 2012: count of # herbivore species per plot field 2012 (cumulative over all 12 time points), for plants monitored in 2012 only. See example with As.</t>
  </si>
  <si>
    <t>Total number of carnivore species 2012: count of # carnivore species per plot field 2012 (cumulative over all 12 time points), for plants monitored in 2012 only. See example with As.</t>
  </si>
  <si>
    <t>Total number of species 2013: count of # species per plot field 2013 (cumulative over both rounds), for plants monitored in 2012 only. See example with As.</t>
  </si>
  <si>
    <t>Total number of herbivore species 2013: count of # herbivore species per plot field 2013 (cumulative over both rounds), for plants monitored in 2012 only. See example with As.</t>
  </si>
  <si>
    <t>Total number of carnivore species 2013: count of # carnivore species per plot field 2013 (cumulative over both rounds), for plants monitored in 2012 only. See example with As.</t>
  </si>
  <si>
    <t># seeds harvested, plot average, square-root transformed for normality/homogeneity</t>
  </si>
  <si>
    <t># seeds harvested, plot average, only treatments monitored in 2012 (non-blue plots); square-root transformed for normality/homogeneity</t>
  </si>
  <si>
    <t>SEM Analysis Explanations of Abbreviations</t>
  </si>
  <si>
    <t xml:space="preserve">Total number of species 2012: count of # species per plot field 2012 (cumulative over all 12 time points), for plants monitored in 2012 only. </t>
  </si>
  <si>
    <t>(STDEV(F3:F5))/(SQRT(COUNT(F3:F5)))</t>
  </si>
  <si>
    <t>mean</t>
  </si>
  <si>
    <t>St dev</t>
  </si>
  <si>
    <t>St Error</t>
  </si>
  <si>
    <t>All</t>
  </si>
  <si>
    <t>AA</t>
  </si>
  <si>
    <t>-</t>
  </si>
  <si>
    <t>NA</t>
  </si>
  <si>
    <t>CA</t>
  </si>
  <si>
    <t>b</t>
  </si>
  <si>
    <t>AC</t>
  </si>
  <si>
    <t>NC</t>
  </si>
  <si>
    <t>graph for CA, CC, CN</t>
  </si>
  <si>
    <t>CC</t>
  </si>
  <si>
    <t>a</t>
  </si>
  <si>
    <t>graph for AA, AC, AN</t>
  </si>
  <si>
    <t>AN</t>
  </si>
  <si>
    <t>graph for NA, NC, NN</t>
  </si>
  <si>
    <t>NN</t>
  </si>
  <si>
    <t>Graph for all</t>
  </si>
  <si>
    <t>CN</t>
  </si>
  <si>
    <t>ab</t>
  </si>
  <si>
    <t>Treatments CA, CC, CN</t>
  </si>
  <si>
    <t>Estimated number of seeds</t>
  </si>
  <si>
    <t>Treatments AA, AC, AN</t>
  </si>
  <si>
    <t>Treatments NA, NC, NN</t>
  </si>
  <si>
    <t>C - A</t>
  </si>
  <si>
    <t>A - A</t>
  </si>
  <si>
    <t>none - C</t>
  </si>
  <si>
    <t>C - none</t>
  </si>
  <si>
    <t>A - C</t>
  </si>
  <si>
    <t>none - A</t>
  </si>
  <si>
    <t>A - none</t>
  </si>
  <si>
    <t>none - none</t>
  </si>
  <si>
    <t>p</t>
  </si>
  <si>
    <t>#tests done</t>
  </si>
  <si>
    <t>bonferonni</t>
  </si>
  <si>
    <t>Dunn-Sidák</t>
  </si>
  <si>
    <t>C - C</t>
  </si>
  <si>
    <t>Seed number underlying Figure 2</t>
  </si>
  <si>
    <t>TAB</t>
  </si>
  <si>
    <t>Explanation of content</t>
  </si>
  <si>
    <t>Explanation of terms in SEM</t>
  </si>
  <si>
    <t>DATA for SEM of Figure 1</t>
  </si>
  <si>
    <t>DATA for SEM of Figure 4</t>
  </si>
  <si>
    <t>DATA for seed set in Figure 2</t>
  </si>
  <si>
    <t>Insect community data 2012</t>
  </si>
  <si>
    <t>Insect community data 2013</t>
  </si>
  <si>
    <t>Insect abundance data collected during the field season of 2012 used for analyses that lead to figures 3 and supplementary figures</t>
  </si>
  <si>
    <t>Insect abundance data collected during the field season of 2013 used for analyses that lead to figures 3 and supplementary figures</t>
  </si>
  <si>
    <t>Seed number of individual plants sampled in 2013</t>
  </si>
  <si>
    <t>Input data for the SEM analysis of Figure 4 linking insect communities to plant traits and seed production</t>
  </si>
  <si>
    <t>Input data for the SEM analysis of Figure 1 linking early season herbivory treatments to insect communities of 2012 to 2013 and seed set</t>
  </si>
  <si>
    <t>Species abbreviations</t>
  </si>
  <si>
    <t>List of abbreviations used for each insect species found in 2012 and 2013</t>
  </si>
  <si>
    <t>Explains the abbreviations of data used for SEM analyses</t>
  </si>
  <si>
    <t xml:space="preserve">Cummulative community field 2013 </t>
  </si>
  <si>
    <t>Right side --&gt; Table with flowers+leafs together</t>
  </si>
  <si>
    <t>Right, right side -----&gt; Table with flowers+leafs together AND live stages per spp togheter</t>
  </si>
  <si>
    <t xml:space="preserve"> </t>
  </si>
  <si>
    <t>flower - leaf separate</t>
  </si>
  <si>
    <t>Life stages separate, leaf+flower together</t>
  </si>
  <si>
    <t>Leaf + flower together; life stages together</t>
  </si>
  <si>
    <t>Environmental data --&gt;</t>
  </si>
  <si>
    <t>Species data --&gt;</t>
  </si>
  <si>
    <t>Leaf + flower together</t>
  </si>
  <si>
    <t>herb</t>
  </si>
  <si>
    <t>pred</t>
  </si>
  <si>
    <t>other</t>
  </si>
  <si>
    <t>paras</t>
  </si>
  <si>
    <t>plot</t>
  </si>
  <si>
    <t>induction 2013 only</t>
  </si>
  <si>
    <t>Plant Pop</t>
  </si>
  <si>
    <t>Average of height max</t>
  </si>
  <si>
    <t>Average of #leaves</t>
  </si>
  <si>
    <t>Average of #flower heads</t>
  </si>
  <si>
    <t>Average of Damage</t>
  </si>
  <si>
    <t>Sum of Ph u - ad - f</t>
  </si>
  <si>
    <t>Sum of Ph u - ad - l</t>
  </si>
  <si>
    <t>Sum of Ph a - ad - f</t>
  </si>
  <si>
    <t>Sum of Ph a - ad - l</t>
  </si>
  <si>
    <t>Sum of Coc - egg - f</t>
  </si>
  <si>
    <t>Sum of Coc - larva - f</t>
  </si>
  <si>
    <t>Sum of Coc - pupa - f</t>
  </si>
  <si>
    <t>Sum of Coc - ad - f</t>
  </si>
  <si>
    <t>Sum of Coc - egg - l</t>
  </si>
  <si>
    <t>Sum of Coc - larva - l</t>
  </si>
  <si>
    <t>Sum of Coc - pupa - l</t>
  </si>
  <si>
    <t>Sum of Coc - ad - l</t>
  </si>
  <si>
    <t>Sum of M - larva - f</t>
  </si>
  <si>
    <t>Sum of M - ad - f</t>
  </si>
  <si>
    <t>Sum of M - larva - l</t>
  </si>
  <si>
    <t>Sum of M - ad - l</t>
  </si>
  <si>
    <t>Sum of C a - ad - f</t>
  </si>
  <si>
    <t>Sum of C a - ad - l</t>
  </si>
  <si>
    <t>Sum of Soldaat - a - f</t>
  </si>
  <si>
    <t>Sum of Soldaat - a - l</t>
  </si>
  <si>
    <t>Sum of Junikever - ad - f</t>
  </si>
  <si>
    <t>Sum of Junikever - ad - l</t>
  </si>
  <si>
    <t>Sum of Beetle other - egg - f</t>
  </si>
  <si>
    <t>Sum of Beetle other - larva - f</t>
  </si>
  <si>
    <t>Sum of Beetle other - pupa - f</t>
  </si>
  <si>
    <t>Sum of Beetle other - ad - f</t>
  </si>
  <si>
    <t>Sum of Beetle other - egg - l</t>
  </si>
  <si>
    <t>Sum of Beetle other - larva - l</t>
  </si>
  <si>
    <t>Sum of Beetle other - pupa - l</t>
  </si>
  <si>
    <t>Sum of Beetle other - ad - l</t>
  </si>
  <si>
    <t>Sum of P r - egg - f</t>
  </si>
  <si>
    <t>Sum of P r - larva - f</t>
  </si>
  <si>
    <t>Sum of P r - pupa - f</t>
  </si>
  <si>
    <t>Sum of P r - egg - l</t>
  </si>
  <si>
    <t>Sum of P r - larva - l</t>
  </si>
  <si>
    <t>Sum of P r - pupa - l</t>
  </si>
  <si>
    <t>Sum of P b - egg - f</t>
  </si>
  <si>
    <t>Sum of P b - larva - f</t>
  </si>
  <si>
    <t>Sum of P b - pupa - f</t>
  </si>
  <si>
    <t>Sum of P b - egg - l</t>
  </si>
  <si>
    <t>Sum of P b - larva - l</t>
  </si>
  <si>
    <t>Sum of P b - pupa - l</t>
  </si>
  <si>
    <t>Sum of Pl x - egg - f</t>
  </si>
  <si>
    <t>Sum of Pl x - larva - f</t>
  </si>
  <si>
    <t>Sum of Pl x - pupa - f</t>
  </si>
  <si>
    <t>Sum of Pl x - parast - f</t>
  </si>
  <si>
    <t>Sum of Pl x - egg - l</t>
  </si>
  <si>
    <t>Sum of Pl x - larva - l</t>
  </si>
  <si>
    <t>Sum of Pl x - pupa - l</t>
  </si>
  <si>
    <t>Sum of Pl x - parast - l</t>
  </si>
  <si>
    <t>Sum of M b - egg - f</t>
  </si>
  <si>
    <t>Sum of M b - egg paras - f</t>
  </si>
  <si>
    <t>Sum of M b - larva - f</t>
  </si>
  <si>
    <t>Sum of M b - egg - l</t>
  </si>
  <si>
    <t>Sum of M b - egg paras - l</t>
  </si>
  <si>
    <t>Sum of M b - larva - l</t>
  </si>
  <si>
    <t>Sum of L s - egg - f</t>
  </si>
  <si>
    <t>Sum of L s - larva - f</t>
  </si>
  <si>
    <t>Sum of L s - egg - l</t>
  </si>
  <si>
    <t>Sum of L s - larva - l</t>
  </si>
  <si>
    <t>Sum of A g - larva - f</t>
  </si>
  <si>
    <t>Sum of A g - larva - l</t>
  </si>
  <si>
    <t>Sum of Ev f - egg - f</t>
  </si>
  <si>
    <t>Sum of Ev f - larva - f</t>
  </si>
  <si>
    <t>Sum of Ev f - pupa - f</t>
  </si>
  <si>
    <t>Sum of Ev f - egg - l</t>
  </si>
  <si>
    <t>Sum of Ev f - larva - l</t>
  </si>
  <si>
    <t>Sum of Ev f - pupa - l</t>
  </si>
  <si>
    <t>Sum of Lepid other - egg - f</t>
  </si>
  <si>
    <t>Sum of Lepid other - larva - f</t>
  </si>
  <si>
    <t>Sum of Lepid other - pupa - f</t>
  </si>
  <si>
    <t>Sum of Lepid other - egg - l</t>
  </si>
  <si>
    <t>Sum of Lepid other - larva - l</t>
  </si>
  <si>
    <t>Sum of Lepid other - pupa - l</t>
  </si>
  <si>
    <t>Sum of Bb - f</t>
  </si>
  <si>
    <t>Sum of Bb - mummy -f</t>
  </si>
  <si>
    <t>Sum of Bb - l</t>
  </si>
  <si>
    <t>Sum of Bb - mummy -l</t>
  </si>
  <si>
    <t>Sum of M p - f</t>
  </si>
  <si>
    <t>Sum of M p - l</t>
  </si>
  <si>
    <t>Sum of M p - mummy</t>
  </si>
  <si>
    <t>Sum of Aphid other - f</t>
  </si>
  <si>
    <t>Sum of Aphid other - mummy - f</t>
  </si>
  <si>
    <t>Sum of Aphid other - l</t>
  </si>
  <si>
    <t>Sum of Aphid other - mummy - l</t>
  </si>
  <si>
    <t>Sum of Thrips - f</t>
  </si>
  <si>
    <t>Sum of Thrips - l</t>
  </si>
  <si>
    <t>Sum of Spider - f</t>
  </si>
  <si>
    <t>Sum of Spider - l</t>
  </si>
  <si>
    <t>Sum of Lygus - f</t>
  </si>
  <si>
    <t>Sum of Lygus - l</t>
  </si>
  <si>
    <t>Sum of  Aleurodes - f</t>
  </si>
  <si>
    <t>Sum of  Aleurodes - l</t>
  </si>
  <si>
    <t>Sum of Hoverfly - egg - f</t>
  </si>
  <si>
    <t>Sum of Hoverfly - larva - f</t>
  </si>
  <si>
    <t>Sum of Hoverfly - pupa - f</t>
  </si>
  <si>
    <t>Sum of Hoverfly - egg - l</t>
  </si>
  <si>
    <t>Sum of Hoverfly - larva - l</t>
  </si>
  <si>
    <t>Sum of Hoverfly - pupa - l</t>
  </si>
  <si>
    <t>Sum of Lacewing - egg - f</t>
  </si>
  <si>
    <t>Sum of Lacewing - larva - f</t>
  </si>
  <si>
    <t>Sum of Lacewing - pupa - f</t>
  </si>
  <si>
    <t>Sum of Lacewing - egg - l</t>
  </si>
  <si>
    <t>Sum of Lacewing - larva - l</t>
  </si>
  <si>
    <t>Sum of Lacewing - pupa - l</t>
  </si>
  <si>
    <t>Sum of Gall midge - f</t>
  </si>
  <si>
    <t>Sum of Gall midge - l</t>
  </si>
  <si>
    <t>Sum of O i - f</t>
  </si>
  <si>
    <t>Sum of O i - l</t>
  </si>
  <si>
    <t>Sum of Symphyta - f</t>
  </si>
  <si>
    <t>Sum of Symphyta - l</t>
  </si>
  <si>
    <t>Sum of Schildpadkever - f</t>
  </si>
  <si>
    <t>Sum of Schildpadkever - l</t>
  </si>
  <si>
    <t>Sum of Bug other - f</t>
  </si>
  <si>
    <t>Sum of Bug other - l</t>
  </si>
  <si>
    <t>Sum of Snale, slug - f</t>
  </si>
  <si>
    <t>Sum of Snale, slug - l</t>
  </si>
  <si>
    <t>Sum of E o - f</t>
  </si>
  <si>
    <t>Sum of E o - l</t>
  </si>
  <si>
    <t>Sum of schuimcicade - l</t>
  </si>
  <si>
    <t>Sum of C rub - f</t>
  </si>
  <si>
    <t>Sum of C rub - l</t>
  </si>
  <si>
    <t>Sum of C glom - f</t>
  </si>
  <si>
    <t>Sum of C glom - l</t>
  </si>
  <si>
    <t>Sum of M m - f</t>
  </si>
  <si>
    <t>Sum of M m - l</t>
  </si>
  <si>
    <t>Sum of Praon - f</t>
  </si>
  <si>
    <t>Sum of Praon - l</t>
  </si>
  <si>
    <t>Sum of Black mummy - f</t>
  </si>
  <si>
    <t>Sum of Black mummy - l</t>
  </si>
  <si>
    <t>Sum of Mummy other - f</t>
  </si>
  <si>
    <t>Sum of Mummy other - l</t>
  </si>
  <si>
    <t>Sum of Leaf miner - l</t>
  </si>
  <si>
    <t xml:space="preserve">Sum of Ph u - ad </t>
  </si>
  <si>
    <t>Sum of Ph a - ad</t>
  </si>
  <si>
    <t>Sum of Coc - egg</t>
  </si>
  <si>
    <t>Sum of Coc - larva</t>
  </si>
  <si>
    <t>Sum of Coc - pupa</t>
  </si>
  <si>
    <t>Sum of Coc - ad</t>
  </si>
  <si>
    <t>Sum of M - larva</t>
  </si>
  <si>
    <t>Sum of M - ad</t>
  </si>
  <si>
    <t>Sum of C a - ad</t>
  </si>
  <si>
    <t>Sum of Soldaat - a</t>
  </si>
  <si>
    <t>Sum of Junikever - ad</t>
  </si>
  <si>
    <t>Sum of Beetle other - egg</t>
  </si>
  <si>
    <t>Sum of Beetle other - larva</t>
  </si>
  <si>
    <t>Sum of Beetle other - pupa</t>
  </si>
  <si>
    <t>Sum of Beetle other - ad</t>
  </si>
  <si>
    <t xml:space="preserve">Sum of P r - egg </t>
  </si>
  <si>
    <t>Sum of P r - larva</t>
  </si>
  <si>
    <t>Sum of P r - pupa</t>
  </si>
  <si>
    <t>Sum of P b - egg</t>
  </si>
  <si>
    <t>Sum of P b - larva</t>
  </si>
  <si>
    <t>Sum of P b - pupa</t>
  </si>
  <si>
    <t>Sum of Pl x - egg</t>
  </si>
  <si>
    <t>Sum of Pl x - larva</t>
  </si>
  <si>
    <t>Sum of Pl x - pupa</t>
  </si>
  <si>
    <t>Sum of Pl x - parast</t>
  </si>
  <si>
    <t>Sum of M b - egg</t>
  </si>
  <si>
    <t>Sum of M b - egg paras</t>
  </si>
  <si>
    <t>Sum of M b - larva</t>
  </si>
  <si>
    <t>Sum of L s - egg</t>
  </si>
  <si>
    <t>Sum of L s - larva</t>
  </si>
  <si>
    <t>Sum of A g - larva</t>
  </si>
  <si>
    <t>Sum of Ev f - egg</t>
  </si>
  <si>
    <t>Sum of Ev f - larva</t>
  </si>
  <si>
    <t>Sum of Ev f - pupa</t>
  </si>
  <si>
    <t>Sum of Lepid other - egg</t>
  </si>
  <si>
    <t>Sum of Lepid other - larva</t>
  </si>
  <si>
    <t>Sum of Lepid other - pupa</t>
  </si>
  <si>
    <t>Sum of Bb</t>
  </si>
  <si>
    <t>Sum of Bb - mummy</t>
  </si>
  <si>
    <t>Sum of M p</t>
  </si>
  <si>
    <t>Sum of Aphid other</t>
  </si>
  <si>
    <t>Sum of Aphid other - mummy</t>
  </si>
  <si>
    <t>Sum of Thrips</t>
  </si>
  <si>
    <t>Sum of Spider</t>
  </si>
  <si>
    <t>Sum of Lygus</t>
  </si>
  <si>
    <t>Sum of  Aleurodes</t>
  </si>
  <si>
    <t>Sum of Hoverfly - egg</t>
  </si>
  <si>
    <t>Sum of Hoverfly - larva</t>
  </si>
  <si>
    <t>Sum of Hoverfly - pupa</t>
  </si>
  <si>
    <t>Sum of Lacewing - egg</t>
  </si>
  <si>
    <t>Sum of Lacewing - larva</t>
  </si>
  <si>
    <t>Sum of Lacewing - pupa</t>
  </si>
  <si>
    <t>Sum of Gall midge</t>
  </si>
  <si>
    <t>Sum of O i</t>
  </si>
  <si>
    <t>Sum of Symphyta</t>
  </si>
  <si>
    <t>Sum of Schildpadkever</t>
  </si>
  <si>
    <t>Sum of Bug other</t>
  </si>
  <si>
    <t>Sum of Snale, slug</t>
  </si>
  <si>
    <t>Sum of E o</t>
  </si>
  <si>
    <t>Sum of schuimcicade</t>
  </si>
  <si>
    <t>Sum of C rub</t>
  </si>
  <si>
    <t>Sum of C glom</t>
  </si>
  <si>
    <t>Sum of M m</t>
  </si>
  <si>
    <t>Sum of Praon</t>
  </si>
  <si>
    <t xml:space="preserve">Sum of Black mummy </t>
  </si>
  <si>
    <t>Sum of Mummy other</t>
  </si>
  <si>
    <t xml:space="preserve">Sum of Leaf miner </t>
  </si>
  <si>
    <t xml:space="preserve">Sum of Ph u </t>
  </si>
  <si>
    <t>Sum of Ph a</t>
  </si>
  <si>
    <t>Sum of Coc</t>
  </si>
  <si>
    <t>Sum of M</t>
  </si>
  <si>
    <t>Sum of C a</t>
  </si>
  <si>
    <t>Sum of Soldaat</t>
  </si>
  <si>
    <t>Sum of Junikever</t>
  </si>
  <si>
    <t>Sum of Beetle other</t>
  </si>
  <si>
    <t>Sum of P r</t>
  </si>
  <si>
    <t>Sum of P b</t>
  </si>
  <si>
    <t>Sum of Pl x</t>
  </si>
  <si>
    <t>Sum of Pl x - parasite</t>
  </si>
  <si>
    <t>Sum of M b</t>
  </si>
  <si>
    <t>Sum of M b - egg parasite</t>
  </si>
  <si>
    <t>Sum of L s</t>
  </si>
  <si>
    <t>Sum of A g</t>
  </si>
  <si>
    <t>Sum of Ev f</t>
  </si>
  <si>
    <t>Sum of Lepid other</t>
  </si>
  <si>
    <t>Sum of Hoverfly</t>
  </si>
  <si>
    <t>Sum of Lacewing</t>
  </si>
  <si>
    <t>KIM</t>
  </si>
  <si>
    <t>none</t>
  </si>
  <si>
    <t>Insects</t>
  </si>
  <si>
    <t>Abbrevation</t>
  </si>
  <si>
    <t>Scientific name</t>
  </si>
  <si>
    <t>PH u</t>
  </si>
  <si>
    <t>Phyllotreta undulata</t>
  </si>
  <si>
    <t>Ph a</t>
  </si>
  <si>
    <t>Phyllotreta atra</t>
  </si>
  <si>
    <t>Coc</t>
  </si>
  <si>
    <t>Coccinellidae</t>
  </si>
  <si>
    <t>C a</t>
  </si>
  <si>
    <t>Ceutorhynchus assimilis</t>
  </si>
  <si>
    <t>M</t>
  </si>
  <si>
    <t>Meligethes (aeneus)</t>
  </si>
  <si>
    <t>P r</t>
  </si>
  <si>
    <t>Pieris rapae</t>
  </si>
  <si>
    <t>P b</t>
  </si>
  <si>
    <t>Pieris brassicae</t>
  </si>
  <si>
    <t>Pl x</t>
  </si>
  <si>
    <t>Plutella xylostella</t>
  </si>
  <si>
    <t>M b</t>
  </si>
  <si>
    <t>Mamestra brassicae</t>
  </si>
  <si>
    <t>L s</t>
  </si>
  <si>
    <t>Lacanobia suasa</t>
  </si>
  <si>
    <t>A g</t>
  </si>
  <si>
    <t>Autographa gamma</t>
  </si>
  <si>
    <t>Ev f</t>
  </si>
  <si>
    <t>Evergestis forficalis</t>
  </si>
  <si>
    <t>Ev ex</t>
  </si>
  <si>
    <t>Evergestis extimalis</t>
  </si>
  <si>
    <t>B b</t>
  </si>
  <si>
    <t>Brevicoryne brassicae</t>
  </si>
  <si>
    <t>M p</t>
  </si>
  <si>
    <t>Myzus persicae</t>
  </si>
  <si>
    <t>A f</t>
  </si>
  <si>
    <t>Aphis fabae</t>
  </si>
  <si>
    <t>Trips</t>
  </si>
  <si>
    <t>Thrips tabaci</t>
  </si>
  <si>
    <t>Spider</t>
  </si>
  <si>
    <t>C. bug</t>
  </si>
  <si>
    <t>Bem.</t>
  </si>
  <si>
    <t>Bemisia (but is probably an Aleurodes species; see scoresheet week 28, page 7)</t>
  </si>
  <si>
    <t>O. i.</t>
  </si>
  <si>
    <t>Orius insidiosus</t>
  </si>
  <si>
    <t>BB mummy</t>
  </si>
  <si>
    <t>Parasitized Brevicoryne brassicae; probably by Diaeretiella</t>
  </si>
  <si>
    <t>M P mummy</t>
  </si>
  <si>
    <t>Parasitized  Myzus persicae</t>
  </si>
  <si>
    <t>Diadegma</t>
  </si>
  <si>
    <t>Parasitized Plutella xylostella cocoon (white  in stead of green inside cocoon)</t>
  </si>
  <si>
    <t>M b parasitized egg</t>
  </si>
  <si>
    <t>Parasitized Mamestra brassicae egg (black in stead of white egg)</t>
  </si>
  <si>
    <t>Hoverfly</t>
  </si>
  <si>
    <t>Lacewing</t>
  </si>
  <si>
    <t>Cocon C. rub</t>
  </si>
  <si>
    <t>Cotesia rubecula (cocoon of)</t>
  </si>
  <si>
    <t>Cocon M m</t>
  </si>
  <si>
    <t>Microplitis mediator</t>
  </si>
  <si>
    <t>Lygus species</t>
  </si>
  <si>
    <t>Cummulative community field 2012</t>
  </si>
  <si>
    <t>Life stages together</t>
  </si>
  <si>
    <t>Life stages separate</t>
  </si>
  <si>
    <t>Induction</t>
  </si>
  <si>
    <t>Plant pop</t>
  </si>
  <si>
    <t>Average of Height - max - Average</t>
  </si>
  <si>
    <t>Average of Leaves - # - Average</t>
  </si>
  <si>
    <t>Average of Damage - Average</t>
  </si>
  <si>
    <t>Sum of Ph u - adult -  Average</t>
  </si>
  <si>
    <t>Sum of Ph a - adult - Average</t>
  </si>
  <si>
    <t>Sum of Coc - egg  - Average</t>
  </si>
  <si>
    <t>Sum of Coc - larvae - Average</t>
  </si>
  <si>
    <t>Sum of Coc -pupa - Average</t>
  </si>
  <si>
    <t>Sum of Coc - adult - Average</t>
  </si>
  <si>
    <t>Sum of M - adult - average</t>
  </si>
  <si>
    <t>Sum of P r - egg - Average</t>
  </si>
  <si>
    <t>Sum of P r - larvae- Average</t>
  </si>
  <si>
    <t>Sum of P r - Pupa - Average</t>
  </si>
  <si>
    <t>Sum of P b - egg - Average</t>
  </si>
  <si>
    <t>Sum of P b - larvae - Average</t>
  </si>
  <si>
    <t>Sum of P b - Pupa - Average</t>
  </si>
  <si>
    <t>Sum of Pl x - egg - Average</t>
  </si>
  <si>
    <t>Sum of Pl x - larvae - Average</t>
  </si>
  <si>
    <t>Sum of Pl x - pupa - Average</t>
  </si>
  <si>
    <t>Sum of M b - egg - Average</t>
  </si>
  <si>
    <t>Sum of M b - larvae - Average</t>
  </si>
  <si>
    <t>Sum of M b - pupa - Average</t>
  </si>
  <si>
    <t>Sum of L s - egg - Average</t>
  </si>
  <si>
    <t>Sum of L s - larvae - Average</t>
  </si>
  <si>
    <t>Sum of A g - larvae - Average</t>
  </si>
  <si>
    <t>Sum of A g - pupa - Average</t>
  </si>
  <si>
    <t>Sum of Ev f - egg - Average</t>
  </si>
  <si>
    <t>Sum of Ev f - larvae - Average</t>
  </si>
  <si>
    <t>Sum of Ev f - pupa - Average</t>
  </si>
  <si>
    <t>Sum of B b - average</t>
  </si>
  <si>
    <t>Sum of M p - Average</t>
  </si>
  <si>
    <t>Sum of Other aphid - Average</t>
  </si>
  <si>
    <t>Sum of Thrips - Average</t>
  </si>
  <si>
    <t>Sum of Spider - Average</t>
  </si>
  <si>
    <t>Sum of Lygus  C. bug - Average</t>
  </si>
  <si>
    <t>Sum of Aleurodes wittevlg - Average</t>
  </si>
  <si>
    <t>Sum of O. i piratebug - Average</t>
  </si>
  <si>
    <t>Sum of B b mummy - Average</t>
  </si>
  <si>
    <t>Sum of M p mummy - Average</t>
  </si>
  <si>
    <t>Sum of Diadegma (parasitized Pl x cocoon) - Average</t>
  </si>
  <si>
    <t>Sum of M b parasitized egg - Average</t>
  </si>
  <si>
    <t>Sum of Hoverfly - egg - Average</t>
  </si>
  <si>
    <t>Sum of Hoverfly - larvae - Average</t>
  </si>
  <si>
    <t>Sum of Hoverfly - pupa - Average</t>
  </si>
  <si>
    <t>Sum of Lacewing - egg - Average</t>
  </si>
  <si>
    <t>Sum of Lacewing - larvae - Average</t>
  </si>
  <si>
    <t>Sum of Lacewing - pupa - Average</t>
  </si>
  <si>
    <t>Sum of C. rubecula cocoon - Average</t>
  </si>
  <si>
    <t>Sum of M. m. cocoon - Average</t>
  </si>
  <si>
    <t>Sum of Praon - ''mummy on hill' - Average</t>
  </si>
  <si>
    <t>Sum of Black mummy - Average</t>
  </si>
  <si>
    <t>Sum of C glomerata - Average</t>
  </si>
  <si>
    <t>Sum of Symphyta larve - Average</t>
  </si>
  <si>
    <t>Sum of Schildpadtor larve - Average</t>
  </si>
  <si>
    <t>Sum of Gall midge - Average</t>
  </si>
  <si>
    <t>Sum of Bug, other - Average</t>
  </si>
  <si>
    <t>Sum of Snale, slug - Average</t>
  </si>
  <si>
    <t>Sum of Snuitkever - Average</t>
  </si>
  <si>
    <t>Sum of E O Cabbage bug - Average</t>
  </si>
  <si>
    <t>Sum of Ph u</t>
  </si>
  <si>
    <t>Sum of B b</t>
  </si>
  <si>
    <t>Sum of Other aphid</t>
  </si>
  <si>
    <t>Sum of Lygus  C. bug</t>
  </si>
  <si>
    <t>Sum of Aleurodes wittevlg</t>
  </si>
  <si>
    <t>Sum of O. i piratebug</t>
  </si>
  <si>
    <t>Sum of B b mummy</t>
  </si>
  <si>
    <t>Sum of M p mummy</t>
  </si>
  <si>
    <t>Sum of Diadegma (parasitized Pl x cocoon)</t>
  </si>
  <si>
    <t xml:space="preserve">Sum of M b parasitized egg </t>
  </si>
  <si>
    <t>Sum of C. rubecula cocoon</t>
  </si>
  <si>
    <t>Sum of M. m. cocoon</t>
  </si>
  <si>
    <t>Sum of Praon - ''mummy on hill'</t>
  </si>
  <si>
    <t>Sum of Black mummy</t>
  </si>
  <si>
    <t>Sum of C glomerata</t>
  </si>
  <si>
    <t>Sum of Symphyta larvae</t>
  </si>
  <si>
    <t>Sum of Schildpadtor larve</t>
  </si>
  <si>
    <t>Sum of Bug, other</t>
  </si>
  <si>
    <t>Sum of Snuitkever</t>
  </si>
  <si>
    <t>Sum of E O Cabbage bug</t>
  </si>
  <si>
    <t>None</t>
  </si>
  <si>
    <t xml:space="preserve">Right side -----&gt; Table with live stages per spp togheter </t>
  </si>
  <si>
    <t>It is appreciated when the authors are notified when you use any of the data: erik.poelman@wur.nl</t>
  </si>
  <si>
    <t>Data of the manuscript:  Stam, J.M., Kos, M., Dicke, M., Poelman, E.H. (2019) Cross-seasonal legacy effects of arthropod community on plant fitness in perennial plants. Journal of Ecology</t>
  </si>
  <si>
    <t>In our manuscript we present that the arthropod community in the first vegetative growth season of a perennial plant has a legacy on community composition in the next years reproductive season and affects plant fitness.</t>
  </si>
  <si>
    <t xml:space="preserve">posthoc  </t>
  </si>
  <si>
    <t>Plants died over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</si>
</sst>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ont="1" applyFill="1"/>
    <xf numFmtId="0" fontId="1" fillId="0" borderId="0" xfId="0" applyFont="1"/>
    <xf numFmtId="0" fontId="0" fillId="0" borderId="1" xfId="0" applyBorder="1"/>
    <xf numFmtId="0" fontId="3" fillId="0" borderId="2" xfId="0" applyFont="1" applyFill="1" applyBorder="1"/>
    <xf numFmtId="0" fontId="0" fillId="0" borderId="3" xfId="0" applyBorder="1"/>
    <xf numFmtId="0" fontId="1" fillId="0" borderId="3" xfId="0" applyFont="1" applyBorder="1"/>
    <xf numFmtId="0" fontId="0" fillId="0" borderId="0" xfId="0" applyBorder="1"/>
    <xf numFmtId="0" fontId="0" fillId="0" borderId="4" xfId="0" applyBorder="1"/>
    <xf numFmtId="164" fontId="0" fillId="0" borderId="4" xfId="0" applyNumberFormat="1" applyBorder="1"/>
    <xf numFmtId="0" fontId="0" fillId="0" borderId="0" xfId="0" applyFill="1" applyBorder="1"/>
    <xf numFmtId="0" fontId="0" fillId="0" borderId="0" xfId="0" applyFill="1"/>
    <xf numFmtId="164" fontId="0" fillId="0" borderId="0" xfId="0" applyNumberFormat="1" applyFill="1" applyBorder="1"/>
    <xf numFmtId="164" fontId="0" fillId="0" borderId="0" xfId="0" applyNumberFormat="1" applyFill="1"/>
    <xf numFmtId="2" fontId="0" fillId="0" borderId="0" xfId="0" applyNumberFormat="1"/>
    <xf numFmtId="164" fontId="0" fillId="0" borderId="0" xfId="0" applyNumberFormat="1" applyBorder="1"/>
    <xf numFmtId="164" fontId="0" fillId="0" borderId="5" xfId="0" applyNumberFormat="1" applyBorder="1"/>
    <xf numFmtId="164" fontId="0" fillId="0" borderId="5" xfId="0" applyNumberFormat="1" applyFill="1" applyBorder="1"/>
    <xf numFmtId="2" fontId="0" fillId="0" borderId="0" xfId="0" applyNumberFormat="1" applyBorder="1"/>
    <xf numFmtId="0" fontId="0" fillId="0" borderId="5" xfId="0" applyBorder="1"/>
    <xf numFmtId="164" fontId="5" fillId="0" borderId="5" xfId="0" applyNumberFormat="1" applyFont="1" applyFill="1" applyBorder="1" applyAlignment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0" fillId="0" borderId="0" xfId="0" applyFont="1" applyBorder="1"/>
    <xf numFmtId="0" fontId="4" fillId="0" borderId="0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5" xfId="0" applyFill="1" applyBorder="1"/>
    <xf numFmtId="2" fontId="0" fillId="0" borderId="4" xfId="0" applyNumberFormat="1" applyBorder="1"/>
    <xf numFmtId="2" fontId="0" fillId="0" borderId="5" xfId="0" applyNumberFormat="1" applyBorder="1"/>
    <xf numFmtId="0" fontId="1" fillId="0" borderId="8" xfId="0" applyFont="1" applyBorder="1"/>
    <xf numFmtId="0" fontId="0" fillId="0" borderId="0" xfId="0" applyNumberFormat="1"/>
    <xf numFmtId="0" fontId="6" fillId="0" borderId="0" xfId="0" applyFont="1"/>
    <xf numFmtId="0" fontId="0" fillId="0" borderId="2" xfId="0" applyFont="1" applyFill="1" applyBorder="1"/>
    <xf numFmtId="0" fontId="6" fillId="0" borderId="0" xfId="0" applyFont="1" applyFill="1"/>
    <xf numFmtId="0" fontId="4" fillId="0" borderId="0" xfId="0" applyFont="1"/>
    <xf numFmtId="0" fontId="5" fillId="0" borderId="0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0" fillId="0" borderId="12" xfId="0" applyBorder="1"/>
    <xf numFmtId="2" fontId="0" fillId="0" borderId="1" xfId="0" applyNumberFormat="1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5" fillId="0" borderId="0" xfId="0" applyFont="1" applyFill="1" applyBorder="1" applyAlignment="1"/>
    <xf numFmtId="0" fontId="8" fillId="0" borderId="0" xfId="0" applyFont="1"/>
    <xf numFmtId="0" fontId="7" fillId="0" borderId="0" xfId="0" applyFont="1"/>
    <xf numFmtId="0" fontId="0" fillId="2" borderId="0" xfId="0" applyFill="1"/>
    <xf numFmtId="0" fontId="9" fillId="0" borderId="0" xfId="0" applyFont="1"/>
    <xf numFmtId="0" fontId="10" fillId="3" borderId="0" xfId="0" applyFont="1" applyFill="1"/>
    <xf numFmtId="0" fontId="10" fillId="4" borderId="0" xfId="0" applyFont="1" applyFill="1"/>
    <xf numFmtId="0" fontId="0" fillId="3" borderId="0" xfId="0" applyFill="1"/>
    <xf numFmtId="0" fontId="10" fillId="0" borderId="0" xfId="0" applyFont="1"/>
    <xf numFmtId="0" fontId="9" fillId="4" borderId="0" xfId="0" applyFont="1" applyFill="1"/>
    <xf numFmtId="0" fontId="11" fillId="3" borderId="0" xfId="0" applyFont="1" applyFill="1"/>
    <xf numFmtId="0" fontId="1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3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0" fillId="8" borderId="0" xfId="0" applyFill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5" fillId="0" borderId="0" xfId="0" applyFont="1" applyAlignment="1"/>
    <xf numFmtId="0" fontId="16" fillId="0" borderId="0" xfId="0" applyFont="1" applyAlignment="1"/>
    <xf numFmtId="0" fontId="15" fillId="0" borderId="0" xfId="0" quotePrefix="1" applyFont="1" applyFill="1"/>
    <xf numFmtId="0" fontId="1" fillId="0" borderId="0" xfId="0" applyFont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2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quotePrefix="1" applyFill="1" applyBorder="1"/>
    <xf numFmtId="0" fontId="1" fillId="0" borderId="0" xfId="0" applyFont="1" applyFill="1" applyBorder="1" applyAlignment="1"/>
    <xf numFmtId="0" fontId="0" fillId="0" borderId="0" xfId="0" applyAlignment="1">
      <alignment horizontal="left" wrapText="1"/>
    </xf>
    <xf numFmtId="2" fontId="0" fillId="0" borderId="4" xfId="0" applyNumberFormat="1" applyFill="1" applyBorder="1"/>
    <xf numFmtId="2" fontId="0" fillId="0" borderId="12" xfId="0" applyNumberFormat="1" applyFill="1" applyBorder="1"/>
    <xf numFmtId="2" fontId="0" fillId="0" borderId="15" xfId="0" applyNumberFormat="1" applyFill="1" applyBorder="1"/>
    <xf numFmtId="2" fontId="0" fillId="0" borderId="16" xfId="0" applyNumberFormat="1" applyFill="1" applyBorder="1"/>
    <xf numFmtId="0" fontId="5" fillId="0" borderId="1" xfId="0" applyFont="1" applyFill="1" applyBorder="1" applyAlignment="1"/>
    <xf numFmtId="0" fontId="0" fillId="0" borderId="0" xfId="0" quotePrefix="1" applyBorder="1"/>
    <xf numFmtId="0" fontId="0" fillId="9" borderId="0" xfId="0" applyFill="1"/>
    <xf numFmtId="0" fontId="17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'[1]graph seeds CA CC CN etc'!$M$4:$M$6</c:f>
                <c:numCache>
                  <c:formatCode>General</c:formatCode>
                  <c:ptCount val="3"/>
                  <c:pt idx="0">
                    <c:v>1144.3289544501163</c:v>
                  </c:pt>
                  <c:pt idx="1">
                    <c:v>790.36990433388542</c:v>
                  </c:pt>
                  <c:pt idx="2">
                    <c:v>893.67360469671894</c:v>
                  </c:pt>
                </c:numCache>
              </c:numRef>
            </c:plus>
            <c:minus>
              <c:numRef>
                <c:f>'[1]graph seeds CA CC CN etc'!$M$4:$M$6</c:f>
                <c:numCache>
                  <c:formatCode>General</c:formatCode>
                  <c:ptCount val="3"/>
                  <c:pt idx="0">
                    <c:v>1144.3289544501163</c:v>
                  </c:pt>
                  <c:pt idx="1">
                    <c:v>790.36990433388542</c:v>
                  </c:pt>
                  <c:pt idx="2">
                    <c:v>893.67360469671894</c:v>
                  </c:pt>
                </c:numCache>
              </c:numRef>
            </c:minus>
          </c:errBars>
          <c:cat>
            <c:strRef>
              <c:f>'[1]graph seeds CA CC CN etc'!$J$4:$J$6</c:f>
              <c:strCache>
                <c:ptCount val="3"/>
                <c:pt idx="0">
                  <c:v>CA</c:v>
                </c:pt>
                <c:pt idx="1">
                  <c:v>CC</c:v>
                </c:pt>
                <c:pt idx="2">
                  <c:v>CN</c:v>
                </c:pt>
              </c:strCache>
            </c:strRef>
          </c:cat>
          <c:val>
            <c:numRef>
              <c:f>'[1]graph seeds CA CC CN etc'!$K$4:$K$6</c:f>
              <c:numCache>
                <c:formatCode>General</c:formatCode>
                <c:ptCount val="3"/>
                <c:pt idx="0">
                  <c:v>7806.4448879030597</c:v>
                </c:pt>
                <c:pt idx="1">
                  <c:v>3918.2636791174359</c:v>
                </c:pt>
                <c:pt idx="2">
                  <c:v>5281.5405011433368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5-4B7E-B5A4-4DBFB60E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088880"/>
        <c:axId val="493089272"/>
      </c:barChart>
      <c:catAx>
        <c:axId val="493088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93089272"/>
        <c:crosses val="autoZero"/>
        <c:auto val="1"/>
        <c:lblAlgn val="ctr"/>
        <c:lblOffset val="100"/>
        <c:noMultiLvlLbl val="0"/>
      </c:catAx>
      <c:valAx>
        <c:axId val="493089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308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'[1]graph seeds CA CC CN etc'!$W$3:$W$5</c:f>
                <c:numCache>
                  <c:formatCode>General</c:formatCode>
                  <c:ptCount val="3"/>
                  <c:pt idx="0">
                    <c:v>1319.2712799274216</c:v>
                  </c:pt>
                  <c:pt idx="1">
                    <c:v>1728.139447656798</c:v>
                  </c:pt>
                  <c:pt idx="2">
                    <c:v>1060.2722396718086</c:v>
                  </c:pt>
                </c:numCache>
              </c:numRef>
            </c:plus>
            <c:minus>
              <c:numRef>
                <c:f>'[1]graph seeds CA CC CN etc'!$W$3:$W$5</c:f>
                <c:numCache>
                  <c:formatCode>General</c:formatCode>
                  <c:ptCount val="3"/>
                  <c:pt idx="0">
                    <c:v>1319.2712799274216</c:v>
                  </c:pt>
                  <c:pt idx="1">
                    <c:v>1728.139447656798</c:v>
                  </c:pt>
                  <c:pt idx="2">
                    <c:v>1060.2722396718086</c:v>
                  </c:pt>
                </c:numCache>
              </c:numRef>
            </c:minus>
          </c:errBars>
          <c:cat>
            <c:strRef>
              <c:f>'[1]graph seeds CA CC CN etc'!$T$3:$T$5</c:f>
              <c:strCache>
                <c:ptCount val="3"/>
                <c:pt idx="0">
                  <c:v>AA</c:v>
                </c:pt>
                <c:pt idx="1">
                  <c:v>AC</c:v>
                </c:pt>
                <c:pt idx="2">
                  <c:v>AN</c:v>
                </c:pt>
              </c:strCache>
            </c:strRef>
          </c:cat>
          <c:val>
            <c:numRef>
              <c:f>'[1]graph seeds CA CC CN etc'!$U$3:$U$5</c:f>
              <c:numCache>
                <c:formatCode>General</c:formatCode>
                <c:ptCount val="3"/>
                <c:pt idx="0">
                  <c:v>6377.2868650250512</c:v>
                </c:pt>
                <c:pt idx="1">
                  <c:v>7749.4548484891493</c:v>
                </c:pt>
                <c:pt idx="2">
                  <c:v>6048.7943357962877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4-4700-B8D3-90E6F263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090056"/>
        <c:axId val="493090448"/>
      </c:barChart>
      <c:catAx>
        <c:axId val="493090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93090448"/>
        <c:crosses val="autoZero"/>
        <c:auto val="1"/>
        <c:lblAlgn val="ctr"/>
        <c:lblOffset val="100"/>
        <c:noMultiLvlLbl val="0"/>
      </c:catAx>
      <c:valAx>
        <c:axId val="49309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3090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'[1]graph seeds CA CC CN etc'!$AH$3:$AH$5</c:f>
                <c:numCache>
                  <c:formatCode>General</c:formatCode>
                  <c:ptCount val="3"/>
                  <c:pt idx="0">
                    <c:v>957.56436969684603</c:v>
                  </c:pt>
                  <c:pt idx="1">
                    <c:v>1601.2847732185051</c:v>
                  </c:pt>
                  <c:pt idx="2">
                    <c:v>1122.9704116115797</c:v>
                  </c:pt>
                </c:numCache>
              </c:numRef>
            </c:plus>
            <c:minus>
              <c:numRef>
                <c:f>'[1]graph seeds CA CC CN etc'!$AH$3:$AH$5</c:f>
                <c:numCache>
                  <c:formatCode>General</c:formatCode>
                  <c:ptCount val="3"/>
                  <c:pt idx="0">
                    <c:v>957.56436969684603</c:v>
                  </c:pt>
                  <c:pt idx="1">
                    <c:v>1601.2847732185051</c:v>
                  </c:pt>
                  <c:pt idx="2">
                    <c:v>1122.9704116115797</c:v>
                  </c:pt>
                </c:numCache>
              </c:numRef>
            </c:minus>
          </c:errBars>
          <c:cat>
            <c:strRef>
              <c:f>'[1]graph seeds CA CC CN etc'!$AE$3:$AE$5</c:f>
              <c:strCache>
                <c:ptCount val="3"/>
                <c:pt idx="0">
                  <c:v>NA</c:v>
                </c:pt>
                <c:pt idx="1">
                  <c:v>NC</c:v>
                </c:pt>
                <c:pt idx="2">
                  <c:v>NN</c:v>
                </c:pt>
              </c:strCache>
            </c:strRef>
          </c:cat>
          <c:val>
            <c:numRef>
              <c:f>'[1]graph seeds CA CC CN etc'!$AF$3:$AF$5</c:f>
              <c:numCache>
                <c:formatCode>General</c:formatCode>
                <c:ptCount val="3"/>
                <c:pt idx="0">
                  <c:v>4711.7741827432556</c:v>
                </c:pt>
                <c:pt idx="1">
                  <c:v>7712.6939345432011</c:v>
                </c:pt>
                <c:pt idx="2">
                  <c:v>7979.3427059619835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2-4820-A247-1DF692C0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454520"/>
        <c:axId val="435454912"/>
      </c:barChart>
      <c:catAx>
        <c:axId val="435454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5454912"/>
        <c:crosses val="autoZero"/>
        <c:auto val="1"/>
        <c:lblAlgn val="ctr"/>
        <c:lblOffset val="100"/>
        <c:noMultiLvlLbl val="0"/>
      </c:catAx>
      <c:valAx>
        <c:axId val="43545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5454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'[1]graph seeds CA CC CN etc'!$AS$3:$AS$13</c:f>
                <c:numCache>
                  <c:formatCode>General</c:formatCode>
                  <c:ptCount val="11"/>
                  <c:pt idx="0">
                    <c:v>1319.2712799274216</c:v>
                  </c:pt>
                  <c:pt idx="1">
                    <c:v>1728.139447656798</c:v>
                  </c:pt>
                  <c:pt idx="2">
                    <c:v>1060.2722396718086</c:v>
                  </c:pt>
                  <c:pt idx="4">
                    <c:v>1144.3289544501163</c:v>
                  </c:pt>
                  <c:pt idx="5">
                    <c:v>790.36990433388542</c:v>
                  </c:pt>
                  <c:pt idx="6">
                    <c:v>893.67360469671894</c:v>
                  </c:pt>
                  <c:pt idx="8">
                    <c:v>957.56436969684603</c:v>
                  </c:pt>
                  <c:pt idx="9">
                    <c:v>1601.2847732185051</c:v>
                  </c:pt>
                  <c:pt idx="10">
                    <c:v>1122.9704116115797</c:v>
                  </c:pt>
                </c:numCache>
              </c:numRef>
            </c:plus>
            <c:minus>
              <c:numRef>
                <c:f>'[1]graph seeds CA CC CN etc'!$AS$3:$AS$13</c:f>
                <c:numCache>
                  <c:formatCode>General</c:formatCode>
                  <c:ptCount val="11"/>
                  <c:pt idx="0">
                    <c:v>1319.2712799274216</c:v>
                  </c:pt>
                  <c:pt idx="1">
                    <c:v>1728.139447656798</c:v>
                  </c:pt>
                  <c:pt idx="2">
                    <c:v>1060.2722396718086</c:v>
                  </c:pt>
                  <c:pt idx="4">
                    <c:v>1144.3289544501163</c:v>
                  </c:pt>
                  <c:pt idx="5">
                    <c:v>790.36990433388542</c:v>
                  </c:pt>
                  <c:pt idx="6">
                    <c:v>893.67360469671894</c:v>
                  </c:pt>
                  <c:pt idx="8">
                    <c:v>957.56436969684603</c:v>
                  </c:pt>
                  <c:pt idx="9">
                    <c:v>1601.2847732185051</c:v>
                  </c:pt>
                  <c:pt idx="10">
                    <c:v>1122.9704116115797</c:v>
                  </c:pt>
                </c:numCache>
              </c:numRef>
            </c:minus>
          </c:errBars>
          <c:cat>
            <c:strRef>
              <c:f>'[1]graph seeds CA CC CN etc'!$AP$3:$AP$13</c:f>
              <c:strCache>
                <c:ptCount val="11"/>
                <c:pt idx="0">
                  <c:v>AA</c:v>
                </c:pt>
                <c:pt idx="1">
                  <c:v>AC</c:v>
                </c:pt>
                <c:pt idx="2">
                  <c:v>AN</c:v>
                </c:pt>
                <c:pt idx="4">
                  <c:v>CA</c:v>
                </c:pt>
                <c:pt idx="5">
                  <c:v>CC</c:v>
                </c:pt>
                <c:pt idx="6">
                  <c:v>CN</c:v>
                </c:pt>
                <c:pt idx="8">
                  <c:v>NA</c:v>
                </c:pt>
                <c:pt idx="9">
                  <c:v>NC</c:v>
                </c:pt>
                <c:pt idx="10">
                  <c:v>NN</c:v>
                </c:pt>
              </c:strCache>
            </c:strRef>
          </c:cat>
          <c:val>
            <c:numRef>
              <c:f>'[1]graph seeds CA CC CN etc'!$AQ$3:$AQ$13</c:f>
              <c:numCache>
                <c:formatCode>General</c:formatCode>
                <c:ptCount val="11"/>
                <c:pt idx="0">
                  <c:v>6377.2868650250512</c:v>
                </c:pt>
                <c:pt idx="1">
                  <c:v>7749.4548484891493</c:v>
                </c:pt>
                <c:pt idx="2">
                  <c:v>6048.7943357962877</c:v>
                </c:pt>
                <c:pt idx="4">
                  <c:v>7806.4448879030597</c:v>
                </c:pt>
                <c:pt idx="5">
                  <c:v>3918.2636791174359</c:v>
                </c:pt>
                <c:pt idx="6">
                  <c:v>5281.5405011433368</c:v>
                </c:pt>
                <c:pt idx="8">
                  <c:v>4711.7741827432556</c:v>
                </c:pt>
                <c:pt idx="9">
                  <c:v>7712.6939345432011</c:v>
                </c:pt>
                <c:pt idx="10">
                  <c:v>7979.3427059619835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2-4FD0-9B28-36DEC5A01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455304"/>
        <c:axId val="500189192"/>
      </c:barChart>
      <c:catAx>
        <c:axId val="435455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89192"/>
        <c:crosses val="autoZero"/>
        <c:auto val="1"/>
        <c:lblAlgn val="ctr"/>
        <c:lblOffset val="100"/>
        <c:noMultiLvlLbl val="0"/>
      </c:catAx>
      <c:valAx>
        <c:axId val="500189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35455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10</xdr:row>
      <xdr:rowOff>23812</xdr:rowOff>
    </xdr:from>
    <xdr:to>
      <xdr:col>12</xdr:col>
      <xdr:colOff>257175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B2ABE-A84B-444E-8720-CB5120C98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9</xdr:row>
      <xdr:rowOff>80962</xdr:rowOff>
    </xdr:from>
    <xdr:to>
      <xdr:col>23</xdr:col>
      <xdr:colOff>295275</xdr:colOff>
      <xdr:row>23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CAF5B-2779-4B34-8D5D-615D389FF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552450</xdr:colOff>
      <xdr:row>9</xdr:row>
      <xdr:rowOff>100012</xdr:rowOff>
    </xdr:from>
    <xdr:to>
      <xdr:col>34</xdr:col>
      <xdr:colOff>247650</xdr:colOff>
      <xdr:row>23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CB27F-1923-453C-BD07-ACF210EBD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371475</xdr:colOff>
      <xdr:row>13</xdr:row>
      <xdr:rowOff>100012</xdr:rowOff>
    </xdr:from>
    <xdr:to>
      <xdr:col>44</xdr:col>
      <xdr:colOff>66675</xdr:colOff>
      <xdr:row>27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8716C2-C675-4ADB-BE94-1741CBCA5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TO%20DO/LEGACY%20PAPER%20Jeltje/Raw%20data/Zaden%20veld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we data"/>
      <sheetName val="Data Jeltje"/>
      <sheetName val="graph seeds CA CC CN etc"/>
      <sheetName val="Graph OoA seeds"/>
    </sheetNames>
    <sheetDataSet>
      <sheetData sheetId="0"/>
      <sheetData sheetId="1"/>
      <sheetData sheetId="2">
        <row r="3">
          <cell r="T3" t="str">
            <v>AA</v>
          </cell>
          <cell r="U3">
            <v>6377.2868650250512</v>
          </cell>
          <cell r="W3">
            <v>1319.2712799274216</v>
          </cell>
          <cell r="AE3" t="str">
            <v>NA</v>
          </cell>
          <cell r="AF3">
            <v>4711.7741827432556</v>
          </cell>
          <cell r="AH3">
            <v>957.56436969684603</v>
          </cell>
          <cell r="AP3" t="str">
            <v>AA</v>
          </cell>
          <cell r="AQ3">
            <v>6377.2868650250512</v>
          </cell>
          <cell r="AS3">
            <v>1319.2712799274216</v>
          </cell>
        </row>
        <row r="4">
          <cell r="J4" t="str">
            <v>CA</v>
          </cell>
          <cell r="K4">
            <v>7806.4448879030597</v>
          </cell>
          <cell r="M4">
            <v>1144.3289544501163</v>
          </cell>
          <cell r="T4" t="str">
            <v>AC</v>
          </cell>
          <cell r="U4">
            <v>7749.4548484891493</v>
          </cell>
          <cell r="W4">
            <v>1728.139447656798</v>
          </cell>
          <cell r="AE4" t="str">
            <v>NC</v>
          </cell>
          <cell r="AF4">
            <v>7712.6939345432011</v>
          </cell>
          <cell r="AH4">
            <v>1601.2847732185051</v>
          </cell>
          <cell r="AP4" t="str">
            <v>AC</v>
          </cell>
          <cell r="AQ4">
            <v>7749.4548484891493</v>
          </cell>
          <cell r="AS4">
            <v>1728.139447656798</v>
          </cell>
        </row>
        <row r="5">
          <cell r="J5" t="str">
            <v>CC</v>
          </cell>
          <cell r="K5">
            <v>3918.2636791174359</v>
          </cell>
          <cell r="M5">
            <v>790.36990433388542</v>
          </cell>
          <cell r="T5" t="str">
            <v>AN</v>
          </cell>
          <cell r="U5">
            <v>6048.7943357962877</v>
          </cell>
          <cell r="W5">
            <v>1060.2722396718086</v>
          </cell>
          <cell r="AE5" t="str">
            <v>NN</v>
          </cell>
          <cell r="AF5">
            <v>7979.3427059619835</v>
          </cell>
          <cell r="AH5">
            <v>1122.9704116115797</v>
          </cell>
          <cell r="AP5" t="str">
            <v>AN</v>
          </cell>
          <cell r="AQ5">
            <v>6048.7943357962877</v>
          </cell>
          <cell r="AS5">
            <v>1060.2722396718086</v>
          </cell>
        </row>
        <row r="6">
          <cell r="J6" t="str">
            <v>CN</v>
          </cell>
          <cell r="K6">
            <v>5281.5405011433368</v>
          </cell>
          <cell r="M6">
            <v>893.67360469671894</v>
          </cell>
        </row>
        <row r="7">
          <cell r="AP7" t="str">
            <v>CA</v>
          </cell>
          <cell r="AQ7">
            <v>7806.4448879030597</v>
          </cell>
          <cell r="AS7">
            <v>1144.3289544501163</v>
          </cell>
        </row>
        <row r="8">
          <cell r="AP8" t="str">
            <v>CC</v>
          </cell>
          <cell r="AQ8">
            <v>3918.2636791174359</v>
          </cell>
          <cell r="AS8">
            <v>790.36990433388542</v>
          </cell>
        </row>
        <row r="9">
          <cell r="AP9" t="str">
            <v>CN</v>
          </cell>
          <cell r="AQ9">
            <v>5281.5405011433368</v>
          </cell>
          <cell r="AS9">
            <v>893.67360469671894</v>
          </cell>
        </row>
        <row r="11">
          <cell r="AP11" t="str">
            <v>NA</v>
          </cell>
          <cell r="AQ11">
            <v>4711.7741827432556</v>
          </cell>
          <cell r="AS11">
            <v>957.56436969684603</v>
          </cell>
        </row>
        <row r="12">
          <cell r="AP12" t="str">
            <v>NC</v>
          </cell>
          <cell r="AQ12">
            <v>7712.6939345432011</v>
          </cell>
          <cell r="AS12">
            <v>1601.2847732185051</v>
          </cell>
        </row>
        <row r="13">
          <cell r="AP13" t="str">
            <v>NN</v>
          </cell>
          <cell r="AQ13">
            <v>7979.3427059619835</v>
          </cell>
          <cell r="AS13">
            <v>1122.9704116115797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L22" sqref="L22"/>
    </sheetView>
  </sheetViews>
  <sheetFormatPr defaultRowHeight="15" x14ac:dyDescent="0.25"/>
  <cols>
    <col min="1" max="1" width="30.42578125" customWidth="1"/>
  </cols>
  <sheetData>
    <row r="1" spans="1:17" x14ac:dyDescent="0.25">
      <c r="A1" s="83" t="s">
        <v>586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3" spans="1:17" x14ac:dyDescent="0.25">
      <c r="A3" t="s">
        <v>587</v>
      </c>
    </row>
    <row r="5" spans="1:17" x14ac:dyDescent="0.25">
      <c r="A5" s="2" t="s">
        <v>182</v>
      </c>
      <c r="B5" s="2" t="s">
        <v>183</v>
      </c>
    </row>
    <row r="6" spans="1:17" x14ac:dyDescent="0.25">
      <c r="A6" t="s">
        <v>184</v>
      </c>
      <c r="B6" t="s">
        <v>197</v>
      </c>
    </row>
    <row r="7" spans="1:17" x14ac:dyDescent="0.25">
      <c r="A7" t="s">
        <v>185</v>
      </c>
      <c r="B7" t="s">
        <v>194</v>
      </c>
    </row>
    <row r="8" spans="1:17" x14ac:dyDescent="0.25">
      <c r="A8" t="s">
        <v>186</v>
      </c>
      <c r="B8" t="s">
        <v>193</v>
      </c>
    </row>
    <row r="9" spans="1:17" x14ac:dyDescent="0.25">
      <c r="A9" t="s">
        <v>187</v>
      </c>
      <c r="B9" t="s">
        <v>192</v>
      </c>
    </row>
    <row r="10" spans="1:17" x14ac:dyDescent="0.25">
      <c r="A10" t="s">
        <v>195</v>
      </c>
      <c r="B10" t="s">
        <v>196</v>
      </c>
    </row>
    <row r="11" spans="1:17" x14ac:dyDescent="0.25">
      <c r="A11" t="s">
        <v>188</v>
      </c>
      <c r="B11" t="s">
        <v>190</v>
      </c>
    </row>
    <row r="12" spans="1:17" x14ac:dyDescent="0.25">
      <c r="A12" t="s">
        <v>189</v>
      </c>
      <c r="B12" t="s">
        <v>191</v>
      </c>
    </row>
    <row r="17" spans="1:1" x14ac:dyDescent="0.25">
      <c r="A17" s="2" t="s">
        <v>585</v>
      </c>
    </row>
  </sheetData>
  <mergeCells count="1">
    <mergeCell ref="A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2"/>
  <sheetViews>
    <sheetView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B10" sqref="B10"/>
    </sheetView>
  </sheetViews>
  <sheetFormatPr defaultRowHeight="15" x14ac:dyDescent="0.25"/>
  <cols>
    <col min="1" max="1" width="13" style="10" customWidth="1"/>
    <col min="2" max="2" width="42.85546875" style="10" customWidth="1"/>
    <col min="3" max="3" width="12.5703125" style="10" customWidth="1"/>
    <col min="4" max="16384" width="9.140625" style="10"/>
  </cols>
  <sheetData>
    <row r="1" spans="1:36" x14ac:dyDescent="0.25">
      <c r="A1" s="78" t="s">
        <v>140</v>
      </c>
      <c r="AJ1" s="10" t="s">
        <v>15</v>
      </c>
    </row>
    <row r="3" spans="1:36" x14ac:dyDescent="0.25">
      <c r="A3" s="79"/>
    </row>
    <row r="4" spans="1:36" x14ac:dyDescent="0.25">
      <c r="A4" s="79"/>
    </row>
    <row r="6" spans="1:36" x14ac:dyDescent="0.25">
      <c r="A6" s="80" t="s">
        <v>1</v>
      </c>
      <c r="B6" s="80" t="s">
        <v>2</v>
      </c>
      <c r="C6" s="80" t="s">
        <v>5</v>
      </c>
    </row>
    <row r="7" spans="1:36" x14ac:dyDescent="0.25">
      <c r="A7" s="80" t="s">
        <v>0</v>
      </c>
      <c r="B7" s="80"/>
      <c r="C7" s="80"/>
    </row>
    <row r="8" spans="1:36" x14ac:dyDescent="0.25">
      <c r="A8" s="10" t="s">
        <v>4</v>
      </c>
      <c r="C8" s="10" t="s">
        <v>51</v>
      </c>
    </row>
    <row r="9" spans="1:36" x14ac:dyDescent="0.25">
      <c r="A9" s="10" t="s">
        <v>7</v>
      </c>
      <c r="B9" s="10" t="s">
        <v>8</v>
      </c>
      <c r="C9" s="10" t="s">
        <v>52</v>
      </c>
    </row>
    <row r="10" spans="1:36" x14ac:dyDescent="0.25">
      <c r="A10" s="10" t="s">
        <v>10</v>
      </c>
      <c r="B10" s="10" t="s">
        <v>11</v>
      </c>
      <c r="C10" s="10" t="s">
        <v>53</v>
      </c>
    </row>
    <row r="11" spans="1:36" x14ac:dyDescent="0.25">
      <c r="A11" s="10" t="s">
        <v>13</v>
      </c>
      <c r="B11" s="10" t="s">
        <v>14</v>
      </c>
      <c r="C11" s="81" t="s">
        <v>20</v>
      </c>
    </row>
    <row r="12" spans="1:36" x14ac:dyDescent="0.25">
      <c r="A12" s="10" t="s">
        <v>17</v>
      </c>
      <c r="B12" s="10" t="s">
        <v>18</v>
      </c>
      <c r="C12" s="81" t="s">
        <v>19</v>
      </c>
    </row>
    <row r="13" spans="1:36" x14ac:dyDescent="0.25">
      <c r="A13" s="10" t="s">
        <v>0</v>
      </c>
      <c r="B13" s="10" t="s">
        <v>34</v>
      </c>
      <c r="C13" s="10" t="s">
        <v>100</v>
      </c>
    </row>
    <row r="14" spans="1:36" x14ac:dyDescent="0.25">
      <c r="A14" s="10" t="s">
        <v>23</v>
      </c>
      <c r="B14" s="10" t="s">
        <v>35</v>
      </c>
      <c r="C14" s="10" t="s">
        <v>101</v>
      </c>
    </row>
    <row r="15" spans="1:36" x14ac:dyDescent="0.25">
      <c r="A15" s="10" t="s">
        <v>16</v>
      </c>
      <c r="B15" s="10" t="s">
        <v>36</v>
      </c>
      <c r="C15" s="10" t="s">
        <v>102</v>
      </c>
    </row>
    <row r="16" spans="1:36" x14ac:dyDescent="0.25">
      <c r="A16" s="10" t="s">
        <v>31</v>
      </c>
      <c r="B16" s="10" t="s">
        <v>48</v>
      </c>
      <c r="C16" s="10" t="s">
        <v>107</v>
      </c>
    </row>
    <row r="17" spans="1:3" x14ac:dyDescent="0.25">
      <c r="A17" s="10" t="s">
        <v>32</v>
      </c>
      <c r="B17" s="10" t="s">
        <v>49</v>
      </c>
      <c r="C17" s="10" t="s">
        <v>106</v>
      </c>
    </row>
    <row r="18" spans="1:3" x14ac:dyDescent="0.25">
      <c r="A18" s="10" t="s">
        <v>33</v>
      </c>
      <c r="B18" s="10" t="s">
        <v>50</v>
      </c>
      <c r="C18" s="10" t="s">
        <v>108</v>
      </c>
    </row>
    <row r="19" spans="1:3" x14ac:dyDescent="0.25">
      <c r="A19" s="10" t="s">
        <v>27</v>
      </c>
      <c r="B19" s="80" t="s">
        <v>42</v>
      </c>
      <c r="C19" s="10" t="s">
        <v>130</v>
      </c>
    </row>
    <row r="20" spans="1:3" x14ac:dyDescent="0.25">
      <c r="A20" s="10" t="s">
        <v>25</v>
      </c>
      <c r="B20" s="80" t="s">
        <v>43</v>
      </c>
      <c r="C20" s="10" t="s">
        <v>131</v>
      </c>
    </row>
    <row r="21" spans="1:3" x14ac:dyDescent="0.25">
      <c r="A21" s="10" t="s">
        <v>26</v>
      </c>
      <c r="B21" s="80" t="s">
        <v>44</v>
      </c>
      <c r="C21" s="10" t="s">
        <v>132</v>
      </c>
    </row>
    <row r="22" spans="1:3" x14ac:dyDescent="0.25">
      <c r="A22" s="10" t="s">
        <v>28</v>
      </c>
      <c r="B22" s="80" t="s">
        <v>45</v>
      </c>
      <c r="C22" s="10" t="s">
        <v>105</v>
      </c>
    </row>
    <row r="23" spans="1:3" x14ac:dyDescent="0.25">
      <c r="A23" s="10" t="s">
        <v>29</v>
      </c>
      <c r="B23" s="80" t="s">
        <v>46</v>
      </c>
      <c r="C23" s="10" t="s">
        <v>103</v>
      </c>
    </row>
    <row r="24" spans="1:3" x14ac:dyDescent="0.25">
      <c r="A24" s="10" t="s">
        <v>30</v>
      </c>
      <c r="B24" s="80" t="s">
        <v>47</v>
      </c>
      <c r="C24" s="10" t="s">
        <v>104</v>
      </c>
    </row>
    <row r="25" spans="1:3" x14ac:dyDescent="0.25">
      <c r="A25" s="10" t="s">
        <v>37</v>
      </c>
      <c r="B25" s="10" t="s">
        <v>39</v>
      </c>
      <c r="C25" s="10" t="s">
        <v>109</v>
      </c>
    </row>
    <row r="26" spans="1:3" x14ac:dyDescent="0.25">
      <c r="A26" s="10" t="s">
        <v>38</v>
      </c>
      <c r="B26" s="10" t="s">
        <v>40</v>
      </c>
      <c r="C26" s="10" t="s">
        <v>110</v>
      </c>
    </row>
    <row r="27" spans="1:3" x14ac:dyDescent="0.25">
      <c r="A27" s="10" t="s">
        <v>24</v>
      </c>
      <c r="B27" s="10" t="s">
        <v>41</v>
      </c>
      <c r="C27" s="10" t="s">
        <v>138</v>
      </c>
    </row>
    <row r="30" spans="1:3" x14ac:dyDescent="0.25">
      <c r="A30" s="80" t="s">
        <v>3</v>
      </c>
      <c r="B30" s="80"/>
      <c r="C30" s="82"/>
    </row>
    <row r="31" spans="1:3" x14ac:dyDescent="0.25">
      <c r="A31" s="10" t="s">
        <v>4</v>
      </c>
      <c r="C31" s="10" t="s">
        <v>6</v>
      </c>
    </row>
    <row r="32" spans="1:3" x14ac:dyDescent="0.25">
      <c r="A32" s="10" t="s">
        <v>7</v>
      </c>
      <c r="B32" s="10" t="s">
        <v>8</v>
      </c>
      <c r="C32" s="10" t="s">
        <v>9</v>
      </c>
    </row>
    <row r="33" spans="1:3" x14ac:dyDescent="0.25">
      <c r="A33" s="10" t="s">
        <v>10</v>
      </c>
      <c r="B33" s="10" t="s">
        <v>11</v>
      </c>
      <c r="C33" s="10" t="s">
        <v>12</v>
      </c>
    </row>
    <row r="34" spans="1:3" x14ac:dyDescent="0.25">
      <c r="A34" s="10" t="s">
        <v>13</v>
      </c>
      <c r="B34" s="10" t="s">
        <v>14</v>
      </c>
      <c r="C34" s="81" t="s">
        <v>20</v>
      </c>
    </row>
    <row r="35" spans="1:3" x14ac:dyDescent="0.25">
      <c r="A35" s="10" t="s">
        <v>57</v>
      </c>
      <c r="B35" s="10" t="s">
        <v>54</v>
      </c>
      <c r="C35" s="10" t="s">
        <v>112</v>
      </c>
    </row>
    <row r="36" spans="1:3" x14ac:dyDescent="0.25">
      <c r="A36" s="10" t="s">
        <v>58</v>
      </c>
      <c r="B36" s="10" t="s">
        <v>55</v>
      </c>
      <c r="C36" s="10" t="s">
        <v>113</v>
      </c>
    </row>
    <row r="37" spans="1:3" x14ac:dyDescent="0.25">
      <c r="A37" s="10" t="s">
        <v>59</v>
      </c>
      <c r="B37" s="10" t="s">
        <v>56</v>
      </c>
      <c r="C37" s="10" t="s">
        <v>114</v>
      </c>
    </row>
    <row r="38" spans="1:3" x14ac:dyDescent="0.25">
      <c r="A38" s="10" t="s">
        <v>60</v>
      </c>
      <c r="B38" s="10" t="s">
        <v>54</v>
      </c>
      <c r="C38" s="10" t="s">
        <v>111</v>
      </c>
    </row>
    <row r="39" spans="1:3" x14ac:dyDescent="0.25">
      <c r="A39" s="10" t="s">
        <v>21</v>
      </c>
      <c r="B39" s="10" t="s">
        <v>35</v>
      </c>
      <c r="C39" s="10" t="s">
        <v>111</v>
      </c>
    </row>
    <row r="40" spans="1:3" x14ac:dyDescent="0.25">
      <c r="A40" s="10" t="s">
        <v>22</v>
      </c>
      <c r="B40" s="10" t="s">
        <v>36</v>
      </c>
      <c r="C40" s="10" t="s">
        <v>111</v>
      </c>
    </row>
    <row r="41" spans="1:3" x14ac:dyDescent="0.25">
      <c r="A41" s="10" t="s">
        <v>91</v>
      </c>
      <c r="B41" s="10" t="s">
        <v>85</v>
      </c>
      <c r="C41" s="10" t="s">
        <v>115</v>
      </c>
    </row>
    <row r="42" spans="1:3" x14ac:dyDescent="0.25">
      <c r="A42" s="10" t="s">
        <v>92</v>
      </c>
      <c r="B42" s="10" t="s">
        <v>86</v>
      </c>
      <c r="C42" s="10" t="s">
        <v>116</v>
      </c>
    </row>
    <row r="43" spans="1:3" x14ac:dyDescent="0.25">
      <c r="A43" s="10" t="s">
        <v>93</v>
      </c>
      <c r="B43" s="10" t="s">
        <v>87</v>
      </c>
      <c r="C43" s="10" t="s">
        <v>117</v>
      </c>
    </row>
    <row r="44" spans="1:3" x14ac:dyDescent="0.25">
      <c r="A44" s="10" t="s">
        <v>94</v>
      </c>
      <c r="B44" s="10" t="s">
        <v>88</v>
      </c>
      <c r="C44" s="10" t="s">
        <v>118</v>
      </c>
    </row>
    <row r="45" spans="1:3" x14ac:dyDescent="0.25">
      <c r="A45" s="10" t="s">
        <v>95</v>
      </c>
      <c r="B45" s="10" t="s">
        <v>89</v>
      </c>
      <c r="C45" s="10" t="s">
        <v>119</v>
      </c>
    </row>
    <row r="46" spans="1:3" x14ac:dyDescent="0.25">
      <c r="A46" s="10" t="s">
        <v>96</v>
      </c>
      <c r="B46" s="10" t="s">
        <v>90</v>
      </c>
      <c r="C46" s="10" t="s">
        <v>120</v>
      </c>
    </row>
    <row r="47" spans="1:3" x14ac:dyDescent="0.25">
      <c r="A47" s="10" t="s">
        <v>67</v>
      </c>
      <c r="B47" s="80" t="s">
        <v>61</v>
      </c>
      <c r="C47" s="10" t="s">
        <v>141</v>
      </c>
    </row>
    <row r="48" spans="1:3" x14ac:dyDescent="0.25">
      <c r="A48" s="10" t="s">
        <v>68</v>
      </c>
      <c r="B48" s="80" t="s">
        <v>62</v>
      </c>
      <c r="C48" s="10" t="s">
        <v>133</v>
      </c>
    </row>
    <row r="49" spans="1:3" x14ac:dyDescent="0.25">
      <c r="A49" s="10" t="s">
        <v>69</v>
      </c>
      <c r="B49" s="80" t="s">
        <v>63</v>
      </c>
      <c r="C49" s="10" t="s">
        <v>134</v>
      </c>
    </row>
    <row r="50" spans="1:3" x14ac:dyDescent="0.25">
      <c r="A50" s="10" t="s">
        <v>70</v>
      </c>
      <c r="B50" s="80" t="s">
        <v>64</v>
      </c>
      <c r="C50" s="10" t="s">
        <v>135</v>
      </c>
    </row>
    <row r="51" spans="1:3" x14ac:dyDescent="0.25">
      <c r="A51" s="10" t="s">
        <v>71</v>
      </c>
      <c r="B51" s="80" t="s">
        <v>65</v>
      </c>
      <c r="C51" s="10" t="s">
        <v>136</v>
      </c>
    </row>
    <row r="52" spans="1:3" x14ac:dyDescent="0.25">
      <c r="A52" s="10" t="s">
        <v>72</v>
      </c>
      <c r="B52" s="80" t="s">
        <v>66</v>
      </c>
      <c r="C52" s="10" t="s">
        <v>137</v>
      </c>
    </row>
    <row r="53" spans="1:3" x14ac:dyDescent="0.25">
      <c r="A53" s="10" t="s">
        <v>79</v>
      </c>
      <c r="B53" s="80" t="s">
        <v>73</v>
      </c>
      <c r="C53" s="10" t="s">
        <v>121</v>
      </c>
    </row>
    <row r="54" spans="1:3" x14ac:dyDescent="0.25">
      <c r="A54" s="10" t="s">
        <v>80</v>
      </c>
      <c r="B54" s="80" t="s">
        <v>74</v>
      </c>
      <c r="C54" s="10" t="s">
        <v>122</v>
      </c>
    </row>
    <row r="55" spans="1:3" x14ac:dyDescent="0.25">
      <c r="A55" s="10" t="s">
        <v>81</v>
      </c>
      <c r="B55" s="80" t="s">
        <v>75</v>
      </c>
      <c r="C55" s="10" t="s">
        <v>123</v>
      </c>
    </row>
    <row r="56" spans="1:3" x14ac:dyDescent="0.25">
      <c r="A56" s="10" t="s">
        <v>84</v>
      </c>
      <c r="B56" s="80" t="s">
        <v>76</v>
      </c>
      <c r="C56" s="10" t="s">
        <v>124</v>
      </c>
    </row>
    <row r="57" spans="1:3" x14ac:dyDescent="0.25">
      <c r="A57" s="10" t="s">
        <v>82</v>
      </c>
      <c r="B57" s="80" t="s">
        <v>77</v>
      </c>
      <c r="C57" s="10" t="s">
        <v>125</v>
      </c>
    </row>
    <row r="58" spans="1:3" x14ac:dyDescent="0.25">
      <c r="A58" s="10" t="s">
        <v>83</v>
      </c>
      <c r="B58" s="80" t="s">
        <v>78</v>
      </c>
      <c r="C58" s="10" t="s">
        <v>126</v>
      </c>
    </row>
    <row r="59" spans="1:3" x14ac:dyDescent="0.25">
      <c r="A59" s="10" t="s">
        <v>97</v>
      </c>
      <c r="B59" s="10" t="s">
        <v>39</v>
      </c>
      <c r="C59" s="10" t="s">
        <v>127</v>
      </c>
    </row>
    <row r="60" spans="1:3" x14ac:dyDescent="0.25">
      <c r="A60" s="10" t="s">
        <v>98</v>
      </c>
      <c r="B60" s="10" t="s">
        <v>39</v>
      </c>
      <c r="C60" s="10" t="s">
        <v>129</v>
      </c>
    </row>
    <row r="61" spans="1:3" x14ac:dyDescent="0.25">
      <c r="A61" s="10" t="s">
        <v>99</v>
      </c>
      <c r="B61" s="10" t="s">
        <v>40</v>
      </c>
      <c r="C61" s="10" t="s">
        <v>128</v>
      </c>
    </row>
    <row r="62" spans="1:3" x14ac:dyDescent="0.25">
      <c r="A62" s="10" t="s">
        <v>24</v>
      </c>
      <c r="B62" s="10" t="s">
        <v>41</v>
      </c>
      <c r="C62" s="10" t="s">
        <v>139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5" x14ac:dyDescent="0.25"/>
  <cols>
    <col min="1" max="2" width="6.42578125" customWidth="1"/>
  </cols>
  <sheetData>
    <row r="1" spans="1:22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</row>
    <row r="2" spans="1:22" x14ac:dyDescent="0.25">
      <c r="A2" s="2" t="s">
        <v>7</v>
      </c>
      <c r="B2" s="2" t="s">
        <v>10</v>
      </c>
      <c r="C2" s="2" t="s">
        <v>13</v>
      </c>
      <c r="D2" s="21" t="s">
        <v>17</v>
      </c>
      <c r="E2" s="22" t="s">
        <v>0</v>
      </c>
      <c r="F2" s="22" t="s">
        <v>23</v>
      </c>
      <c r="G2" s="21" t="s">
        <v>16</v>
      </c>
      <c r="H2" s="22" t="s">
        <v>31</v>
      </c>
      <c r="I2" s="22" t="s">
        <v>32</v>
      </c>
      <c r="J2" s="21" t="s">
        <v>33</v>
      </c>
      <c r="K2" s="22" t="s">
        <v>27</v>
      </c>
      <c r="L2" s="22" t="s">
        <v>25</v>
      </c>
      <c r="M2" s="21" t="s">
        <v>26</v>
      </c>
      <c r="N2" s="22" t="s">
        <v>28</v>
      </c>
      <c r="O2" s="22" t="s">
        <v>29</v>
      </c>
      <c r="P2" s="21" t="s">
        <v>30</v>
      </c>
      <c r="Q2" s="22" t="s">
        <v>37</v>
      </c>
      <c r="R2" s="22" t="s">
        <v>38</v>
      </c>
      <c r="S2" s="23" t="s">
        <v>24</v>
      </c>
    </row>
    <row r="3" spans="1:22" x14ac:dyDescent="0.25">
      <c r="A3">
        <v>1</v>
      </c>
      <c r="B3" s="4">
        <v>5</v>
      </c>
      <c r="C3">
        <v>2</v>
      </c>
      <c r="D3">
        <v>1</v>
      </c>
      <c r="E3" s="9">
        <v>0.98060000000000003</v>
      </c>
      <c r="F3" s="12">
        <v>0.8236</v>
      </c>
      <c r="G3" s="20">
        <v>0.9153</v>
      </c>
      <c r="H3" s="15">
        <v>0.95789999999999997</v>
      </c>
      <c r="I3" s="15">
        <v>-0.9728</v>
      </c>
      <c r="J3" s="16">
        <v>0.84830000000000005</v>
      </c>
      <c r="K3">
        <v>11</v>
      </c>
      <c r="L3">
        <v>7</v>
      </c>
      <c r="M3" s="19">
        <v>4</v>
      </c>
      <c r="N3" s="14">
        <v>56.75</v>
      </c>
      <c r="O3" s="14">
        <v>41</v>
      </c>
      <c r="P3" s="30">
        <v>15.75</v>
      </c>
      <c r="Q3" s="32">
        <v>71.75</v>
      </c>
      <c r="R3" s="32">
        <v>85.5</v>
      </c>
      <c r="S3" s="36">
        <v>81.579946089774424</v>
      </c>
      <c r="U3" s="36"/>
      <c r="V3" s="32"/>
    </row>
    <row r="4" spans="1:22" x14ac:dyDescent="0.25">
      <c r="A4">
        <v>2</v>
      </c>
      <c r="B4" s="4">
        <v>6</v>
      </c>
      <c r="C4">
        <v>3</v>
      </c>
      <c r="D4">
        <v>2</v>
      </c>
      <c r="E4" s="9">
        <v>0.9</v>
      </c>
      <c r="F4" s="12">
        <v>-0.61709999999999998</v>
      </c>
      <c r="G4" s="20">
        <v>0.98140000000000005</v>
      </c>
      <c r="H4" s="15">
        <v>1.0242</v>
      </c>
      <c r="I4" s="15">
        <v>-0.94110000000000005</v>
      </c>
      <c r="J4" s="16">
        <v>0.99550000000000005</v>
      </c>
      <c r="K4">
        <v>13</v>
      </c>
      <c r="L4">
        <v>7</v>
      </c>
      <c r="M4" s="19">
        <v>6</v>
      </c>
      <c r="N4" s="14">
        <v>36.5</v>
      </c>
      <c r="O4" s="14">
        <v>24.75</v>
      </c>
      <c r="P4" s="30">
        <v>11.75</v>
      </c>
      <c r="Q4" s="32">
        <v>192.5</v>
      </c>
      <c r="R4" s="32">
        <v>142.5</v>
      </c>
      <c r="S4" s="36">
        <v>107.75753605498096</v>
      </c>
      <c r="U4" s="36"/>
      <c r="V4" s="32"/>
    </row>
    <row r="5" spans="1:22" x14ac:dyDescent="0.25">
      <c r="A5">
        <v>3</v>
      </c>
      <c r="B5" s="4">
        <v>9</v>
      </c>
      <c r="C5">
        <v>3</v>
      </c>
      <c r="D5">
        <v>1</v>
      </c>
      <c r="E5" s="9">
        <v>1.7061999999999999</v>
      </c>
      <c r="F5" s="12">
        <v>0.56840000000000002</v>
      </c>
      <c r="G5" s="20">
        <v>1.8645</v>
      </c>
      <c r="H5" s="15">
        <v>1.5198</v>
      </c>
      <c r="I5" s="15">
        <v>-0.86899999999999999</v>
      </c>
      <c r="J5" s="16">
        <v>1.8246</v>
      </c>
      <c r="K5">
        <v>11</v>
      </c>
      <c r="L5">
        <v>6</v>
      </c>
      <c r="M5" s="19">
        <v>5</v>
      </c>
      <c r="N5" s="14">
        <v>43</v>
      </c>
      <c r="O5" s="14">
        <v>37.5</v>
      </c>
      <c r="P5" s="30">
        <v>5.5</v>
      </c>
      <c r="Q5" s="32">
        <v>125</v>
      </c>
      <c r="R5" s="32">
        <v>66.75</v>
      </c>
      <c r="S5" s="36">
        <v>72.385558661407529</v>
      </c>
      <c r="U5" s="36"/>
      <c r="V5" s="32"/>
    </row>
    <row r="6" spans="1:22" x14ac:dyDescent="0.25">
      <c r="A6">
        <v>4</v>
      </c>
      <c r="B6" s="4">
        <v>10</v>
      </c>
      <c r="C6">
        <v>3</v>
      </c>
      <c r="D6">
        <v>3</v>
      </c>
      <c r="E6" s="9">
        <v>1.9258</v>
      </c>
      <c r="F6" s="12">
        <v>1.0792999999999999</v>
      </c>
      <c r="G6" s="20">
        <v>2.3311000000000002</v>
      </c>
      <c r="H6" s="15">
        <v>0.90869999999999995</v>
      </c>
      <c r="I6" s="15">
        <v>1.3284</v>
      </c>
      <c r="J6" s="16">
        <v>2.2664</v>
      </c>
      <c r="K6">
        <v>9</v>
      </c>
      <c r="L6">
        <v>6</v>
      </c>
      <c r="M6" s="19">
        <v>3</v>
      </c>
      <c r="N6" s="14">
        <v>56.75</v>
      </c>
      <c r="O6" s="14">
        <v>52.75</v>
      </c>
      <c r="P6" s="30">
        <v>4</v>
      </c>
      <c r="Q6" s="32">
        <v>160</v>
      </c>
      <c r="R6" s="32">
        <v>81.25</v>
      </c>
      <c r="S6" s="36">
        <v>79.129028164703897</v>
      </c>
      <c r="U6" s="36"/>
      <c r="V6" s="32"/>
    </row>
    <row r="7" spans="1:22" x14ac:dyDescent="0.25">
      <c r="A7">
        <v>5</v>
      </c>
      <c r="B7" s="4">
        <v>11</v>
      </c>
      <c r="C7">
        <v>3</v>
      </c>
      <c r="D7">
        <v>2</v>
      </c>
      <c r="E7" s="9">
        <v>2.4906999999999999</v>
      </c>
      <c r="F7" s="12">
        <v>1.2038</v>
      </c>
      <c r="G7" s="20">
        <v>2.4842</v>
      </c>
      <c r="H7" s="15">
        <v>2.0360999999999998</v>
      </c>
      <c r="I7" s="15">
        <v>-1.1536999999999999</v>
      </c>
      <c r="J7" s="16">
        <v>2.3974000000000002</v>
      </c>
      <c r="K7">
        <v>12</v>
      </c>
      <c r="L7">
        <v>9</v>
      </c>
      <c r="M7" s="19">
        <v>2</v>
      </c>
      <c r="N7" s="14">
        <v>61</v>
      </c>
      <c r="O7" s="14">
        <v>58.25</v>
      </c>
      <c r="P7" s="30">
        <v>2.5</v>
      </c>
      <c r="Q7" s="32">
        <v>141.25</v>
      </c>
      <c r="R7" s="32">
        <v>49.25</v>
      </c>
      <c r="S7" s="36">
        <v>66.840803293024635</v>
      </c>
      <c r="U7" s="36"/>
      <c r="V7" s="32"/>
    </row>
    <row r="8" spans="1:22" x14ac:dyDescent="0.25">
      <c r="A8">
        <v>6</v>
      </c>
      <c r="B8" s="4">
        <v>13</v>
      </c>
      <c r="C8">
        <v>1</v>
      </c>
      <c r="D8">
        <v>1</v>
      </c>
      <c r="E8" s="9">
        <v>1.2055</v>
      </c>
      <c r="F8" s="12">
        <v>0.74470000000000003</v>
      </c>
      <c r="G8" s="20">
        <v>1.2087000000000001</v>
      </c>
      <c r="H8" s="15">
        <v>0.94389999999999996</v>
      </c>
      <c r="I8" s="15">
        <v>-0.53710000000000002</v>
      </c>
      <c r="J8" s="16">
        <v>1.1779999999999999</v>
      </c>
      <c r="K8">
        <v>11</v>
      </c>
      <c r="L8">
        <v>6</v>
      </c>
      <c r="M8" s="19">
        <v>5</v>
      </c>
      <c r="N8" s="14">
        <v>51.5</v>
      </c>
      <c r="O8" s="14">
        <v>43.75</v>
      </c>
      <c r="P8" s="30">
        <v>7.75</v>
      </c>
      <c r="Q8" s="32">
        <v>212.5</v>
      </c>
      <c r="R8" s="32">
        <v>107.5</v>
      </c>
      <c r="S8" s="36">
        <v>123.26853558349062</v>
      </c>
      <c r="U8" s="36"/>
      <c r="V8" s="32"/>
    </row>
    <row r="9" spans="1:22" x14ac:dyDescent="0.25">
      <c r="A9">
        <v>7</v>
      </c>
      <c r="B9" s="4">
        <v>14</v>
      </c>
      <c r="C9">
        <v>3</v>
      </c>
      <c r="D9">
        <v>2</v>
      </c>
      <c r="E9" s="9">
        <v>0.68289999999999995</v>
      </c>
      <c r="F9" s="12">
        <v>1.3905000000000001</v>
      </c>
      <c r="G9" s="20">
        <v>0.38700000000000001</v>
      </c>
      <c r="H9" s="15">
        <v>0.55589999999999995</v>
      </c>
      <c r="I9" s="15">
        <v>-0.36109999999999998</v>
      </c>
      <c r="J9" s="16">
        <v>0.46560000000000001</v>
      </c>
      <c r="K9">
        <v>16</v>
      </c>
      <c r="L9">
        <v>7</v>
      </c>
      <c r="M9" s="19">
        <v>8</v>
      </c>
      <c r="N9" s="14">
        <v>122</v>
      </c>
      <c r="O9" s="14">
        <v>89.5</v>
      </c>
      <c r="P9" s="30">
        <v>32</v>
      </c>
      <c r="Q9" s="32">
        <v>265</v>
      </c>
      <c r="R9" s="32">
        <v>157.5</v>
      </c>
      <c r="S9" s="36">
        <v>117.51134688209626</v>
      </c>
      <c r="U9" s="36"/>
      <c r="V9" s="32"/>
    </row>
    <row r="10" spans="1:22" x14ac:dyDescent="0.25">
      <c r="A10">
        <v>8</v>
      </c>
      <c r="B10" s="4">
        <v>17</v>
      </c>
      <c r="C10">
        <v>2</v>
      </c>
      <c r="D10">
        <v>3</v>
      </c>
      <c r="E10" s="9">
        <v>0.69730000000000003</v>
      </c>
      <c r="F10" s="13">
        <v>-0.55110000000000003</v>
      </c>
      <c r="G10" s="20">
        <v>0.61519999999999997</v>
      </c>
      <c r="H10" s="15">
        <v>0.86170000000000002</v>
      </c>
      <c r="I10" s="15">
        <v>-1.1433</v>
      </c>
      <c r="J10" s="16">
        <v>0.6179</v>
      </c>
      <c r="K10">
        <v>12</v>
      </c>
      <c r="L10">
        <v>7</v>
      </c>
      <c r="M10" s="19">
        <v>5</v>
      </c>
      <c r="N10" s="14">
        <v>66</v>
      </c>
      <c r="O10" s="14">
        <v>37</v>
      </c>
      <c r="P10" s="30">
        <v>29</v>
      </c>
      <c r="Q10" s="32">
        <v>160</v>
      </c>
      <c r="R10" s="32">
        <v>82.5</v>
      </c>
      <c r="S10" s="36">
        <v>91.41121565909728</v>
      </c>
      <c r="U10" s="36"/>
      <c r="V10" s="32"/>
    </row>
    <row r="11" spans="1:22" x14ac:dyDescent="0.25">
      <c r="A11">
        <v>9</v>
      </c>
      <c r="B11" s="4">
        <v>18</v>
      </c>
      <c r="C11">
        <v>2</v>
      </c>
      <c r="D11">
        <v>3</v>
      </c>
      <c r="E11" s="9">
        <v>2.2282999999999999</v>
      </c>
      <c r="F11" s="13">
        <v>-0.29680000000000001</v>
      </c>
      <c r="G11" s="20">
        <v>2.4584999999999999</v>
      </c>
      <c r="H11" s="15">
        <v>1.9313</v>
      </c>
      <c r="I11" s="15">
        <v>-0.89739999999999998</v>
      </c>
      <c r="J11" s="16">
        <v>2.4321999999999999</v>
      </c>
      <c r="K11">
        <v>11</v>
      </c>
      <c r="L11">
        <v>8</v>
      </c>
      <c r="M11" s="19">
        <v>2</v>
      </c>
      <c r="N11" s="14">
        <v>36.25</v>
      </c>
      <c r="O11" s="14">
        <v>29.5</v>
      </c>
      <c r="P11" s="30">
        <v>6.25</v>
      </c>
      <c r="Q11" s="32">
        <v>60.25</v>
      </c>
      <c r="R11" s="32">
        <v>82.5</v>
      </c>
      <c r="S11" s="36">
        <v>102.61568511913897</v>
      </c>
      <c r="U11" s="36"/>
      <c r="V11" s="32"/>
    </row>
    <row r="12" spans="1:22" x14ac:dyDescent="0.25">
      <c r="A12">
        <v>10</v>
      </c>
      <c r="B12" s="4">
        <v>19</v>
      </c>
      <c r="C12">
        <v>1</v>
      </c>
      <c r="D12">
        <v>2</v>
      </c>
      <c r="E12" s="9">
        <v>1.6827000000000001</v>
      </c>
      <c r="F12" s="12">
        <v>-0.46400000000000002</v>
      </c>
      <c r="G12" s="20">
        <v>1.7245999999999999</v>
      </c>
      <c r="H12" s="15">
        <v>1.5299</v>
      </c>
      <c r="I12" s="15">
        <v>-0.9546</v>
      </c>
      <c r="J12" s="16">
        <v>1.7664</v>
      </c>
      <c r="K12">
        <v>11</v>
      </c>
      <c r="L12">
        <v>5</v>
      </c>
      <c r="M12" s="19">
        <v>6</v>
      </c>
      <c r="N12" s="14">
        <v>60</v>
      </c>
      <c r="O12" s="14">
        <v>54.5</v>
      </c>
      <c r="P12" s="30">
        <v>5.5</v>
      </c>
      <c r="Q12" s="32">
        <v>204</v>
      </c>
      <c r="R12" s="32">
        <v>122.5</v>
      </c>
      <c r="S12" s="36">
        <v>141.71372465400523</v>
      </c>
      <c r="U12" s="36"/>
      <c r="V12" s="32"/>
    </row>
    <row r="13" spans="1:22" x14ac:dyDescent="0.25">
      <c r="A13">
        <v>11</v>
      </c>
      <c r="B13" s="4">
        <v>20</v>
      </c>
      <c r="C13">
        <v>1</v>
      </c>
      <c r="D13">
        <v>3</v>
      </c>
      <c r="E13" s="9">
        <v>1.5454000000000001</v>
      </c>
      <c r="F13" s="12">
        <v>-0.81240000000000001</v>
      </c>
      <c r="G13" s="20">
        <v>1.6002000000000001</v>
      </c>
      <c r="H13" s="15">
        <v>1.3759999999999999</v>
      </c>
      <c r="I13" s="15">
        <v>-1.0251999999999999</v>
      </c>
      <c r="J13" s="16">
        <v>1.542</v>
      </c>
      <c r="K13">
        <v>12</v>
      </c>
      <c r="L13">
        <v>7</v>
      </c>
      <c r="M13" s="19">
        <v>5</v>
      </c>
      <c r="N13" s="14">
        <v>51.5</v>
      </c>
      <c r="O13" s="14">
        <v>46.25</v>
      </c>
      <c r="P13" s="30">
        <v>5.25</v>
      </c>
      <c r="Q13" s="32">
        <v>232.5</v>
      </c>
      <c r="R13" s="32">
        <v>90</v>
      </c>
      <c r="S13" s="36">
        <v>69.0315823081894</v>
      </c>
      <c r="U13" s="36"/>
      <c r="V13" s="32"/>
    </row>
    <row r="14" spans="1:22" x14ac:dyDescent="0.25">
      <c r="A14">
        <v>12</v>
      </c>
      <c r="B14" s="4">
        <v>21</v>
      </c>
      <c r="C14">
        <v>3</v>
      </c>
      <c r="D14">
        <v>2</v>
      </c>
      <c r="E14" s="9">
        <v>2.3690000000000002</v>
      </c>
      <c r="F14" s="12">
        <v>-0.15110000000000001</v>
      </c>
      <c r="G14" s="20">
        <v>2.3769</v>
      </c>
      <c r="H14" s="15">
        <v>1.6121000000000001</v>
      </c>
      <c r="I14" s="15">
        <v>-0.28270000000000001</v>
      </c>
      <c r="J14" s="17">
        <v>2.3363</v>
      </c>
      <c r="K14">
        <v>8</v>
      </c>
      <c r="L14">
        <v>6</v>
      </c>
      <c r="M14" s="19">
        <v>2</v>
      </c>
      <c r="N14" s="14">
        <v>52.25</v>
      </c>
      <c r="O14" s="14">
        <v>46.5</v>
      </c>
      <c r="P14" s="30">
        <v>5.75</v>
      </c>
      <c r="Q14" s="32">
        <v>192.5</v>
      </c>
      <c r="R14" s="32">
        <v>95.5</v>
      </c>
      <c r="S14" s="36">
        <v>104.25639857533471</v>
      </c>
      <c r="U14" s="36"/>
      <c r="V14" s="32"/>
    </row>
    <row r="15" spans="1:22" x14ac:dyDescent="0.25">
      <c r="A15">
        <v>13</v>
      </c>
      <c r="B15" s="4">
        <v>23</v>
      </c>
      <c r="C15">
        <v>1</v>
      </c>
      <c r="D15">
        <v>1</v>
      </c>
      <c r="E15" s="9">
        <v>1.3150999999999999</v>
      </c>
      <c r="F15" s="12">
        <v>-0.27439999999999998</v>
      </c>
      <c r="G15" s="20">
        <v>1.1556999999999999</v>
      </c>
      <c r="H15" s="15">
        <v>1.2548999999999999</v>
      </c>
      <c r="I15" s="15">
        <v>-1.1805000000000001</v>
      </c>
      <c r="J15" s="17">
        <v>1.0341</v>
      </c>
      <c r="K15">
        <v>11</v>
      </c>
      <c r="L15">
        <v>7</v>
      </c>
      <c r="M15" s="19">
        <v>3</v>
      </c>
      <c r="N15" s="14">
        <v>91.75</v>
      </c>
      <c r="O15" s="14">
        <v>40.25</v>
      </c>
      <c r="P15" s="30">
        <v>11</v>
      </c>
      <c r="Q15" s="32">
        <v>111.25</v>
      </c>
      <c r="R15" s="32">
        <v>41.5</v>
      </c>
      <c r="S15" s="36">
        <v>26.948696156073417</v>
      </c>
      <c r="U15" s="36"/>
      <c r="V15" s="32"/>
    </row>
    <row r="16" spans="1:22" x14ac:dyDescent="0.25">
      <c r="A16">
        <v>14</v>
      </c>
      <c r="B16" s="4">
        <v>31</v>
      </c>
      <c r="C16">
        <v>1</v>
      </c>
      <c r="D16">
        <v>3</v>
      </c>
      <c r="E16" s="9">
        <v>1.0616000000000001</v>
      </c>
      <c r="F16" s="12">
        <v>0.3831</v>
      </c>
      <c r="G16" s="20">
        <v>1.0297000000000001</v>
      </c>
      <c r="H16" s="15">
        <v>1.0585</v>
      </c>
      <c r="I16" s="15">
        <v>-0.98270000000000002</v>
      </c>
      <c r="J16" s="17">
        <v>1.0383</v>
      </c>
      <c r="K16">
        <v>13</v>
      </c>
      <c r="L16">
        <v>9</v>
      </c>
      <c r="M16" s="19">
        <v>4</v>
      </c>
      <c r="N16" s="14">
        <v>55.5</v>
      </c>
      <c r="O16" s="14">
        <v>42.5</v>
      </c>
      <c r="P16" s="30">
        <v>13</v>
      </c>
      <c r="Q16" s="32">
        <v>178.75</v>
      </c>
      <c r="R16" s="32">
        <v>103.75</v>
      </c>
      <c r="S16" s="36">
        <v>80.833574255615503</v>
      </c>
      <c r="U16" s="36"/>
      <c r="V16" s="32"/>
    </row>
    <row r="17" spans="1:22" x14ac:dyDescent="0.25">
      <c r="A17">
        <v>15</v>
      </c>
      <c r="B17" s="4">
        <v>34</v>
      </c>
      <c r="C17">
        <v>1</v>
      </c>
      <c r="D17">
        <v>2</v>
      </c>
      <c r="E17" s="9">
        <v>0.81610000000000005</v>
      </c>
      <c r="F17" s="12">
        <v>-0.6804</v>
      </c>
      <c r="G17" s="20">
        <v>0.64580000000000004</v>
      </c>
      <c r="H17" s="15">
        <v>1.0296000000000001</v>
      </c>
      <c r="I17" s="15">
        <v>-1.2625</v>
      </c>
      <c r="J17" s="17">
        <v>0.6885</v>
      </c>
      <c r="K17">
        <v>16</v>
      </c>
      <c r="L17">
        <v>8</v>
      </c>
      <c r="M17" s="19">
        <v>6</v>
      </c>
      <c r="N17" s="14">
        <v>50</v>
      </c>
      <c r="O17" s="14">
        <v>32.5</v>
      </c>
      <c r="P17" s="30">
        <v>16.75</v>
      </c>
      <c r="Q17" s="32">
        <v>185</v>
      </c>
      <c r="R17" s="32">
        <v>122.5</v>
      </c>
      <c r="S17" s="36">
        <v>70.368842142391415</v>
      </c>
      <c r="U17" s="36"/>
      <c r="V17" s="32"/>
    </row>
    <row r="18" spans="1:22" x14ac:dyDescent="0.25">
      <c r="A18">
        <v>16</v>
      </c>
      <c r="B18" s="4">
        <v>35</v>
      </c>
      <c r="C18">
        <v>3</v>
      </c>
      <c r="D18">
        <v>2</v>
      </c>
      <c r="E18" s="9">
        <v>1.2357</v>
      </c>
      <c r="F18" s="12">
        <v>-1.0374000000000001</v>
      </c>
      <c r="G18" s="20">
        <v>1.399</v>
      </c>
      <c r="H18" s="15">
        <v>1.1412</v>
      </c>
      <c r="I18" s="15">
        <v>-0.81030000000000002</v>
      </c>
      <c r="J18" s="17">
        <v>1.3505</v>
      </c>
      <c r="K18">
        <v>9</v>
      </c>
      <c r="L18">
        <v>3</v>
      </c>
      <c r="M18" s="19">
        <v>5</v>
      </c>
      <c r="N18" s="14">
        <v>18.75</v>
      </c>
      <c r="O18" s="14">
        <v>12</v>
      </c>
      <c r="P18" s="30">
        <v>6.5</v>
      </c>
      <c r="Q18" s="32">
        <v>47.5</v>
      </c>
      <c r="R18" s="32">
        <v>33.75</v>
      </c>
      <c r="S18" s="36">
        <v>55.12580309316742</v>
      </c>
      <c r="U18" s="36"/>
      <c r="V18" s="32"/>
    </row>
    <row r="19" spans="1:22" x14ac:dyDescent="0.25">
      <c r="A19">
        <v>17</v>
      </c>
      <c r="B19" s="4">
        <v>36</v>
      </c>
      <c r="C19">
        <v>2</v>
      </c>
      <c r="D19">
        <v>3</v>
      </c>
      <c r="E19" s="9">
        <v>0.79969999999999997</v>
      </c>
      <c r="F19" s="12">
        <v>-1.2</v>
      </c>
      <c r="G19" s="20">
        <v>0.61270000000000002</v>
      </c>
      <c r="H19" s="15">
        <v>0.98919999999999997</v>
      </c>
      <c r="I19" s="15">
        <v>-1.3632</v>
      </c>
      <c r="J19" s="17">
        <v>0.67810000000000004</v>
      </c>
      <c r="K19">
        <v>12</v>
      </c>
      <c r="L19">
        <v>7</v>
      </c>
      <c r="M19" s="19">
        <v>5</v>
      </c>
      <c r="N19" s="14">
        <v>47</v>
      </c>
      <c r="O19" s="14">
        <v>27.5</v>
      </c>
      <c r="P19" s="30">
        <v>19.5</v>
      </c>
      <c r="Q19" s="32">
        <v>83.75</v>
      </c>
      <c r="R19" s="32">
        <v>98</v>
      </c>
      <c r="S19" s="36">
        <v>57.409034566400315</v>
      </c>
      <c r="U19" s="36"/>
      <c r="V19" s="32"/>
    </row>
    <row r="20" spans="1:22" x14ac:dyDescent="0.25">
      <c r="A20">
        <v>18</v>
      </c>
      <c r="B20" s="4">
        <v>38</v>
      </c>
      <c r="C20">
        <v>3</v>
      </c>
      <c r="D20">
        <v>2</v>
      </c>
      <c r="E20" s="9">
        <v>0.20380000000000001</v>
      </c>
      <c r="F20" s="12">
        <v>-1.0607</v>
      </c>
      <c r="G20" s="20">
        <v>0.11609999999999999</v>
      </c>
      <c r="H20" s="15">
        <v>-1.7600000000000001E-2</v>
      </c>
      <c r="I20" s="12">
        <v>-0.20780000000000001</v>
      </c>
      <c r="J20" s="17">
        <v>0.1502</v>
      </c>
      <c r="K20">
        <v>11</v>
      </c>
      <c r="L20">
        <v>6</v>
      </c>
      <c r="M20" s="19">
        <v>5</v>
      </c>
      <c r="N20" s="14">
        <v>86.75</v>
      </c>
      <c r="O20" s="14">
        <v>36.25</v>
      </c>
      <c r="P20" s="30">
        <v>50.5</v>
      </c>
      <c r="Q20" s="32">
        <v>94.25</v>
      </c>
      <c r="R20" s="32">
        <v>287.5</v>
      </c>
      <c r="S20" s="36">
        <v>101.73563633397788</v>
      </c>
      <c r="U20" s="36"/>
      <c r="V20" s="32"/>
    </row>
    <row r="21" spans="1:22" x14ac:dyDescent="0.25">
      <c r="A21">
        <v>19</v>
      </c>
      <c r="B21" s="4">
        <v>40</v>
      </c>
      <c r="C21">
        <v>2</v>
      </c>
      <c r="D21">
        <v>3</v>
      </c>
      <c r="E21" s="9">
        <v>-0.35260000000000002</v>
      </c>
      <c r="F21" s="12">
        <v>-0.3367</v>
      </c>
      <c r="G21" s="20">
        <v>-0.4662</v>
      </c>
      <c r="H21" s="15">
        <v>-8.7999999999999995E-2</v>
      </c>
      <c r="I21" s="12">
        <v>0.08</v>
      </c>
      <c r="J21" s="17">
        <v>-0.27350000000000002</v>
      </c>
      <c r="K21">
        <v>15</v>
      </c>
      <c r="L21">
        <v>8</v>
      </c>
      <c r="M21" s="19">
        <v>6</v>
      </c>
      <c r="N21" s="14">
        <v>182.75</v>
      </c>
      <c r="O21" s="14">
        <v>34.75</v>
      </c>
      <c r="P21" s="30">
        <v>145</v>
      </c>
      <c r="Q21" s="32">
        <v>68.75</v>
      </c>
      <c r="R21" s="32">
        <v>92.5</v>
      </c>
      <c r="S21" s="36">
        <v>52.595797263998357</v>
      </c>
      <c r="U21" s="36"/>
      <c r="V21" s="32"/>
    </row>
    <row r="22" spans="1:22" x14ac:dyDescent="0.25">
      <c r="A22">
        <v>20</v>
      </c>
      <c r="B22" s="4">
        <v>42</v>
      </c>
      <c r="C22">
        <v>3</v>
      </c>
      <c r="D22">
        <v>1</v>
      </c>
      <c r="E22" s="9">
        <v>6.9599999999999995E-2</v>
      </c>
      <c r="F22" s="13">
        <v>9.6799999999999997E-2</v>
      </c>
      <c r="G22" s="17">
        <v>0.23830000000000001</v>
      </c>
      <c r="H22" s="12">
        <v>-8.6699999999999999E-2</v>
      </c>
      <c r="I22" s="12">
        <v>0.9355</v>
      </c>
      <c r="J22" s="17">
        <v>0.24959999999999999</v>
      </c>
      <c r="K22">
        <v>14</v>
      </c>
      <c r="L22">
        <v>7</v>
      </c>
      <c r="M22" s="19">
        <v>5</v>
      </c>
      <c r="N22" s="14">
        <v>69.25</v>
      </c>
      <c r="O22" s="14">
        <v>20</v>
      </c>
      <c r="P22" s="30">
        <v>42.25</v>
      </c>
      <c r="Q22" s="32">
        <v>34.25</v>
      </c>
      <c r="R22" s="32">
        <v>43.75</v>
      </c>
      <c r="S22" s="36">
        <v>64.381645420574984</v>
      </c>
      <c r="U22" s="36"/>
      <c r="V22" s="32"/>
    </row>
    <row r="23" spans="1:22" x14ac:dyDescent="0.25">
      <c r="A23">
        <v>21</v>
      </c>
      <c r="B23" s="4">
        <v>48</v>
      </c>
      <c r="C23">
        <v>1</v>
      </c>
      <c r="D23">
        <v>1</v>
      </c>
      <c r="E23" s="9">
        <v>-0.47020000000000001</v>
      </c>
      <c r="F23" s="12">
        <v>-0.26600000000000001</v>
      </c>
      <c r="G23" s="20">
        <v>-0.51849999999999996</v>
      </c>
      <c r="H23" s="15">
        <v>0.1447</v>
      </c>
      <c r="I23" s="12">
        <v>-0.59279999999999999</v>
      </c>
      <c r="J23" s="17">
        <v>-0.39939999999999998</v>
      </c>
      <c r="K23">
        <v>15</v>
      </c>
      <c r="L23">
        <v>8</v>
      </c>
      <c r="M23" s="19">
        <v>7</v>
      </c>
      <c r="N23" s="14">
        <v>181</v>
      </c>
      <c r="O23" s="14">
        <v>30</v>
      </c>
      <c r="P23" s="30">
        <v>151</v>
      </c>
      <c r="Q23" s="32">
        <v>135</v>
      </c>
      <c r="R23" s="32">
        <v>67</v>
      </c>
      <c r="S23" s="36">
        <v>65.18719587758936</v>
      </c>
      <c r="U23" s="36"/>
      <c r="V23" s="32"/>
    </row>
    <row r="24" spans="1:22" x14ac:dyDescent="0.25">
      <c r="A24">
        <v>22</v>
      </c>
      <c r="B24" s="4">
        <v>49</v>
      </c>
      <c r="C24">
        <v>2</v>
      </c>
      <c r="D24">
        <v>3</v>
      </c>
      <c r="E24" s="9">
        <v>-2.8000000000000001E-2</v>
      </c>
      <c r="F24" s="12">
        <v>-0.84570000000000001</v>
      </c>
      <c r="G24" s="20">
        <v>-0.16520000000000001</v>
      </c>
      <c r="H24" s="15">
        <v>-0.2303</v>
      </c>
      <c r="I24" s="12">
        <v>0.37240000000000001</v>
      </c>
      <c r="J24" s="17">
        <v>-0.17760000000000001</v>
      </c>
      <c r="K24">
        <v>11</v>
      </c>
      <c r="L24">
        <v>5</v>
      </c>
      <c r="M24" s="19">
        <v>6</v>
      </c>
      <c r="N24" s="14">
        <v>77.75</v>
      </c>
      <c r="O24" s="14">
        <v>29</v>
      </c>
      <c r="P24" s="30">
        <v>48.75</v>
      </c>
      <c r="Q24" s="32">
        <v>86.25</v>
      </c>
      <c r="R24" s="32">
        <v>85</v>
      </c>
      <c r="S24" s="36">
        <v>71.204512240991548</v>
      </c>
      <c r="U24" s="36"/>
      <c r="V24" s="32"/>
    </row>
    <row r="25" spans="1:22" x14ac:dyDescent="0.25">
      <c r="A25">
        <v>23</v>
      </c>
      <c r="B25" s="4">
        <v>50</v>
      </c>
      <c r="C25">
        <v>2</v>
      </c>
      <c r="D25">
        <v>1</v>
      </c>
      <c r="E25" s="9">
        <v>-2.3599999999999999E-2</v>
      </c>
      <c r="F25" s="12">
        <v>1.5578000000000001</v>
      </c>
      <c r="G25" s="20">
        <v>-0.1958</v>
      </c>
      <c r="H25" s="15">
        <v>0.47589999999999999</v>
      </c>
      <c r="I25" s="12">
        <v>-0.68</v>
      </c>
      <c r="J25" s="17">
        <v>-7.2400000000000006E-2</v>
      </c>
      <c r="K25">
        <v>12</v>
      </c>
      <c r="L25">
        <v>6</v>
      </c>
      <c r="M25" s="19">
        <v>6</v>
      </c>
      <c r="N25" s="14">
        <v>104.25</v>
      </c>
      <c r="O25" s="14">
        <v>48.25</v>
      </c>
      <c r="P25" s="30">
        <v>56</v>
      </c>
      <c r="Q25" s="32">
        <v>145</v>
      </c>
      <c r="R25" s="32">
        <v>156.25</v>
      </c>
      <c r="S25" s="36">
        <v>95.585742787780163</v>
      </c>
      <c r="U25" s="36"/>
      <c r="V25" s="32"/>
    </row>
    <row r="26" spans="1:22" x14ac:dyDescent="0.25">
      <c r="A26">
        <v>24</v>
      </c>
      <c r="B26" s="4">
        <v>51</v>
      </c>
      <c r="C26">
        <v>1</v>
      </c>
      <c r="D26">
        <v>3</v>
      </c>
      <c r="E26" s="9">
        <v>0.55249999999999999</v>
      </c>
      <c r="F26" s="12">
        <v>4.0800000000000003E-2</v>
      </c>
      <c r="G26" s="20">
        <v>0.4803</v>
      </c>
      <c r="H26" s="15">
        <v>0.87390000000000001</v>
      </c>
      <c r="I26" s="12">
        <v>-0.65539999999999998</v>
      </c>
      <c r="J26" s="17">
        <v>0.51229999999999998</v>
      </c>
      <c r="K26">
        <v>14</v>
      </c>
      <c r="L26">
        <v>7</v>
      </c>
      <c r="M26" s="19">
        <v>6</v>
      </c>
      <c r="N26" s="14">
        <v>60.25</v>
      </c>
      <c r="O26" s="14">
        <v>27</v>
      </c>
      <c r="P26" s="30">
        <v>24</v>
      </c>
      <c r="Q26" s="32">
        <v>96.25</v>
      </c>
      <c r="R26" s="32">
        <v>34.5</v>
      </c>
      <c r="S26" s="36">
        <v>39.460341911830014</v>
      </c>
      <c r="U26" s="36"/>
      <c r="V26" s="32"/>
    </row>
    <row r="27" spans="1:22" x14ac:dyDescent="0.25">
      <c r="A27">
        <v>25</v>
      </c>
      <c r="B27" s="4">
        <v>52</v>
      </c>
      <c r="C27">
        <v>3</v>
      </c>
      <c r="D27">
        <v>1</v>
      </c>
      <c r="E27" s="9">
        <v>0.57469999999999999</v>
      </c>
      <c r="F27" s="12">
        <v>1.5371999999999999</v>
      </c>
      <c r="G27" s="20">
        <v>0.58509999999999995</v>
      </c>
      <c r="H27" s="15">
        <v>0.7581</v>
      </c>
      <c r="I27" s="12">
        <v>-0.41</v>
      </c>
      <c r="J27" s="17">
        <v>0.55779999999999996</v>
      </c>
      <c r="K27">
        <v>15</v>
      </c>
      <c r="L27">
        <v>9</v>
      </c>
      <c r="M27" s="19">
        <v>5</v>
      </c>
      <c r="N27" s="14">
        <v>59.75</v>
      </c>
      <c r="O27" s="14">
        <v>34.75</v>
      </c>
      <c r="P27" s="30">
        <v>20</v>
      </c>
      <c r="Q27" s="32">
        <v>142.5</v>
      </c>
      <c r="R27" s="32">
        <v>63.25</v>
      </c>
      <c r="S27" s="36">
        <v>62.905820766345066</v>
      </c>
      <c r="U27" s="36"/>
      <c r="V27" s="32"/>
    </row>
    <row r="28" spans="1:22" x14ac:dyDescent="0.25">
      <c r="A28">
        <v>26</v>
      </c>
      <c r="B28" s="4">
        <v>54</v>
      </c>
      <c r="C28">
        <v>1</v>
      </c>
      <c r="D28">
        <v>3</v>
      </c>
      <c r="E28" s="9">
        <v>0.2908</v>
      </c>
      <c r="F28" s="12">
        <v>5.7099999999999998E-2</v>
      </c>
      <c r="G28" s="20">
        <v>0.01</v>
      </c>
      <c r="H28" s="15">
        <v>0.76180000000000003</v>
      </c>
      <c r="I28" s="12">
        <v>-1.1851</v>
      </c>
      <c r="J28" s="17">
        <v>0.15210000000000001</v>
      </c>
      <c r="K28">
        <v>12</v>
      </c>
      <c r="L28">
        <v>6</v>
      </c>
      <c r="M28" s="19">
        <v>6</v>
      </c>
      <c r="N28" s="14">
        <v>69.5</v>
      </c>
      <c r="O28" s="14">
        <v>28.75</v>
      </c>
      <c r="P28" s="30">
        <v>40.75</v>
      </c>
      <c r="Q28" s="32">
        <v>157.5</v>
      </c>
      <c r="R28" s="32">
        <v>101.25</v>
      </c>
      <c r="S28" s="36">
        <v>74.993284161257122</v>
      </c>
      <c r="U28" s="36"/>
      <c r="V28" s="32"/>
    </row>
    <row r="29" spans="1:22" x14ac:dyDescent="0.25">
      <c r="A29">
        <v>27</v>
      </c>
      <c r="B29" s="4">
        <v>56</v>
      </c>
      <c r="C29">
        <v>1</v>
      </c>
      <c r="D29">
        <v>1</v>
      </c>
      <c r="E29" s="9">
        <v>0.18770000000000001</v>
      </c>
      <c r="F29" s="12">
        <v>-0.61029999999999995</v>
      </c>
      <c r="G29" s="20">
        <v>1.49E-2</v>
      </c>
      <c r="H29" s="15">
        <v>0.12720000000000001</v>
      </c>
      <c r="I29" s="12">
        <v>-6.13E-2</v>
      </c>
      <c r="J29" s="17">
        <v>6.8999999999999999E-3</v>
      </c>
      <c r="K29">
        <v>12</v>
      </c>
      <c r="L29">
        <v>5</v>
      </c>
      <c r="M29" s="19">
        <v>6</v>
      </c>
      <c r="N29" s="14">
        <v>63.5</v>
      </c>
      <c r="O29" s="14">
        <v>14</v>
      </c>
      <c r="P29" s="30">
        <v>44.5</v>
      </c>
      <c r="Q29" s="32">
        <v>96.25</v>
      </c>
      <c r="R29" s="32">
        <v>58.25</v>
      </c>
      <c r="S29" s="36">
        <v>68.945304102213228</v>
      </c>
      <c r="U29" s="36"/>
      <c r="V29" s="32"/>
    </row>
    <row r="30" spans="1:22" x14ac:dyDescent="0.25">
      <c r="A30">
        <v>28</v>
      </c>
      <c r="B30" s="4">
        <v>57</v>
      </c>
      <c r="C30">
        <v>1</v>
      </c>
      <c r="D30">
        <v>1</v>
      </c>
      <c r="E30" s="9">
        <v>0.58460000000000001</v>
      </c>
      <c r="F30" s="12">
        <v>-1.0854999999999999</v>
      </c>
      <c r="G30" s="20">
        <v>0.47510000000000002</v>
      </c>
      <c r="H30" s="15">
        <v>0.87939999999999996</v>
      </c>
      <c r="I30" s="12">
        <v>-1.1881999999999999</v>
      </c>
      <c r="J30" s="17">
        <v>0.52210000000000001</v>
      </c>
      <c r="K30">
        <v>12</v>
      </c>
      <c r="L30">
        <v>5</v>
      </c>
      <c r="M30" s="19">
        <v>6</v>
      </c>
      <c r="N30" s="14">
        <v>44.542500000000004</v>
      </c>
      <c r="O30" s="14">
        <v>21.7925</v>
      </c>
      <c r="P30" s="30">
        <v>22.5</v>
      </c>
      <c r="Q30" s="32">
        <v>115</v>
      </c>
      <c r="R30" s="32">
        <v>82</v>
      </c>
      <c r="S30" s="36">
        <v>86.315943536333464</v>
      </c>
      <c r="U30" s="36"/>
      <c r="V30" s="32"/>
    </row>
    <row r="31" spans="1:22" x14ac:dyDescent="0.25">
      <c r="A31">
        <v>29</v>
      </c>
      <c r="B31" s="4">
        <v>59</v>
      </c>
      <c r="C31">
        <v>3</v>
      </c>
      <c r="D31">
        <v>3</v>
      </c>
      <c r="E31" s="9">
        <v>0.61480000000000001</v>
      </c>
      <c r="F31" s="12">
        <v>-0.9476</v>
      </c>
      <c r="G31" s="20">
        <v>0.48</v>
      </c>
      <c r="H31" s="15">
        <v>0.98750000000000004</v>
      </c>
      <c r="I31" s="12">
        <v>-1.1408</v>
      </c>
      <c r="J31" s="17">
        <v>0.59330000000000005</v>
      </c>
      <c r="K31">
        <v>12</v>
      </c>
      <c r="L31">
        <v>6</v>
      </c>
      <c r="M31" s="19">
        <v>6</v>
      </c>
      <c r="N31" s="14">
        <v>61.5</v>
      </c>
      <c r="O31" s="14">
        <v>38</v>
      </c>
      <c r="P31" s="30">
        <v>23.5</v>
      </c>
      <c r="Q31" s="32">
        <v>145</v>
      </c>
      <c r="R31" s="32">
        <v>91.25</v>
      </c>
      <c r="S31" s="36">
        <v>67.876432888772555</v>
      </c>
      <c r="U31" s="36"/>
      <c r="V31" s="32"/>
    </row>
    <row r="32" spans="1:22" x14ac:dyDescent="0.25">
      <c r="A32">
        <v>30</v>
      </c>
      <c r="B32" s="4">
        <v>62</v>
      </c>
      <c r="C32">
        <v>2</v>
      </c>
      <c r="D32">
        <v>1</v>
      </c>
      <c r="E32" s="9">
        <v>-6.2199999999999998E-2</v>
      </c>
      <c r="F32" s="12">
        <v>0.34870000000000001</v>
      </c>
      <c r="G32" s="20">
        <v>-0.36720000000000003</v>
      </c>
      <c r="H32" s="15">
        <v>0.41899999999999998</v>
      </c>
      <c r="I32" s="12">
        <v>-1.1966000000000001</v>
      </c>
      <c r="J32" s="17">
        <v>-0.35680000000000001</v>
      </c>
      <c r="K32">
        <v>16</v>
      </c>
      <c r="L32">
        <v>8</v>
      </c>
      <c r="M32" s="19">
        <v>7</v>
      </c>
      <c r="N32" s="14">
        <v>108</v>
      </c>
      <c r="O32" s="14">
        <v>26.75</v>
      </c>
      <c r="P32" s="30">
        <v>77.5</v>
      </c>
      <c r="Q32" s="32">
        <v>127.5</v>
      </c>
      <c r="R32" s="32">
        <v>121.5</v>
      </c>
      <c r="S32" s="36">
        <v>93.291103008710721</v>
      </c>
      <c r="U32" s="36"/>
      <c r="V32" s="32"/>
    </row>
    <row r="33" spans="1:22" x14ac:dyDescent="0.25">
      <c r="A33">
        <v>31</v>
      </c>
      <c r="B33" s="4">
        <v>63</v>
      </c>
      <c r="C33">
        <v>1</v>
      </c>
      <c r="D33">
        <v>2</v>
      </c>
      <c r="E33" s="9">
        <v>0.26700000000000002</v>
      </c>
      <c r="F33" s="12">
        <v>-0.46739999999999998</v>
      </c>
      <c r="G33" s="20">
        <v>0.54049999999999998</v>
      </c>
      <c r="H33" s="15">
        <v>-4.1300000000000003E-2</v>
      </c>
      <c r="I33" s="12">
        <v>1.1906000000000001</v>
      </c>
      <c r="J33" s="17">
        <v>0.59440000000000004</v>
      </c>
      <c r="K33">
        <v>11</v>
      </c>
      <c r="L33">
        <v>5</v>
      </c>
      <c r="M33" s="19">
        <v>5</v>
      </c>
      <c r="N33" s="14">
        <v>42.25</v>
      </c>
      <c r="O33" s="14">
        <v>22.25</v>
      </c>
      <c r="P33" s="30">
        <v>19.75</v>
      </c>
      <c r="Q33" s="32">
        <v>41</v>
      </c>
      <c r="R33" s="32">
        <v>54</v>
      </c>
      <c r="S33" s="36">
        <v>78.836045305246628</v>
      </c>
      <c r="U33" s="36"/>
      <c r="V33" s="32"/>
    </row>
    <row r="34" spans="1:22" x14ac:dyDescent="0.25">
      <c r="A34">
        <v>32</v>
      </c>
      <c r="B34" s="4">
        <v>65</v>
      </c>
      <c r="C34">
        <v>2</v>
      </c>
      <c r="D34">
        <v>1</v>
      </c>
      <c r="E34" s="9">
        <v>-0.4985</v>
      </c>
      <c r="F34" s="12">
        <v>-0.95679999999999998</v>
      </c>
      <c r="G34" s="20">
        <v>-0.67689999999999995</v>
      </c>
      <c r="H34" s="15">
        <v>0.1447</v>
      </c>
      <c r="I34" s="12">
        <v>-0.95699999999999996</v>
      </c>
      <c r="J34" s="17">
        <v>-0.62319999999999998</v>
      </c>
      <c r="K34">
        <v>13</v>
      </c>
      <c r="L34">
        <v>6</v>
      </c>
      <c r="M34" s="19">
        <v>6</v>
      </c>
      <c r="N34" s="14">
        <v>160.33333333333331</v>
      </c>
      <c r="O34" s="14">
        <v>16.833333333333332</v>
      </c>
      <c r="P34" s="30">
        <v>141.16666666666666</v>
      </c>
      <c r="Q34" s="32">
        <v>76.25</v>
      </c>
      <c r="R34" s="32">
        <v>117.33333333333333</v>
      </c>
      <c r="S34" s="36">
        <v>93.548396147214078</v>
      </c>
      <c r="U34" s="36"/>
      <c r="V34" s="32"/>
    </row>
    <row r="35" spans="1:22" x14ac:dyDescent="0.25">
      <c r="A35">
        <v>33</v>
      </c>
      <c r="B35" s="4">
        <v>67</v>
      </c>
      <c r="C35">
        <v>3</v>
      </c>
      <c r="D35">
        <v>2</v>
      </c>
      <c r="E35" s="9">
        <v>1.2024999999999999</v>
      </c>
      <c r="F35" s="12">
        <v>-1.1162000000000001</v>
      </c>
      <c r="G35" s="20">
        <v>1.3053999999999999</v>
      </c>
      <c r="H35" s="15">
        <v>1.1472</v>
      </c>
      <c r="I35" s="12">
        <v>-0.86380000000000001</v>
      </c>
      <c r="J35" s="17">
        <v>1.3269</v>
      </c>
      <c r="K35">
        <v>8</v>
      </c>
      <c r="L35">
        <v>3</v>
      </c>
      <c r="M35" s="19">
        <v>4</v>
      </c>
      <c r="N35" s="14">
        <v>13.5</v>
      </c>
      <c r="O35" s="14">
        <v>5</v>
      </c>
      <c r="P35" s="30">
        <v>8</v>
      </c>
      <c r="Q35" s="32">
        <v>25.5</v>
      </c>
      <c r="R35" s="32">
        <v>4.5</v>
      </c>
      <c r="S35" s="36">
        <v>7.1414284285428504</v>
      </c>
      <c r="U35" s="36"/>
      <c r="V35" s="32"/>
    </row>
    <row r="36" spans="1:22" x14ac:dyDescent="0.25">
      <c r="A36">
        <v>34</v>
      </c>
      <c r="B36" s="4">
        <v>68</v>
      </c>
      <c r="C36">
        <v>3</v>
      </c>
      <c r="D36">
        <v>1</v>
      </c>
      <c r="E36" s="9">
        <v>0.38240000000000002</v>
      </c>
      <c r="F36" s="12">
        <v>1.343</v>
      </c>
      <c r="G36" s="20">
        <v>-3.9699999999999999E-2</v>
      </c>
      <c r="H36" s="15">
        <v>0.92810000000000004</v>
      </c>
      <c r="I36" s="12">
        <v>-1.2096</v>
      </c>
      <c r="J36" s="17">
        <v>0.15079999999999999</v>
      </c>
      <c r="K36">
        <v>13</v>
      </c>
      <c r="L36">
        <v>5</v>
      </c>
      <c r="M36" s="19">
        <v>7</v>
      </c>
      <c r="N36" s="14">
        <v>143</v>
      </c>
      <c r="O36" s="14">
        <v>69.5</v>
      </c>
      <c r="P36" s="30">
        <v>51.5</v>
      </c>
      <c r="Q36" s="32">
        <v>60</v>
      </c>
      <c r="R36" s="32">
        <v>60</v>
      </c>
      <c r="S36" s="36">
        <v>55.291215720570783</v>
      </c>
      <c r="U36" s="36"/>
      <c r="V36" s="32"/>
    </row>
    <row r="37" spans="1:22" x14ac:dyDescent="0.25">
      <c r="A37">
        <v>35</v>
      </c>
      <c r="B37" s="4">
        <v>69</v>
      </c>
      <c r="C37">
        <v>2</v>
      </c>
      <c r="D37">
        <v>2</v>
      </c>
      <c r="E37" s="9">
        <v>-0.32940000000000003</v>
      </c>
      <c r="F37" s="12">
        <v>6.0600000000000001E-2</v>
      </c>
      <c r="G37" s="20">
        <v>-0.38100000000000001</v>
      </c>
      <c r="H37" s="15">
        <v>-0.29330000000000001</v>
      </c>
      <c r="I37" s="12">
        <v>0.87190000000000001</v>
      </c>
      <c r="J37" s="17">
        <v>-0.21079999999999999</v>
      </c>
      <c r="K37">
        <v>16</v>
      </c>
      <c r="L37">
        <v>8</v>
      </c>
      <c r="M37" s="19">
        <v>6</v>
      </c>
      <c r="N37" s="14">
        <v>119.5</v>
      </c>
      <c r="O37" s="14">
        <v>21.25</v>
      </c>
      <c r="P37" s="30">
        <v>82.25</v>
      </c>
      <c r="Q37" s="32">
        <v>82.5</v>
      </c>
      <c r="R37" s="32">
        <v>64.25</v>
      </c>
      <c r="S37" s="36">
        <v>76.196583307448279</v>
      </c>
      <c r="U37" s="36"/>
      <c r="V37" s="32"/>
    </row>
    <row r="38" spans="1:22" x14ac:dyDescent="0.25">
      <c r="A38">
        <v>36</v>
      </c>
      <c r="B38" s="4">
        <v>78</v>
      </c>
      <c r="C38">
        <v>1</v>
      </c>
      <c r="D38">
        <v>2</v>
      </c>
      <c r="E38" s="9">
        <v>-0.61660000000000004</v>
      </c>
      <c r="F38" s="12">
        <v>-1.0645</v>
      </c>
      <c r="G38" s="20">
        <v>-0.84160000000000001</v>
      </c>
      <c r="H38" s="15">
        <v>3.04E-2</v>
      </c>
      <c r="I38" s="12">
        <v>-1.0452999999999999</v>
      </c>
      <c r="J38" s="17">
        <v>-0.74519999999999997</v>
      </c>
      <c r="K38">
        <v>10</v>
      </c>
      <c r="L38">
        <v>4</v>
      </c>
      <c r="M38" s="19">
        <v>6</v>
      </c>
      <c r="N38" s="14">
        <v>384.5</v>
      </c>
      <c r="O38" s="14">
        <v>19</v>
      </c>
      <c r="P38" s="30">
        <v>365.5</v>
      </c>
      <c r="Q38" s="32">
        <v>140</v>
      </c>
      <c r="R38" s="32">
        <v>127.5</v>
      </c>
      <c r="S38" s="36">
        <v>104.60911841107909</v>
      </c>
      <c r="U38" s="36"/>
      <c r="V38" s="32"/>
    </row>
    <row r="39" spans="1:22" x14ac:dyDescent="0.25">
      <c r="A39">
        <v>37</v>
      </c>
      <c r="B39" s="4">
        <v>82</v>
      </c>
      <c r="C39">
        <v>2</v>
      </c>
      <c r="D39">
        <v>3</v>
      </c>
      <c r="E39" s="9">
        <v>-5.0700000000000002E-2</v>
      </c>
      <c r="F39" s="13">
        <v>0.48180000000000001</v>
      </c>
      <c r="G39" s="17">
        <v>-0.40860000000000002</v>
      </c>
      <c r="H39" s="12">
        <v>0.1464</v>
      </c>
      <c r="I39" s="12">
        <v>-0.65690000000000004</v>
      </c>
      <c r="J39" s="17">
        <v>-0.32690000000000002</v>
      </c>
      <c r="K39">
        <v>16</v>
      </c>
      <c r="L39">
        <v>8</v>
      </c>
      <c r="M39" s="19">
        <v>7</v>
      </c>
      <c r="N39" s="14">
        <v>126.5</v>
      </c>
      <c r="O39" s="14">
        <v>33.5</v>
      </c>
      <c r="P39" s="30">
        <v>92.75</v>
      </c>
      <c r="Q39" s="32">
        <v>180</v>
      </c>
      <c r="R39" s="32">
        <v>140</v>
      </c>
      <c r="S39" s="36">
        <v>78.516926498453557</v>
      </c>
      <c r="U39" s="36"/>
      <c r="V39" s="32"/>
    </row>
    <row r="40" spans="1:22" x14ac:dyDescent="0.25">
      <c r="A40">
        <v>38</v>
      </c>
      <c r="B40" s="4">
        <v>86</v>
      </c>
      <c r="C40">
        <v>2</v>
      </c>
      <c r="D40">
        <v>2</v>
      </c>
      <c r="E40" s="9">
        <v>-0.77400000000000002</v>
      </c>
      <c r="F40" s="12">
        <v>-0.1988</v>
      </c>
      <c r="G40" s="20">
        <v>-1.0780000000000001</v>
      </c>
      <c r="H40" s="15">
        <v>-0.45500000000000002</v>
      </c>
      <c r="I40" s="12">
        <v>2.1999999999999999E-2</v>
      </c>
      <c r="J40" s="17">
        <v>-0.98719999999999997</v>
      </c>
      <c r="K40">
        <v>14</v>
      </c>
      <c r="L40">
        <v>7</v>
      </c>
      <c r="M40" s="19">
        <v>6</v>
      </c>
      <c r="N40" s="14">
        <v>426.25</v>
      </c>
      <c r="O40" s="14">
        <v>12.75</v>
      </c>
      <c r="P40" s="30">
        <v>408</v>
      </c>
      <c r="Q40" s="32">
        <v>65</v>
      </c>
      <c r="R40" s="32">
        <v>112.5</v>
      </c>
      <c r="S40" s="36">
        <v>68.301616060724299</v>
      </c>
      <c r="U40" s="36"/>
      <c r="V40" s="32"/>
    </row>
    <row r="41" spans="1:22" x14ac:dyDescent="0.25">
      <c r="A41">
        <v>39</v>
      </c>
      <c r="B41" s="4">
        <v>87</v>
      </c>
      <c r="C41">
        <v>1</v>
      </c>
      <c r="D41">
        <v>1</v>
      </c>
      <c r="E41" s="9">
        <v>-0.3967</v>
      </c>
      <c r="F41" s="12">
        <v>0.755</v>
      </c>
      <c r="G41" s="20">
        <v>-0.6663</v>
      </c>
      <c r="H41" s="15">
        <v>0.27650000000000002</v>
      </c>
      <c r="I41" s="12">
        <v>-0.94189999999999996</v>
      </c>
      <c r="J41" s="17">
        <v>-0.55430000000000001</v>
      </c>
      <c r="K41">
        <v>13</v>
      </c>
      <c r="L41">
        <v>8</v>
      </c>
      <c r="M41" s="19">
        <v>5</v>
      </c>
      <c r="N41" s="14">
        <v>198.25</v>
      </c>
      <c r="O41" s="14">
        <v>31</v>
      </c>
      <c r="P41" s="30">
        <v>167.25</v>
      </c>
      <c r="Q41" s="32">
        <v>190</v>
      </c>
      <c r="R41" s="32">
        <v>90.75</v>
      </c>
      <c r="S41" s="36">
        <v>90.372816959567643</v>
      </c>
      <c r="U41" s="36"/>
      <c r="V41" s="32"/>
    </row>
    <row r="42" spans="1:22" x14ac:dyDescent="0.25">
      <c r="A42">
        <v>40</v>
      </c>
      <c r="B42" s="4">
        <v>88</v>
      </c>
      <c r="C42">
        <v>3</v>
      </c>
      <c r="D42">
        <v>3</v>
      </c>
      <c r="E42" s="9">
        <v>-0.68069999999999997</v>
      </c>
      <c r="F42" s="12">
        <v>-1.0065999999999999</v>
      </c>
      <c r="G42" s="20">
        <v>-0.9496</v>
      </c>
      <c r="H42" s="15">
        <v>-0.47899999999999998</v>
      </c>
      <c r="I42" s="12">
        <v>-7.0900000000000005E-2</v>
      </c>
      <c r="J42" s="17">
        <v>-0.82589999999999997</v>
      </c>
      <c r="K42">
        <v>11</v>
      </c>
      <c r="L42">
        <v>4</v>
      </c>
      <c r="M42" s="19">
        <v>6</v>
      </c>
      <c r="N42" s="14">
        <v>338.5</v>
      </c>
      <c r="O42" s="14">
        <v>29.75</v>
      </c>
      <c r="P42" s="30">
        <v>308.5</v>
      </c>
      <c r="Q42" s="32">
        <v>235</v>
      </c>
      <c r="R42" s="32">
        <v>132.5</v>
      </c>
      <c r="S42" s="36">
        <v>100.00523243073509</v>
      </c>
      <c r="U42" s="36"/>
      <c r="V42" s="32"/>
    </row>
    <row r="43" spans="1:22" x14ac:dyDescent="0.25">
      <c r="A43">
        <v>41</v>
      </c>
      <c r="B43" s="4">
        <v>90</v>
      </c>
      <c r="C43">
        <v>2</v>
      </c>
      <c r="D43">
        <v>2</v>
      </c>
      <c r="E43" s="9">
        <v>-0.99590000000000001</v>
      </c>
      <c r="F43" s="12">
        <v>-0.92379999999999995</v>
      </c>
      <c r="G43" s="20">
        <v>-1.1841999999999999</v>
      </c>
      <c r="H43" s="15">
        <v>-0.73740000000000006</v>
      </c>
      <c r="I43" s="12">
        <v>0.2732</v>
      </c>
      <c r="J43" s="17">
        <v>-1.1013999999999999</v>
      </c>
      <c r="K43">
        <v>14</v>
      </c>
      <c r="L43">
        <v>7</v>
      </c>
      <c r="M43" s="19">
        <v>5</v>
      </c>
      <c r="N43" s="14">
        <v>621.75</v>
      </c>
      <c r="O43" s="14">
        <v>19.5</v>
      </c>
      <c r="P43" s="30">
        <v>601.75</v>
      </c>
      <c r="Q43" s="32">
        <v>90</v>
      </c>
      <c r="R43" s="32">
        <v>80</v>
      </c>
      <c r="S43" s="36">
        <v>72.81870583212887</v>
      </c>
      <c r="U43" s="36"/>
      <c r="V43" s="32"/>
    </row>
    <row r="44" spans="1:22" x14ac:dyDescent="0.25">
      <c r="A44">
        <v>42</v>
      </c>
      <c r="B44" s="4">
        <v>91</v>
      </c>
      <c r="C44">
        <v>3</v>
      </c>
      <c r="D44">
        <v>3</v>
      </c>
      <c r="E44" s="9">
        <v>-1.2601</v>
      </c>
      <c r="F44" s="12">
        <v>0.82899999999999996</v>
      </c>
      <c r="G44" s="20">
        <v>-0.84250000000000003</v>
      </c>
      <c r="H44" s="15">
        <v>-1.5226999999999999</v>
      </c>
      <c r="I44" s="12">
        <v>2.0541999999999998</v>
      </c>
      <c r="J44" s="17">
        <v>-0.88060000000000005</v>
      </c>
      <c r="K44">
        <v>15</v>
      </c>
      <c r="L44">
        <v>8</v>
      </c>
      <c r="M44" s="19">
        <v>7</v>
      </c>
      <c r="N44" s="14">
        <v>418.25</v>
      </c>
      <c r="O44" s="14">
        <v>63.5</v>
      </c>
      <c r="P44" s="30">
        <v>354.75</v>
      </c>
      <c r="Q44" s="32">
        <v>66.25</v>
      </c>
      <c r="R44" s="32">
        <v>100</v>
      </c>
      <c r="S44" s="36">
        <v>79.25527558629652</v>
      </c>
      <c r="U44" s="36"/>
      <c r="V44" s="32"/>
    </row>
    <row r="45" spans="1:22" x14ac:dyDescent="0.25">
      <c r="A45">
        <v>43</v>
      </c>
      <c r="B45" s="4">
        <v>94</v>
      </c>
      <c r="C45">
        <v>3</v>
      </c>
      <c r="D45">
        <v>3</v>
      </c>
      <c r="E45" s="9">
        <v>-0.18640000000000001</v>
      </c>
      <c r="F45" s="12">
        <v>0.4718</v>
      </c>
      <c r="G45" s="20">
        <v>-0.47749999999999998</v>
      </c>
      <c r="H45" s="15">
        <v>0.2422</v>
      </c>
      <c r="I45" s="12">
        <v>-1.1157999999999999</v>
      </c>
      <c r="J45" s="17">
        <v>-0.47649999999999998</v>
      </c>
      <c r="K45">
        <v>15</v>
      </c>
      <c r="L45">
        <v>7</v>
      </c>
      <c r="M45" s="19">
        <v>7</v>
      </c>
      <c r="N45" s="14">
        <v>117.5</v>
      </c>
      <c r="O45" s="14">
        <v>23.5</v>
      </c>
      <c r="P45" s="30">
        <v>93.75</v>
      </c>
      <c r="Q45" s="32">
        <v>185</v>
      </c>
      <c r="R45" s="32">
        <v>123.75</v>
      </c>
      <c r="S45" s="36">
        <v>88.551450922418553</v>
      </c>
      <c r="U45" s="36"/>
      <c r="V45" s="32"/>
    </row>
    <row r="46" spans="1:22" x14ac:dyDescent="0.25">
      <c r="A46">
        <v>44</v>
      </c>
      <c r="B46" s="4">
        <v>96</v>
      </c>
      <c r="C46">
        <v>2</v>
      </c>
      <c r="D46">
        <v>2</v>
      </c>
      <c r="E46" s="9">
        <v>-0.57599999999999996</v>
      </c>
      <c r="F46" s="13">
        <v>0.27839999999999998</v>
      </c>
      <c r="G46" s="17">
        <v>-0.68779999999999997</v>
      </c>
      <c r="H46" s="12">
        <v>-0.68540000000000001</v>
      </c>
      <c r="I46" s="12">
        <v>0.68689999999999996</v>
      </c>
      <c r="J46" s="17">
        <v>-0.65590000000000004</v>
      </c>
      <c r="K46">
        <v>11</v>
      </c>
      <c r="L46">
        <v>5</v>
      </c>
      <c r="M46" s="19">
        <v>6</v>
      </c>
      <c r="N46" s="14">
        <v>179.66666666666663</v>
      </c>
      <c r="O46" s="14">
        <v>20.666666666666671</v>
      </c>
      <c r="P46" s="30">
        <v>158.99999999999997</v>
      </c>
      <c r="Q46" s="32">
        <v>52</v>
      </c>
      <c r="R46" s="32">
        <v>35.666666666666664</v>
      </c>
      <c r="S46" s="36">
        <v>31.003244674312111</v>
      </c>
      <c r="U46" s="36"/>
      <c r="V46" s="32"/>
    </row>
    <row r="47" spans="1:22" x14ac:dyDescent="0.25">
      <c r="A47">
        <v>45</v>
      </c>
      <c r="B47" s="4">
        <v>98</v>
      </c>
      <c r="C47">
        <v>2</v>
      </c>
      <c r="D47">
        <v>3</v>
      </c>
      <c r="E47" s="9">
        <v>-0.75109999999999999</v>
      </c>
      <c r="F47" s="12">
        <v>-0.58630000000000004</v>
      </c>
      <c r="G47" s="20">
        <v>-0.68969999999999998</v>
      </c>
      <c r="H47" s="15">
        <v>-0.18640000000000001</v>
      </c>
      <c r="I47" s="12">
        <v>-0.46189999999999998</v>
      </c>
      <c r="J47" s="17">
        <v>-0.628</v>
      </c>
      <c r="K47">
        <v>13</v>
      </c>
      <c r="L47">
        <v>7</v>
      </c>
      <c r="M47" s="19">
        <v>6</v>
      </c>
      <c r="N47" s="14">
        <v>188</v>
      </c>
      <c r="O47" s="14">
        <v>7</v>
      </c>
      <c r="P47" s="30">
        <v>181</v>
      </c>
      <c r="Q47" s="32">
        <v>60</v>
      </c>
      <c r="R47" s="32">
        <v>85</v>
      </c>
      <c r="S47" s="36">
        <v>62.485461408258885</v>
      </c>
      <c r="U47" s="36"/>
      <c r="V47" s="32"/>
    </row>
    <row r="48" spans="1:22" x14ac:dyDescent="0.25">
      <c r="A48">
        <v>46</v>
      </c>
      <c r="B48" s="4">
        <v>99</v>
      </c>
      <c r="C48">
        <v>2</v>
      </c>
      <c r="D48">
        <v>1</v>
      </c>
      <c r="E48" s="9">
        <v>-1.0644</v>
      </c>
      <c r="F48" s="12">
        <v>-0.87239999999999995</v>
      </c>
      <c r="G48" s="20">
        <v>-1.1336999999999999</v>
      </c>
      <c r="H48" s="15">
        <v>-0.73780000000000001</v>
      </c>
      <c r="I48" s="12">
        <v>0.29039999999999999</v>
      </c>
      <c r="J48" s="17">
        <v>-1.0273000000000001</v>
      </c>
      <c r="K48">
        <v>17</v>
      </c>
      <c r="L48">
        <v>10</v>
      </c>
      <c r="M48" s="19">
        <v>7</v>
      </c>
      <c r="N48" s="14">
        <v>344</v>
      </c>
      <c r="O48" s="14">
        <v>12</v>
      </c>
      <c r="P48" s="30">
        <v>332</v>
      </c>
      <c r="Q48" s="32">
        <v>66</v>
      </c>
      <c r="R48" s="32">
        <v>118.75</v>
      </c>
      <c r="S48" s="36">
        <v>107.70543125175818</v>
      </c>
      <c r="U48" s="36"/>
      <c r="V48" s="32"/>
    </row>
    <row r="49" spans="1:22" x14ac:dyDescent="0.25">
      <c r="A49">
        <v>47</v>
      </c>
      <c r="B49" s="4">
        <v>100</v>
      </c>
      <c r="C49">
        <v>3</v>
      </c>
      <c r="D49">
        <v>3</v>
      </c>
      <c r="E49" s="9">
        <v>-8.8599999999999998E-2</v>
      </c>
      <c r="F49" s="12">
        <v>0.53400000000000003</v>
      </c>
      <c r="G49" s="20">
        <v>-0.47989999999999999</v>
      </c>
      <c r="H49" s="15">
        <v>0.29759999999999998</v>
      </c>
      <c r="I49" s="12">
        <v>-1.1591</v>
      </c>
      <c r="J49" s="17">
        <v>-0.49049999999999999</v>
      </c>
      <c r="K49">
        <v>15</v>
      </c>
      <c r="L49">
        <v>7</v>
      </c>
      <c r="M49" s="19">
        <v>7</v>
      </c>
      <c r="N49" s="14">
        <v>169</v>
      </c>
      <c r="O49" s="14">
        <v>19</v>
      </c>
      <c r="P49" s="30">
        <v>136.5</v>
      </c>
      <c r="Q49" s="32">
        <v>115</v>
      </c>
      <c r="R49" s="32">
        <v>102.75</v>
      </c>
      <c r="S49" s="36">
        <v>124.32752152171166</v>
      </c>
      <c r="U49" s="36"/>
      <c r="V49" s="32"/>
    </row>
    <row r="50" spans="1:22" x14ac:dyDescent="0.25">
      <c r="A50">
        <v>48</v>
      </c>
      <c r="B50" s="4">
        <v>104</v>
      </c>
      <c r="C50">
        <v>1</v>
      </c>
      <c r="D50">
        <v>2</v>
      </c>
      <c r="E50" s="9">
        <v>-0.8327</v>
      </c>
      <c r="F50" s="12">
        <v>0.17460000000000001</v>
      </c>
      <c r="G50" s="20">
        <v>-0.72340000000000004</v>
      </c>
      <c r="H50" s="15">
        <v>-1.2158</v>
      </c>
      <c r="I50" s="15">
        <v>1.0744</v>
      </c>
      <c r="J50" s="16">
        <v>-0.83260000000000001</v>
      </c>
      <c r="K50">
        <v>13</v>
      </c>
      <c r="L50">
        <v>6</v>
      </c>
      <c r="M50" s="19">
        <v>6</v>
      </c>
      <c r="N50" s="14">
        <v>508.25</v>
      </c>
      <c r="O50" s="14">
        <v>26.25</v>
      </c>
      <c r="P50" s="30">
        <v>481.75</v>
      </c>
      <c r="Q50" s="32">
        <v>62.5</v>
      </c>
      <c r="R50" s="32">
        <v>70</v>
      </c>
      <c r="S50" s="36">
        <v>52.997005422959482</v>
      </c>
      <c r="U50" s="36"/>
      <c r="V50" s="32"/>
    </row>
    <row r="51" spans="1:22" x14ac:dyDescent="0.25">
      <c r="A51">
        <v>49</v>
      </c>
      <c r="B51" s="4">
        <v>113</v>
      </c>
      <c r="C51">
        <v>1</v>
      </c>
      <c r="D51">
        <v>2</v>
      </c>
      <c r="E51" s="9">
        <v>-0.59809999999999997</v>
      </c>
      <c r="F51" s="12">
        <v>1.9684999999999999</v>
      </c>
      <c r="G51" s="20">
        <v>-0.51029999999999998</v>
      </c>
      <c r="H51" s="15">
        <v>-0.82189999999999996</v>
      </c>
      <c r="I51" s="15">
        <v>1.1263000000000001</v>
      </c>
      <c r="J51" s="16">
        <v>-0.53449999999999998</v>
      </c>
      <c r="K51">
        <v>13</v>
      </c>
      <c r="L51">
        <v>6</v>
      </c>
      <c r="M51" s="19">
        <v>6</v>
      </c>
      <c r="N51" s="14">
        <v>191.75</v>
      </c>
      <c r="O51" s="14">
        <v>51</v>
      </c>
      <c r="P51" s="30">
        <v>140.5</v>
      </c>
      <c r="Q51" s="32">
        <v>75</v>
      </c>
      <c r="R51" s="32">
        <v>66.25</v>
      </c>
      <c r="S51" s="36">
        <v>79.047361799056901</v>
      </c>
      <c r="U51" s="36"/>
      <c r="V51" s="32"/>
    </row>
    <row r="52" spans="1:22" x14ac:dyDescent="0.25">
      <c r="A52">
        <v>50</v>
      </c>
      <c r="B52" s="4">
        <v>115</v>
      </c>
      <c r="C52">
        <v>2</v>
      </c>
      <c r="D52">
        <v>1</v>
      </c>
      <c r="E52" s="9">
        <v>-0.90980000000000005</v>
      </c>
      <c r="F52" s="12">
        <v>2.0421999999999998</v>
      </c>
      <c r="G52" s="20">
        <v>-0.72599999999999998</v>
      </c>
      <c r="H52" s="15">
        <v>-1.2629999999999999</v>
      </c>
      <c r="I52" s="15">
        <v>1.5834999999999999</v>
      </c>
      <c r="J52" s="16">
        <v>-0.80179999999999996</v>
      </c>
      <c r="K52">
        <v>12</v>
      </c>
      <c r="L52">
        <v>6</v>
      </c>
      <c r="M52" s="19">
        <v>6</v>
      </c>
      <c r="N52" s="14">
        <v>411.25</v>
      </c>
      <c r="O52" s="14">
        <v>62.5</v>
      </c>
      <c r="P52" s="30">
        <v>348.75</v>
      </c>
      <c r="Q52" s="32">
        <v>75</v>
      </c>
      <c r="R52" s="32">
        <v>107.5</v>
      </c>
      <c r="S52" s="36">
        <v>84.353804176655416</v>
      </c>
      <c r="U52" s="36"/>
      <c r="V52" s="32"/>
    </row>
    <row r="53" spans="1:22" x14ac:dyDescent="0.25">
      <c r="A53">
        <v>51</v>
      </c>
      <c r="B53" s="4">
        <v>116</v>
      </c>
      <c r="C53">
        <v>3</v>
      </c>
      <c r="D53">
        <v>1</v>
      </c>
      <c r="E53" s="9">
        <v>-1.3239000000000001</v>
      </c>
      <c r="F53" s="12">
        <v>0.43830000000000002</v>
      </c>
      <c r="G53" s="20">
        <v>-1.0765</v>
      </c>
      <c r="H53" s="15">
        <v>-1.3561000000000001</v>
      </c>
      <c r="I53" s="15">
        <v>1.5361</v>
      </c>
      <c r="J53" s="16">
        <v>-1.0899000000000001</v>
      </c>
      <c r="K53">
        <v>15</v>
      </c>
      <c r="L53">
        <v>8</v>
      </c>
      <c r="M53" s="19">
        <v>7</v>
      </c>
      <c r="N53" s="14">
        <v>509.5</v>
      </c>
      <c r="O53" s="14">
        <v>65.5</v>
      </c>
      <c r="P53" s="30">
        <v>444</v>
      </c>
      <c r="Q53" s="32">
        <v>110</v>
      </c>
      <c r="R53" s="32">
        <v>95</v>
      </c>
      <c r="S53" s="36">
        <v>108.48179069441625</v>
      </c>
      <c r="U53" s="36"/>
      <c r="V53" s="32"/>
    </row>
    <row r="54" spans="1:22" x14ac:dyDescent="0.25">
      <c r="A54">
        <v>52</v>
      </c>
      <c r="B54" s="4">
        <v>117</v>
      </c>
      <c r="C54">
        <v>2</v>
      </c>
      <c r="D54">
        <v>1</v>
      </c>
      <c r="E54" s="9">
        <v>-0.93159999999999998</v>
      </c>
      <c r="F54" s="12">
        <v>2.7256</v>
      </c>
      <c r="G54" s="20">
        <v>-0.79010000000000002</v>
      </c>
      <c r="H54" s="15">
        <v>-1.0920000000000001</v>
      </c>
      <c r="I54" s="15">
        <v>1.4793000000000001</v>
      </c>
      <c r="J54" s="16">
        <v>-0.89849999999999997</v>
      </c>
      <c r="K54">
        <v>15</v>
      </c>
      <c r="L54">
        <v>9</v>
      </c>
      <c r="M54" s="19">
        <v>6</v>
      </c>
      <c r="N54" s="14">
        <v>349</v>
      </c>
      <c r="O54" s="14">
        <v>112</v>
      </c>
      <c r="P54" s="30">
        <v>237</v>
      </c>
      <c r="Q54" s="32">
        <v>55</v>
      </c>
      <c r="R54" s="32">
        <v>56</v>
      </c>
      <c r="S54" s="36">
        <v>50.099058996284178</v>
      </c>
      <c r="U54" s="36"/>
      <c r="V54" s="32"/>
    </row>
    <row r="55" spans="1:22" x14ac:dyDescent="0.25">
      <c r="A55">
        <v>53</v>
      </c>
      <c r="B55" s="4">
        <v>122</v>
      </c>
      <c r="C55">
        <v>1</v>
      </c>
      <c r="D55">
        <v>3</v>
      </c>
      <c r="E55" s="9">
        <v>-1.0951</v>
      </c>
      <c r="F55" s="12">
        <v>-0.16700000000000001</v>
      </c>
      <c r="G55" s="20">
        <v>-1.1194</v>
      </c>
      <c r="H55" s="15">
        <v>-1.3148</v>
      </c>
      <c r="I55" s="15">
        <v>0.91590000000000005</v>
      </c>
      <c r="J55" s="16">
        <v>-1.1375</v>
      </c>
      <c r="K55">
        <v>18</v>
      </c>
      <c r="L55">
        <v>11</v>
      </c>
      <c r="M55" s="19">
        <v>7</v>
      </c>
      <c r="N55" s="14">
        <v>657.25</v>
      </c>
      <c r="O55" s="14">
        <v>39.75</v>
      </c>
      <c r="P55" s="30">
        <v>617.5</v>
      </c>
      <c r="Q55" s="32">
        <v>87.5</v>
      </c>
      <c r="R55" s="32">
        <v>148.75</v>
      </c>
      <c r="S55" s="36">
        <v>117.65730708224127</v>
      </c>
      <c r="U55" s="36"/>
      <c r="V55" s="32"/>
    </row>
    <row r="56" spans="1:22" x14ac:dyDescent="0.25">
      <c r="A56">
        <v>54</v>
      </c>
      <c r="B56" s="4">
        <v>123</v>
      </c>
      <c r="C56">
        <v>2</v>
      </c>
      <c r="D56">
        <v>3</v>
      </c>
      <c r="E56" s="9">
        <v>-1.0476000000000001</v>
      </c>
      <c r="F56" s="12">
        <v>-0.96450000000000002</v>
      </c>
      <c r="G56" s="20">
        <v>-1.0597000000000001</v>
      </c>
      <c r="H56" s="15">
        <v>-1.3728</v>
      </c>
      <c r="I56" s="15">
        <v>0.89370000000000005</v>
      </c>
      <c r="J56" s="16">
        <v>-1.1897</v>
      </c>
      <c r="K56">
        <v>14</v>
      </c>
      <c r="L56">
        <v>6</v>
      </c>
      <c r="M56" s="19">
        <v>6</v>
      </c>
      <c r="N56" s="14">
        <v>763</v>
      </c>
      <c r="O56" s="14">
        <v>30</v>
      </c>
      <c r="P56" s="30">
        <v>732.25</v>
      </c>
      <c r="Q56" s="32">
        <v>123.75</v>
      </c>
      <c r="R56" s="32">
        <v>123.75</v>
      </c>
      <c r="S56" s="36">
        <v>69.202714229573729</v>
      </c>
      <c r="U56" s="36"/>
      <c r="V56" s="32"/>
    </row>
    <row r="57" spans="1:22" x14ac:dyDescent="0.25">
      <c r="A57">
        <v>55</v>
      </c>
      <c r="B57" s="4">
        <v>126</v>
      </c>
      <c r="C57">
        <v>3</v>
      </c>
      <c r="D57">
        <v>3</v>
      </c>
      <c r="E57" s="9">
        <v>-1.0399</v>
      </c>
      <c r="F57" s="12">
        <v>0.85460000000000003</v>
      </c>
      <c r="G57" s="20">
        <v>-0.99960000000000004</v>
      </c>
      <c r="H57" s="15">
        <v>-1.4408000000000001</v>
      </c>
      <c r="I57" s="15">
        <v>1.2881</v>
      </c>
      <c r="J57" s="16">
        <v>-1.0992999999999999</v>
      </c>
      <c r="K57">
        <v>14</v>
      </c>
      <c r="L57">
        <v>8</v>
      </c>
      <c r="M57" s="19">
        <v>6</v>
      </c>
      <c r="N57" s="14">
        <v>504.75</v>
      </c>
      <c r="O57" s="14">
        <v>47.5</v>
      </c>
      <c r="P57" s="30">
        <v>457.25</v>
      </c>
      <c r="Q57" s="32">
        <v>81.25</v>
      </c>
      <c r="R57" s="32">
        <v>101.25</v>
      </c>
      <c r="S57" s="36">
        <v>73.523114812669633</v>
      </c>
      <c r="U57" s="36"/>
      <c r="V57" s="32"/>
    </row>
    <row r="58" spans="1:22" x14ac:dyDescent="0.25">
      <c r="A58">
        <v>56</v>
      </c>
      <c r="B58" s="4">
        <v>128</v>
      </c>
      <c r="C58">
        <v>1</v>
      </c>
      <c r="D58">
        <v>1</v>
      </c>
      <c r="E58" s="9">
        <v>-0.94499999999999995</v>
      </c>
      <c r="F58" s="12">
        <v>2.7132999999999998</v>
      </c>
      <c r="G58" s="20">
        <v>-0.74570000000000003</v>
      </c>
      <c r="H58" s="15">
        <v>-1.0156000000000001</v>
      </c>
      <c r="I58" s="15">
        <v>1.1234</v>
      </c>
      <c r="J58" s="16">
        <v>-0.86470000000000002</v>
      </c>
      <c r="K58">
        <v>17</v>
      </c>
      <c r="L58">
        <v>11</v>
      </c>
      <c r="M58" s="19">
        <v>6</v>
      </c>
      <c r="N58" s="14">
        <v>342.5</v>
      </c>
      <c r="O58" s="14">
        <v>96.75</v>
      </c>
      <c r="P58" s="30">
        <v>245.75</v>
      </c>
      <c r="Q58" s="32">
        <v>88</v>
      </c>
      <c r="R58" s="32">
        <v>79.75</v>
      </c>
      <c r="S58" s="36">
        <v>82.116364982679386</v>
      </c>
      <c r="U58" s="36"/>
      <c r="V58" s="32"/>
    </row>
    <row r="59" spans="1:22" x14ac:dyDescent="0.25">
      <c r="A59">
        <v>57</v>
      </c>
      <c r="B59" s="4">
        <v>129</v>
      </c>
      <c r="C59">
        <v>3</v>
      </c>
      <c r="D59">
        <v>1</v>
      </c>
      <c r="E59" s="9">
        <v>-1.0581</v>
      </c>
      <c r="F59" s="12">
        <v>-0.85429999999999995</v>
      </c>
      <c r="G59" s="20">
        <v>-0.97470000000000001</v>
      </c>
      <c r="H59" s="15">
        <v>-1.4710000000000001</v>
      </c>
      <c r="I59" s="15">
        <v>1.2456</v>
      </c>
      <c r="J59" s="16">
        <v>-1.1084000000000001</v>
      </c>
      <c r="K59">
        <v>8</v>
      </c>
      <c r="L59">
        <v>3</v>
      </c>
      <c r="M59" s="19">
        <v>5</v>
      </c>
      <c r="N59" s="14">
        <v>746</v>
      </c>
      <c r="O59" s="14">
        <v>46</v>
      </c>
      <c r="P59" s="30">
        <v>700</v>
      </c>
      <c r="Q59" s="32">
        <v>70</v>
      </c>
      <c r="R59" s="32">
        <v>145</v>
      </c>
      <c r="S59" s="36">
        <v>66.524522358014991</v>
      </c>
      <c r="U59" s="36"/>
      <c r="V59" s="32"/>
    </row>
    <row r="60" spans="1:22" x14ac:dyDescent="0.25">
      <c r="A60">
        <v>58</v>
      </c>
      <c r="B60" s="4">
        <v>132</v>
      </c>
      <c r="C60">
        <v>1</v>
      </c>
      <c r="D60">
        <v>1</v>
      </c>
      <c r="E60" s="9">
        <v>-1.2343</v>
      </c>
      <c r="F60" s="12">
        <v>-0.71909999999999996</v>
      </c>
      <c r="G60" s="20">
        <v>-1.097</v>
      </c>
      <c r="H60" s="15">
        <v>-1.5604</v>
      </c>
      <c r="I60" s="15">
        <v>1.2761</v>
      </c>
      <c r="J60" s="16">
        <v>-1.1668000000000001</v>
      </c>
      <c r="K60">
        <v>16</v>
      </c>
      <c r="L60">
        <v>9</v>
      </c>
      <c r="M60" s="19">
        <v>7</v>
      </c>
      <c r="N60" s="14">
        <v>1200.5833333333333</v>
      </c>
      <c r="O60" s="14">
        <v>56.25</v>
      </c>
      <c r="P60" s="30">
        <v>1144.3333333333335</v>
      </c>
      <c r="Q60" s="32">
        <v>50</v>
      </c>
      <c r="R60" s="32">
        <v>35.333333333333336</v>
      </c>
      <c r="S60" s="36">
        <v>16.656434527480922</v>
      </c>
      <c r="U60" s="36"/>
      <c r="V60" s="32"/>
    </row>
    <row r="61" spans="1:22" x14ac:dyDescent="0.25">
      <c r="A61">
        <v>59</v>
      </c>
      <c r="B61" s="4">
        <v>133</v>
      </c>
      <c r="C61">
        <v>2</v>
      </c>
      <c r="D61">
        <v>2</v>
      </c>
      <c r="E61" s="9">
        <v>-1.0998000000000001</v>
      </c>
      <c r="F61" s="12">
        <v>2.2324999999999999</v>
      </c>
      <c r="G61" s="20">
        <v>-0.89400000000000002</v>
      </c>
      <c r="H61" s="15">
        <v>-1.2223999999999999</v>
      </c>
      <c r="I61" s="15">
        <v>1.095</v>
      </c>
      <c r="J61" s="16">
        <v>-1.0258</v>
      </c>
      <c r="K61">
        <v>18</v>
      </c>
      <c r="L61">
        <v>9</v>
      </c>
      <c r="M61" s="19">
        <v>8</v>
      </c>
      <c r="N61" s="14">
        <v>333.75</v>
      </c>
      <c r="O61" s="14">
        <v>57.25</v>
      </c>
      <c r="P61" s="30">
        <v>276.25</v>
      </c>
      <c r="Q61" s="32">
        <v>80</v>
      </c>
      <c r="R61" s="32">
        <v>90</v>
      </c>
      <c r="S61" s="36">
        <v>72.34176246732325</v>
      </c>
      <c r="U61" s="36"/>
      <c r="V61" s="32"/>
    </row>
    <row r="62" spans="1:22" x14ac:dyDescent="0.25">
      <c r="A62">
        <v>60</v>
      </c>
      <c r="B62" s="4">
        <v>134</v>
      </c>
      <c r="C62">
        <v>3</v>
      </c>
      <c r="D62">
        <v>2</v>
      </c>
      <c r="E62" s="9">
        <v>-0.2535</v>
      </c>
      <c r="F62" s="12">
        <v>-0.85660000000000003</v>
      </c>
      <c r="G62" s="20">
        <v>-2.1499999999999998E-2</v>
      </c>
      <c r="H62" s="15">
        <v>-0.6411</v>
      </c>
      <c r="I62" s="15">
        <v>0.71809999999999996</v>
      </c>
      <c r="J62" s="16">
        <v>-0.1661</v>
      </c>
      <c r="K62">
        <v>11</v>
      </c>
      <c r="L62">
        <v>6</v>
      </c>
      <c r="M62" s="19">
        <v>5</v>
      </c>
      <c r="N62" s="14">
        <v>117</v>
      </c>
      <c r="O62" s="14">
        <v>14</v>
      </c>
      <c r="P62" s="30">
        <v>103</v>
      </c>
      <c r="Q62" s="32">
        <v>40</v>
      </c>
      <c r="R62" s="32">
        <v>22</v>
      </c>
      <c r="S62" s="36">
        <v>32.017900028026709</v>
      </c>
      <c r="U62" s="36"/>
      <c r="V62" s="32"/>
    </row>
    <row r="63" spans="1:22" x14ac:dyDescent="0.25">
      <c r="A63">
        <v>61</v>
      </c>
      <c r="B63" s="4">
        <v>135</v>
      </c>
      <c r="C63">
        <v>2</v>
      </c>
      <c r="D63">
        <v>2</v>
      </c>
      <c r="E63" s="9">
        <v>-1.0405</v>
      </c>
      <c r="F63" s="12">
        <v>-1.0559000000000001</v>
      </c>
      <c r="G63" s="20">
        <v>-0.80569999999999997</v>
      </c>
      <c r="H63" s="15">
        <v>-1.1598999999999999</v>
      </c>
      <c r="I63" s="15">
        <v>0.92959999999999998</v>
      </c>
      <c r="J63" s="16">
        <v>-0.86019999999999996</v>
      </c>
      <c r="K63">
        <v>18</v>
      </c>
      <c r="L63">
        <v>11</v>
      </c>
      <c r="M63" s="19">
        <v>7</v>
      </c>
      <c r="N63" s="14">
        <v>415.75</v>
      </c>
      <c r="O63" s="14">
        <v>49</v>
      </c>
      <c r="P63" s="30">
        <v>366.75</v>
      </c>
      <c r="Q63" s="32">
        <v>63.75</v>
      </c>
      <c r="R63" s="32">
        <v>57</v>
      </c>
      <c r="S63" s="36">
        <v>53.518575462812166</v>
      </c>
      <c r="U63" s="36"/>
      <c r="V63" s="32"/>
    </row>
    <row r="64" spans="1:22" x14ac:dyDescent="0.25">
      <c r="A64">
        <v>62</v>
      </c>
      <c r="B64" s="4">
        <v>136</v>
      </c>
      <c r="C64">
        <v>2</v>
      </c>
      <c r="D64">
        <v>2</v>
      </c>
      <c r="E64" s="9">
        <v>-0.80740000000000001</v>
      </c>
      <c r="F64" s="12">
        <v>-0.91669999999999996</v>
      </c>
      <c r="G64" s="20">
        <v>-0.72350000000000003</v>
      </c>
      <c r="H64" s="15">
        <v>-1.1836</v>
      </c>
      <c r="I64" s="15">
        <v>0.85350000000000004</v>
      </c>
      <c r="J64" s="16">
        <v>-0.89729999999999999</v>
      </c>
      <c r="K64">
        <v>11</v>
      </c>
      <c r="L64">
        <v>5</v>
      </c>
      <c r="M64" s="19">
        <v>5</v>
      </c>
      <c r="N64" s="14">
        <v>532.5</v>
      </c>
      <c r="O64" s="14">
        <v>27.5</v>
      </c>
      <c r="P64" s="30">
        <v>504.75</v>
      </c>
      <c r="Q64" s="32">
        <v>65</v>
      </c>
      <c r="R64" s="32">
        <v>45.75</v>
      </c>
      <c r="S64" s="36">
        <v>52.065838334676535</v>
      </c>
      <c r="U64" s="36"/>
      <c r="V64" s="32"/>
    </row>
    <row r="65" spans="1:22" x14ac:dyDescent="0.25">
      <c r="A65">
        <v>63</v>
      </c>
      <c r="B65" s="4">
        <v>137</v>
      </c>
      <c r="C65">
        <v>3</v>
      </c>
      <c r="D65">
        <v>1</v>
      </c>
      <c r="E65" s="9">
        <v>-0.68710000000000004</v>
      </c>
      <c r="F65" s="12">
        <v>-0.99950000000000006</v>
      </c>
      <c r="G65" s="20">
        <v>-0.52329999999999999</v>
      </c>
      <c r="H65" s="15">
        <v>-0.83930000000000005</v>
      </c>
      <c r="I65" s="15">
        <v>0.9244</v>
      </c>
      <c r="J65" s="16">
        <v>-0.54200000000000004</v>
      </c>
      <c r="K65">
        <v>10</v>
      </c>
      <c r="L65">
        <v>3</v>
      </c>
      <c r="M65" s="19">
        <v>7</v>
      </c>
      <c r="N65" s="14">
        <v>287.75</v>
      </c>
      <c r="O65" s="14">
        <v>16.75</v>
      </c>
      <c r="P65" s="30">
        <v>271</v>
      </c>
      <c r="Q65" s="32">
        <v>44.25</v>
      </c>
      <c r="R65" s="32">
        <v>48.5</v>
      </c>
      <c r="S65" s="36">
        <v>56.23322346445817</v>
      </c>
      <c r="U65" s="36"/>
      <c r="V65" s="32"/>
    </row>
    <row r="66" spans="1:22" x14ac:dyDescent="0.25">
      <c r="A66">
        <v>64</v>
      </c>
      <c r="B66" s="4">
        <v>138</v>
      </c>
      <c r="C66">
        <v>3</v>
      </c>
      <c r="D66">
        <v>1</v>
      </c>
      <c r="E66" s="9">
        <v>-0.75960000000000005</v>
      </c>
      <c r="F66" s="12">
        <v>-1.1568000000000001</v>
      </c>
      <c r="G66" s="20">
        <v>-0.38490000000000002</v>
      </c>
      <c r="H66" s="15">
        <v>-0.42370000000000002</v>
      </c>
      <c r="I66" s="15">
        <v>-0.26200000000000001</v>
      </c>
      <c r="J66" s="16">
        <v>-0.48509999999999998</v>
      </c>
      <c r="K66">
        <v>5</v>
      </c>
      <c r="L66">
        <v>2</v>
      </c>
      <c r="M66" s="19">
        <v>3</v>
      </c>
      <c r="N66" s="14">
        <v>371</v>
      </c>
      <c r="O66" s="14">
        <v>27</v>
      </c>
      <c r="P66" s="30">
        <v>344</v>
      </c>
      <c r="Q66" s="32">
        <v>50</v>
      </c>
      <c r="R66" s="32">
        <v>35</v>
      </c>
      <c r="S66" s="36">
        <v>17.61168569756736</v>
      </c>
      <c r="U66" s="36"/>
      <c r="V66" s="32"/>
    </row>
    <row r="67" spans="1:22" x14ac:dyDescent="0.25">
      <c r="A67">
        <v>65</v>
      </c>
      <c r="B67" s="4">
        <v>139</v>
      </c>
      <c r="C67">
        <v>2</v>
      </c>
      <c r="D67">
        <v>2</v>
      </c>
      <c r="E67" s="9">
        <v>-0.4042</v>
      </c>
      <c r="F67" s="12">
        <v>-0.66990000000000005</v>
      </c>
      <c r="G67" s="20">
        <v>0.1658</v>
      </c>
      <c r="H67" s="15">
        <v>-0.50780000000000003</v>
      </c>
      <c r="I67" s="15">
        <v>1.3653999999999999</v>
      </c>
      <c r="J67" s="16">
        <v>0.22309999999999999</v>
      </c>
      <c r="K67">
        <v>12</v>
      </c>
      <c r="L67">
        <v>5</v>
      </c>
      <c r="M67" s="19">
        <v>7</v>
      </c>
      <c r="N67" s="14">
        <v>85</v>
      </c>
      <c r="O67" s="14">
        <v>35.5</v>
      </c>
      <c r="P67" s="30">
        <v>49.5</v>
      </c>
      <c r="Q67" s="32">
        <v>35.5</v>
      </c>
      <c r="R67" s="32">
        <v>20.5</v>
      </c>
      <c r="S67" s="36">
        <v>14.263569155412144</v>
      </c>
      <c r="U67" s="36"/>
      <c r="V67" s="32"/>
    </row>
    <row r="68" spans="1:22" x14ac:dyDescent="0.25">
      <c r="A68">
        <v>66</v>
      </c>
      <c r="B68" s="4">
        <v>141</v>
      </c>
      <c r="C68">
        <v>1</v>
      </c>
      <c r="D68">
        <v>3</v>
      </c>
      <c r="E68" s="9">
        <v>-1.2074</v>
      </c>
      <c r="F68" s="12">
        <v>5.0000000000000001E-4</v>
      </c>
      <c r="G68" s="20">
        <v>-0.96870000000000001</v>
      </c>
      <c r="H68" s="15">
        <v>-1.5104</v>
      </c>
      <c r="I68" s="15">
        <v>1.3277000000000001</v>
      </c>
      <c r="J68" s="16">
        <v>-1.1333</v>
      </c>
      <c r="K68">
        <v>16</v>
      </c>
      <c r="L68">
        <v>8</v>
      </c>
      <c r="M68" s="19">
        <v>8</v>
      </c>
      <c r="N68" s="14">
        <v>446.5</v>
      </c>
      <c r="O68" s="14">
        <v>28.5</v>
      </c>
      <c r="P68" s="30">
        <v>418</v>
      </c>
      <c r="Q68" s="32">
        <v>66.25</v>
      </c>
      <c r="R68" s="32">
        <v>113.75</v>
      </c>
      <c r="S68" s="36">
        <v>100.33195618696351</v>
      </c>
      <c r="U68" s="36"/>
      <c r="V68" s="32"/>
    </row>
    <row r="69" spans="1:22" x14ac:dyDescent="0.25">
      <c r="A69">
        <v>67</v>
      </c>
      <c r="B69" s="4">
        <v>142</v>
      </c>
      <c r="C69">
        <v>1</v>
      </c>
      <c r="D69">
        <v>3</v>
      </c>
      <c r="E69" s="9">
        <v>-1.2545999999999999</v>
      </c>
      <c r="F69" s="12">
        <v>-7.2599999999999998E-2</v>
      </c>
      <c r="G69" s="20">
        <v>-0.95</v>
      </c>
      <c r="H69" s="15">
        <v>-1.4294</v>
      </c>
      <c r="I69" s="15">
        <v>1.6485000000000001</v>
      </c>
      <c r="J69" s="16">
        <v>-0.9163</v>
      </c>
      <c r="K69">
        <v>15</v>
      </c>
      <c r="L69">
        <v>7</v>
      </c>
      <c r="M69" s="19">
        <v>7</v>
      </c>
      <c r="N69" s="14">
        <v>466.5</v>
      </c>
      <c r="O69" s="14">
        <v>33.5</v>
      </c>
      <c r="P69" s="30">
        <v>432.75</v>
      </c>
      <c r="Q69" s="32">
        <v>82.5</v>
      </c>
      <c r="R69" s="32">
        <v>75</v>
      </c>
      <c r="S69" s="36">
        <v>43.587745593670462</v>
      </c>
      <c r="U69" s="36"/>
      <c r="V69" s="32"/>
    </row>
    <row r="70" spans="1:22" x14ac:dyDescent="0.25">
      <c r="A70">
        <v>68</v>
      </c>
      <c r="B70" s="4">
        <v>143</v>
      </c>
      <c r="C70">
        <v>1</v>
      </c>
      <c r="D70">
        <v>2</v>
      </c>
      <c r="E70" s="9">
        <v>-0.83730000000000004</v>
      </c>
      <c r="F70" s="12">
        <v>-0.87250000000000005</v>
      </c>
      <c r="G70" s="20">
        <v>-0.85799999999999998</v>
      </c>
      <c r="H70" s="15">
        <v>-0.96870000000000001</v>
      </c>
      <c r="I70" s="15">
        <v>0.2893</v>
      </c>
      <c r="J70" s="16">
        <v>-0.93630000000000002</v>
      </c>
      <c r="K70">
        <v>14</v>
      </c>
      <c r="L70">
        <v>7</v>
      </c>
      <c r="M70" s="19">
        <v>7</v>
      </c>
      <c r="N70" s="14">
        <v>511.5</v>
      </c>
      <c r="O70" s="14">
        <v>19</v>
      </c>
      <c r="P70" s="30">
        <v>492.5</v>
      </c>
      <c r="Q70" s="32">
        <v>76.25</v>
      </c>
      <c r="R70" s="32">
        <v>55</v>
      </c>
      <c r="S70" s="36">
        <v>39.217684350106474</v>
      </c>
      <c r="U70" s="36"/>
      <c r="V70" s="32"/>
    </row>
    <row r="71" spans="1:22" x14ac:dyDescent="0.25">
      <c r="U71" s="33"/>
      <c r="V71" s="32"/>
    </row>
  </sheetData>
  <autoFilter ref="A2:S70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7" sqref="F27"/>
    </sheetView>
  </sheetViews>
  <sheetFormatPr defaultRowHeight="15" x14ac:dyDescent="0.25"/>
  <cols>
    <col min="1" max="2" width="6.42578125" customWidth="1"/>
  </cols>
  <sheetData>
    <row r="1" spans="1:35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  <row r="2" spans="1:35" x14ac:dyDescent="0.25">
      <c r="A2" s="2" t="s">
        <v>7</v>
      </c>
      <c r="B2" s="22" t="s">
        <v>10</v>
      </c>
      <c r="C2" s="6" t="s">
        <v>13</v>
      </c>
      <c r="D2" s="26" t="s">
        <v>57</v>
      </c>
      <c r="E2" s="2" t="s">
        <v>58</v>
      </c>
      <c r="F2" s="27" t="s">
        <v>59</v>
      </c>
      <c r="G2" s="2" t="s">
        <v>60</v>
      </c>
      <c r="H2" s="2" t="s">
        <v>21</v>
      </c>
      <c r="I2" s="27" t="s">
        <v>22</v>
      </c>
      <c r="J2" s="2" t="s">
        <v>91</v>
      </c>
      <c r="K2" s="2" t="s">
        <v>92</v>
      </c>
      <c r="L2" s="6" t="s">
        <v>93</v>
      </c>
      <c r="M2" s="2" t="s">
        <v>94</v>
      </c>
      <c r="N2" s="2" t="s">
        <v>95</v>
      </c>
      <c r="O2" s="6" t="s">
        <v>96</v>
      </c>
      <c r="P2" s="2" t="s">
        <v>67</v>
      </c>
      <c r="Q2" s="2" t="s">
        <v>68</v>
      </c>
      <c r="R2" s="6" t="s">
        <v>69</v>
      </c>
      <c r="S2" s="2" t="s">
        <v>70</v>
      </c>
      <c r="T2" s="2" t="s">
        <v>71</v>
      </c>
      <c r="U2" s="6" t="s">
        <v>72</v>
      </c>
      <c r="V2" s="2" t="s">
        <v>79</v>
      </c>
      <c r="W2" s="2" t="s">
        <v>80</v>
      </c>
      <c r="X2" s="6" t="s">
        <v>81</v>
      </c>
      <c r="Y2" s="2" t="s">
        <v>84</v>
      </c>
      <c r="Z2" s="2" t="s">
        <v>82</v>
      </c>
      <c r="AA2" s="6" t="s">
        <v>83</v>
      </c>
      <c r="AB2" s="2" t="s">
        <v>97</v>
      </c>
      <c r="AC2" s="2" t="s">
        <v>98</v>
      </c>
      <c r="AD2" s="2" t="s">
        <v>99</v>
      </c>
      <c r="AE2" s="31" t="s">
        <v>24</v>
      </c>
      <c r="AF2" s="11"/>
      <c r="AG2" s="11"/>
      <c r="AH2" s="11"/>
      <c r="AI2" s="11"/>
    </row>
    <row r="3" spans="1:35" x14ac:dyDescent="0.25">
      <c r="A3" s="24">
        <v>1</v>
      </c>
      <c r="B3" s="25">
        <v>10</v>
      </c>
      <c r="C3" s="24">
        <v>3</v>
      </c>
      <c r="D3" s="8">
        <v>1.986</v>
      </c>
      <c r="E3">
        <v>-0.32919999999999999</v>
      </c>
      <c r="F3" s="19">
        <v>2.0543999999999998</v>
      </c>
      <c r="G3">
        <v>1.7569999999999999</v>
      </c>
      <c r="H3">
        <v>1.2544999999999999</v>
      </c>
      <c r="I3" s="19">
        <v>2.1421000000000001</v>
      </c>
      <c r="J3" s="8">
        <v>1.2971999999999999</v>
      </c>
      <c r="K3" s="10">
        <v>-0.85160000000000002</v>
      </c>
      <c r="L3" s="28">
        <v>2.0171000000000001</v>
      </c>
      <c r="M3" s="8">
        <v>0.55469999999999997</v>
      </c>
      <c r="N3" s="7">
        <v>1.3801000000000001</v>
      </c>
      <c r="O3" s="19">
        <v>1.9924999999999999</v>
      </c>
      <c r="P3" s="8">
        <v>22</v>
      </c>
      <c r="Q3" s="7">
        <v>13</v>
      </c>
      <c r="R3" s="19">
        <v>8</v>
      </c>
      <c r="S3" s="8">
        <v>9</v>
      </c>
      <c r="T3" s="7">
        <v>6</v>
      </c>
      <c r="U3" s="19">
        <v>3</v>
      </c>
      <c r="V3" s="29">
        <v>152.5</v>
      </c>
      <c r="W3" s="18">
        <v>52.5</v>
      </c>
      <c r="X3" s="30">
        <v>99.75</v>
      </c>
      <c r="Y3" s="29">
        <v>56.75</v>
      </c>
      <c r="Z3" s="18">
        <v>52.75</v>
      </c>
      <c r="AA3" s="30">
        <v>4</v>
      </c>
      <c r="AB3" s="14">
        <v>32</v>
      </c>
      <c r="AC3" s="14">
        <v>160</v>
      </c>
      <c r="AD3" s="14">
        <v>81.25</v>
      </c>
      <c r="AE3" s="11">
        <v>79.129028164703897</v>
      </c>
      <c r="AF3" s="34"/>
      <c r="AG3" s="11"/>
      <c r="AH3" s="35"/>
      <c r="AI3" s="11"/>
    </row>
    <row r="4" spans="1:35" x14ac:dyDescent="0.25">
      <c r="A4" s="24">
        <v>2</v>
      </c>
      <c r="B4" s="25">
        <v>17</v>
      </c>
      <c r="C4" s="24">
        <v>2</v>
      </c>
      <c r="D4" s="8">
        <v>-0.21909999999999999</v>
      </c>
      <c r="E4">
        <v>0.42170000000000002</v>
      </c>
      <c r="F4" s="19">
        <v>-0.25929999999999997</v>
      </c>
      <c r="G4">
        <v>0.71650000000000003</v>
      </c>
      <c r="H4">
        <v>-0.56469999999999998</v>
      </c>
      <c r="I4" s="19">
        <v>0.62009999999999998</v>
      </c>
      <c r="J4" s="8">
        <v>1.6500000000000001E-2</v>
      </c>
      <c r="K4" s="10">
        <v>-0.1565</v>
      </c>
      <c r="L4" s="28">
        <v>-0.32740000000000002</v>
      </c>
      <c r="M4" s="8">
        <v>0.81520000000000004</v>
      </c>
      <c r="N4" s="7">
        <v>-0.89870000000000005</v>
      </c>
      <c r="O4" s="19">
        <v>0.60109999999999997</v>
      </c>
      <c r="P4" s="8">
        <v>21</v>
      </c>
      <c r="Q4" s="7">
        <v>10</v>
      </c>
      <c r="R4" s="19">
        <v>10</v>
      </c>
      <c r="S4" s="8">
        <v>12</v>
      </c>
      <c r="T4" s="7">
        <v>7</v>
      </c>
      <c r="U4" s="19">
        <v>5</v>
      </c>
      <c r="V4" s="29">
        <v>139.5</v>
      </c>
      <c r="W4" s="18">
        <v>45.5</v>
      </c>
      <c r="X4" s="30">
        <v>93.75</v>
      </c>
      <c r="Y4" s="29">
        <v>66</v>
      </c>
      <c r="Z4" s="18">
        <v>37</v>
      </c>
      <c r="AA4" s="30">
        <v>29</v>
      </c>
      <c r="AB4" s="14">
        <v>32</v>
      </c>
      <c r="AC4" s="14">
        <v>160</v>
      </c>
      <c r="AD4" s="14">
        <v>82.5</v>
      </c>
      <c r="AE4" s="11">
        <v>91.41121565909728</v>
      </c>
      <c r="AF4" s="34"/>
      <c r="AG4" s="11"/>
      <c r="AH4" s="35"/>
      <c r="AI4" s="11"/>
    </row>
    <row r="5" spans="1:35" x14ac:dyDescent="0.25">
      <c r="A5" s="24">
        <v>3</v>
      </c>
      <c r="B5" s="25">
        <v>18</v>
      </c>
      <c r="C5" s="24">
        <v>2</v>
      </c>
      <c r="D5" s="8">
        <v>2.0554000000000001</v>
      </c>
      <c r="E5">
        <v>-0.4975</v>
      </c>
      <c r="F5" s="19">
        <v>2.1267</v>
      </c>
      <c r="G5">
        <v>2.1966999999999999</v>
      </c>
      <c r="H5">
        <v>-0.20519999999999999</v>
      </c>
      <c r="I5" s="19">
        <v>2.3176000000000001</v>
      </c>
      <c r="J5" s="8">
        <v>1.5408999999999999</v>
      </c>
      <c r="K5" s="10">
        <v>-0.90849999999999997</v>
      </c>
      <c r="L5" s="28">
        <v>2.0655999999999999</v>
      </c>
      <c r="M5" s="8">
        <v>1.6992</v>
      </c>
      <c r="N5" s="7">
        <v>-0.76600000000000001</v>
      </c>
      <c r="O5" s="19">
        <v>2.1934999999999998</v>
      </c>
      <c r="P5" s="8">
        <v>18</v>
      </c>
      <c r="Q5" s="7">
        <v>9</v>
      </c>
      <c r="R5" s="19">
        <v>9</v>
      </c>
      <c r="S5" s="8">
        <v>11</v>
      </c>
      <c r="T5" s="7">
        <v>8</v>
      </c>
      <c r="U5" s="19">
        <v>2</v>
      </c>
      <c r="V5" s="29">
        <v>148.25</v>
      </c>
      <c r="W5" s="18">
        <v>58.5</v>
      </c>
      <c r="X5" s="30">
        <v>89.75</v>
      </c>
      <c r="Y5" s="29">
        <v>36.25</v>
      </c>
      <c r="Z5" s="18">
        <v>29.5</v>
      </c>
      <c r="AA5" s="30">
        <v>6.25</v>
      </c>
      <c r="AB5" s="14">
        <v>25.5</v>
      </c>
      <c r="AC5" s="14">
        <v>60.25</v>
      </c>
      <c r="AD5" s="14">
        <v>82.5</v>
      </c>
      <c r="AE5" s="11">
        <v>102.61568511913897</v>
      </c>
      <c r="AF5" s="34"/>
      <c r="AG5" s="11"/>
      <c r="AH5" s="35"/>
      <c r="AI5" s="11"/>
    </row>
    <row r="6" spans="1:35" x14ac:dyDescent="0.25">
      <c r="A6" s="24">
        <v>4</v>
      </c>
      <c r="B6" s="25">
        <v>20</v>
      </c>
      <c r="C6" s="24">
        <v>1</v>
      </c>
      <c r="D6" s="8">
        <v>0.39679999999999999</v>
      </c>
      <c r="E6">
        <v>0.50190000000000001</v>
      </c>
      <c r="F6" s="19">
        <v>0.81569999999999998</v>
      </c>
      <c r="G6">
        <v>1.5152000000000001</v>
      </c>
      <c r="H6">
        <v>-0.4501</v>
      </c>
      <c r="I6" s="19">
        <v>1.5132000000000001</v>
      </c>
      <c r="J6" s="8">
        <v>0.24030000000000001</v>
      </c>
      <c r="K6" s="10">
        <v>0.21629999999999999</v>
      </c>
      <c r="L6" s="28">
        <v>0.87480000000000002</v>
      </c>
      <c r="M6" s="8">
        <v>1.208</v>
      </c>
      <c r="N6" s="7">
        <v>-0.83879999999999999</v>
      </c>
      <c r="O6" s="19">
        <v>1.3595999999999999</v>
      </c>
      <c r="P6" s="8">
        <v>22</v>
      </c>
      <c r="Q6" s="7">
        <v>10</v>
      </c>
      <c r="R6" s="19">
        <v>12</v>
      </c>
      <c r="S6" s="8">
        <v>12</v>
      </c>
      <c r="T6" s="7">
        <v>7</v>
      </c>
      <c r="U6" s="19">
        <v>5</v>
      </c>
      <c r="V6" s="29">
        <v>158.75</v>
      </c>
      <c r="W6" s="18">
        <v>41.75</v>
      </c>
      <c r="X6" s="30">
        <v>117</v>
      </c>
      <c r="Y6" s="29">
        <v>51.5</v>
      </c>
      <c r="Z6" s="18">
        <v>46.25</v>
      </c>
      <c r="AA6" s="30">
        <v>5.25</v>
      </c>
      <c r="AB6" s="14">
        <v>23.25</v>
      </c>
      <c r="AC6" s="14">
        <v>232.5</v>
      </c>
      <c r="AD6" s="14">
        <v>90</v>
      </c>
      <c r="AE6" s="11">
        <v>69.0315823081894</v>
      </c>
      <c r="AF6" s="34"/>
      <c r="AG6" s="11"/>
      <c r="AH6" s="35"/>
      <c r="AI6" s="11"/>
    </row>
    <row r="7" spans="1:35" x14ac:dyDescent="0.25">
      <c r="A7" s="24">
        <v>5</v>
      </c>
      <c r="B7" s="25">
        <v>31</v>
      </c>
      <c r="C7" s="24">
        <v>1</v>
      </c>
      <c r="D7" s="8">
        <v>-0.73470000000000002</v>
      </c>
      <c r="E7">
        <v>-4.1000000000000003E-3</v>
      </c>
      <c r="F7" s="19">
        <v>-0.32450000000000001</v>
      </c>
      <c r="G7">
        <v>0.9849</v>
      </c>
      <c r="H7">
        <v>-0.49669999999999997</v>
      </c>
      <c r="I7" s="19">
        <v>0.94610000000000005</v>
      </c>
      <c r="J7" s="8">
        <v>-1.4617</v>
      </c>
      <c r="K7" s="10">
        <v>1.2475000000000001</v>
      </c>
      <c r="L7" s="28">
        <v>-0.49719999999999998</v>
      </c>
      <c r="M7" s="8">
        <v>0.89629999999999999</v>
      </c>
      <c r="N7" s="7">
        <v>-0.80210000000000004</v>
      </c>
      <c r="O7" s="19">
        <v>0.90939999999999999</v>
      </c>
      <c r="P7" s="8">
        <v>20</v>
      </c>
      <c r="Q7" s="7">
        <v>10</v>
      </c>
      <c r="R7" s="19">
        <v>10</v>
      </c>
      <c r="S7" s="8">
        <v>13</v>
      </c>
      <c r="T7" s="7">
        <v>9</v>
      </c>
      <c r="U7" s="19">
        <v>4</v>
      </c>
      <c r="V7" s="29">
        <v>142.75</v>
      </c>
      <c r="W7" s="18">
        <v>41.75</v>
      </c>
      <c r="X7" s="30">
        <v>101</v>
      </c>
      <c r="Y7" s="29">
        <v>55.5</v>
      </c>
      <c r="Z7" s="18">
        <v>42.5</v>
      </c>
      <c r="AA7" s="30">
        <v>13</v>
      </c>
      <c r="AB7" s="14">
        <v>32</v>
      </c>
      <c r="AC7" s="14">
        <v>178.75</v>
      </c>
      <c r="AD7" s="14">
        <v>103.75</v>
      </c>
      <c r="AE7" s="11">
        <v>80.833574255615503</v>
      </c>
      <c r="AF7" s="34"/>
      <c r="AG7" s="11"/>
      <c r="AH7" s="35"/>
      <c r="AI7" s="11"/>
    </row>
    <row r="8" spans="1:35" x14ac:dyDescent="0.25">
      <c r="A8" s="24">
        <v>6</v>
      </c>
      <c r="B8" s="25">
        <v>36</v>
      </c>
      <c r="C8" s="24">
        <v>2</v>
      </c>
      <c r="D8" s="8">
        <v>2.1328999999999998</v>
      </c>
      <c r="E8">
        <v>0.58940000000000003</v>
      </c>
      <c r="F8" s="19">
        <v>2.0253999999999999</v>
      </c>
      <c r="G8">
        <v>0.89390000000000003</v>
      </c>
      <c r="H8">
        <v>-2.1513</v>
      </c>
      <c r="I8" s="19">
        <v>0.62729999999999997</v>
      </c>
      <c r="J8" s="8">
        <v>1.0206999999999999</v>
      </c>
      <c r="K8" s="10">
        <v>-0.47989999999999999</v>
      </c>
      <c r="L8" s="28">
        <v>1.9341999999999999</v>
      </c>
      <c r="M8" s="8">
        <v>1.1072</v>
      </c>
      <c r="N8" s="7">
        <v>-1.4554</v>
      </c>
      <c r="O8" s="19">
        <v>0.70230000000000004</v>
      </c>
      <c r="P8" s="8">
        <v>12</v>
      </c>
      <c r="Q8" s="7">
        <v>5</v>
      </c>
      <c r="R8" s="19">
        <v>6</v>
      </c>
      <c r="S8" s="8">
        <v>12</v>
      </c>
      <c r="T8" s="7">
        <v>7</v>
      </c>
      <c r="U8" s="19">
        <v>5</v>
      </c>
      <c r="V8" s="29">
        <v>80.75</v>
      </c>
      <c r="W8" s="18">
        <v>22</v>
      </c>
      <c r="X8" s="30">
        <v>58.5</v>
      </c>
      <c r="Y8" s="29">
        <v>47</v>
      </c>
      <c r="Z8" s="18">
        <v>27.5</v>
      </c>
      <c r="AA8" s="30">
        <v>19.5</v>
      </c>
      <c r="AB8" s="14">
        <v>22.625</v>
      </c>
      <c r="AC8" s="14">
        <v>83.75</v>
      </c>
      <c r="AD8" s="14">
        <v>98</v>
      </c>
      <c r="AE8" s="11">
        <v>57.409034566400315</v>
      </c>
      <c r="AF8" s="34"/>
      <c r="AG8" s="11"/>
      <c r="AH8" s="35"/>
      <c r="AI8" s="11"/>
    </row>
    <row r="9" spans="1:35" x14ac:dyDescent="0.25">
      <c r="A9" s="24">
        <v>7</v>
      </c>
      <c r="B9" s="25">
        <v>40</v>
      </c>
      <c r="C9" s="24">
        <v>2</v>
      </c>
      <c r="D9" s="8">
        <v>-0.65539999999999998</v>
      </c>
      <c r="E9">
        <v>1.1332</v>
      </c>
      <c r="F9" s="19">
        <v>-0.64319999999999999</v>
      </c>
      <c r="G9">
        <v>-0.31590000000000001</v>
      </c>
      <c r="H9">
        <v>-0.2303</v>
      </c>
      <c r="I9" s="19">
        <v>-0.40250000000000002</v>
      </c>
      <c r="J9" s="8">
        <v>-1.2498</v>
      </c>
      <c r="K9" s="10">
        <v>1.2833000000000001</v>
      </c>
      <c r="L9" s="28">
        <v>-0.75270000000000004</v>
      </c>
      <c r="M9" s="8">
        <v>7.17E-2</v>
      </c>
      <c r="N9" s="7">
        <v>7.3000000000000001E-3</v>
      </c>
      <c r="O9" s="19">
        <v>-0.10059999999999999</v>
      </c>
      <c r="P9" s="8">
        <v>19</v>
      </c>
      <c r="Q9" s="7">
        <v>9</v>
      </c>
      <c r="R9" s="19">
        <v>10</v>
      </c>
      <c r="S9" s="8">
        <v>15</v>
      </c>
      <c r="T9" s="7">
        <v>8</v>
      </c>
      <c r="U9" s="19">
        <v>6</v>
      </c>
      <c r="V9" s="29">
        <v>112.5</v>
      </c>
      <c r="W9" s="18">
        <v>42.25</v>
      </c>
      <c r="X9" s="30">
        <v>70.25</v>
      </c>
      <c r="Y9" s="29">
        <v>182.75</v>
      </c>
      <c r="Z9" s="18">
        <v>34.75</v>
      </c>
      <c r="AA9" s="30">
        <v>145</v>
      </c>
      <c r="AB9" s="14">
        <v>30.5</v>
      </c>
      <c r="AC9" s="14">
        <v>68.75</v>
      </c>
      <c r="AD9" s="14">
        <v>92.5</v>
      </c>
      <c r="AE9" s="10">
        <v>52.595797263998399</v>
      </c>
      <c r="AF9" s="34"/>
      <c r="AG9" s="11"/>
      <c r="AH9" s="35"/>
      <c r="AI9" s="11"/>
    </row>
    <row r="10" spans="1:35" x14ac:dyDescent="0.25">
      <c r="A10" s="24">
        <v>8</v>
      </c>
      <c r="B10" s="25">
        <v>49</v>
      </c>
      <c r="C10" s="24">
        <v>2</v>
      </c>
      <c r="D10" s="8">
        <v>-0.62960000000000005</v>
      </c>
      <c r="E10">
        <v>0.75690000000000002</v>
      </c>
      <c r="F10" s="19">
        <v>-0.38140000000000002</v>
      </c>
      <c r="G10">
        <v>8.9999999999999998E-4</v>
      </c>
      <c r="H10">
        <v>-0.28789999999999999</v>
      </c>
      <c r="I10" s="19">
        <v>-0.14419999999999999</v>
      </c>
      <c r="J10" s="8">
        <v>-1.3959999999999999</v>
      </c>
      <c r="K10" s="10">
        <v>1.3190999999999999</v>
      </c>
      <c r="L10" s="28">
        <v>-0.30409999999999998</v>
      </c>
      <c r="M10" s="8">
        <v>-0.2021</v>
      </c>
      <c r="N10" s="7">
        <v>0.33660000000000001</v>
      </c>
      <c r="O10" s="19">
        <v>-0.13439999999999999</v>
      </c>
      <c r="P10" s="8">
        <v>22</v>
      </c>
      <c r="Q10" s="7">
        <v>11</v>
      </c>
      <c r="R10" s="19">
        <v>10</v>
      </c>
      <c r="S10" s="8">
        <v>11</v>
      </c>
      <c r="T10" s="7">
        <v>5</v>
      </c>
      <c r="U10" s="19">
        <v>6</v>
      </c>
      <c r="V10" s="29">
        <v>154.25</v>
      </c>
      <c r="W10" s="18">
        <v>31.5</v>
      </c>
      <c r="X10" s="30">
        <v>122.5</v>
      </c>
      <c r="Y10" s="29">
        <v>77.75</v>
      </c>
      <c r="Z10" s="18">
        <v>29</v>
      </c>
      <c r="AA10" s="30">
        <v>48.75</v>
      </c>
      <c r="AB10" s="14">
        <v>38.5</v>
      </c>
      <c r="AC10" s="14">
        <v>86.25</v>
      </c>
      <c r="AD10" s="14">
        <v>85</v>
      </c>
      <c r="AE10" s="10">
        <v>71.204512240991548</v>
      </c>
      <c r="AF10" s="34"/>
      <c r="AG10" s="11"/>
      <c r="AH10" s="35"/>
      <c r="AI10" s="11"/>
    </row>
    <row r="11" spans="1:35" x14ac:dyDescent="0.25">
      <c r="A11" s="24">
        <v>9</v>
      </c>
      <c r="B11" s="25">
        <v>51</v>
      </c>
      <c r="C11" s="24">
        <v>1</v>
      </c>
      <c r="D11" s="8">
        <v>-0.39319999999999999</v>
      </c>
      <c r="E11">
        <v>-8.2199999999999995E-2</v>
      </c>
      <c r="F11" s="19">
        <v>-0.72140000000000004</v>
      </c>
      <c r="G11">
        <v>0.435</v>
      </c>
      <c r="H11">
        <v>0.46279999999999999</v>
      </c>
      <c r="I11" s="19">
        <v>0.4874</v>
      </c>
      <c r="J11" s="8">
        <v>0.44040000000000001</v>
      </c>
      <c r="K11" s="10">
        <v>-0.56059999999999999</v>
      </c>
      <c r="L11" s="28">
        <v>-0.4698</v>
      </c>
      <c r="M11" s="8">
        <v>0.71619999999999995</v>
      </c>
      <c r="N11" s="7">
        <v>-0.35610000000000003</v>
      </c>
      <c r="O11" s="19">
        <v>0.55159999999999998</v>
      </c>
      <c r="P11" s="8">
        <v>19</v>
      </c>
      <c r="Q11" s="7">
        <v>11</v>
      </c>
      <c r="R11" s="19">
        <v>8</v>
      </c>
      <c r="S11" s="8">
        <v>14</v>
      </c>
      <c r="T11" s="7">
        <v>7</v>
      </c>
      <c r="U11" s="19">
        <v>6</v>
      </c>
      <c r="V11" s="29">
        <v>111</v>
      </c>
      <c r="W11" s="18">
        <v>43.5</v>
      </c>
      <c r="X11" s="30">
        <v>67.5</v>
      </c>
      <c r="Y11" s="29">
        <v>60.25</v>
      </c>
      <c r="Z11" s="18">
        <v>27</v>
      </c>
      <c r="AA11" s="30">
        <v>24</v>
      </c>
      <c r="AB11" s="14">
        <v>28</v>
      </c>
      <c r="AC11" s="14">
        <v>96.25</v>
      </c>
      <c r="AD11" s="14">
        <v>34.5</v>
      </c>
      <c r="AE11" s="10">
        <v>39.460341911830014</v>
      </c>
      <c r="AF11" s="34"/>
      <c r="AG11" s="11"/>
      <c r="AH11" s="35"/>
      <c r="AI11" s="11"/>
    </row>
    <row r="12" spans="1:35" x14ac:dyDescent="0.25">
      <c r="A12" s="24">
        <v>10</v>
      </c>
      <c r="B12" s="25">
        <v>54</v>
      </c>
      <c r="C12" s="24">
        <v>1</v>
      </c>
      <c r="D12" s="8">
        <v>-0.45929999999999999</v>
      </c>
      <c r="E12">
        <v>2.3302999999999998</v>
      </c>
      <c r="F12" s="19">
        <v>-0.55259999999999998</v>
      </c>
      <c r="G12">
        <v>0.22009999999999999</v>
      </c>
      <c r="H12">
        <v>-0.64149999999999996</v>
      </c>
      <c r="I12" s="19">
        <v>4.02E-2</v>
      </c>
      <c r="J12" s="8">
        <v>-1.1628000000000001</v>
      </c>
      <c r="K12" s="10">
        <v>1.3785000000000001</v>
      </c>
      <c r="L12" s="28">
        <v>-0.60960000000000003</v>
      </c>
      <c r="M12" s="8">
        <v>0.73550000000000004</v>
      </c>
      <c r="N12" s="7">
        <v>-0.93359999999999999</v>
      </c>
      <c r="O12" s="19">
        <v>0.25979999999999998</v>
      </c>
      <c r="P12" s="8">
        <v>16</v>
      </c>
      <c r="Q12" s="7">
        <v>7</v>
      </c>
      <c r="R12" s="19">
        <v>9</v>
      </c>
      <c r="S12" s="8">
        <v>12</v>
      </c>
      <c r="T12" s="7">
        <v>6</v>
      </c>
      <c r="U12" s="19">
        <v>6</v>
      </c>
      <c r="V12" s="29">
        <v>66.583333333333329</v>
      </c>
      <c r="W12" s="18">
        <v>26.416666666666668</v>
      </c>
      <c r="X12" s="30">
        <v>40.166666666666664</v>
      </c>
      <c r="Y12" s="29">
        <v>69.5</v>
      </c>
      <c r="Z12" s="18">
        <v>28.75</v>
      </c>
      <c r="AA12" s="30">
        <v>40.75</v>
      </c>
      <c r="AB12" s="14">
        <v>18.5</v>
      </c>
      <c r="AC12" s="14">
        <v>157.5</v>
      </c>
      <c r="AD12" s="14">
        <v>101.25</v>
      </c>
      <c r="AE12" s="10">
        <v>74.993284161257122</v>
      </c>
      <c r="AF12" s="34"/>
      <c r="AG12" s="11"/>
      <c r="AH12" s="35"/>
      <c r="AI12" s="11"/>
    </row>
    <row r="13" spans="1:35" x14ac:dyDescent="0.25">
      <c r="A13" s="24">
        <v>11</v>
      </c>
      <c r="B13" s="25">
        <v>59</v>
      </c>
      <c r="C13" s="24">
        <v>3</v>
      </c>
      <c r="D13" s="8">
        <v>-0.6593</v>
      </c>
      <c r="E13">
        <v>1.5081</v>
      </c>
      <c r="F13" s="19">
        <v>-0.41710000000000003</v>
      </c>
      <c r="G13">
        <v>0.53910000000000002</v>
      </c>
      <c r="H13">
        <v>-0.25890000000000002</v>
      </c>
      <c r="I13" s="19">
        <v>0.46839999999999998</v>
      </c>
      <c r="J13" s="8">
        <v>-1.2343999999999999</v>
      </c>
      <c r="K13" s="10">
        <v>1.3317000000000001</v>
      </c>
      <c r="L13" s="28">
        <v>-0.59030000000000005</v>
      </c>
      <c r="M13" s="8">
        <v>0.88239999999999996</v>
      </c>
      <c r="N13" s="7">
        <v>-0.76780000000000004</v>
      </c>
      <c r="O13" s="19">
        <v>0.61760000000000004</v>
      </c>
      <c r="P13" s="8">
        <v>19</v>
      </c>
      <c r="Q13" s="7">
        <v>10</v>
      </c>
      <c r="R13" s="19">
        <v>8</v>
      </c>
      <c r="S13" s="8">
        <v>12</v>
      </c>
      <c r="T13" s="7">
        <v>6</v>
      </c>
      <c r="U13" s="19">
        <v>6</v>
      </c>
      <c r="V13" s="29">
        <v>110.5</v>
      </c>
      <c r="W13" s="18">
        <v>30.5</v>
      </c>
      <c r="X13" s="30">
        <v>79.75</v>
      </c>
      <c r="Y13" s="29">
        <v>61.5</v>
      </c>
      <c r="Z13" s="18">
        <v>38</v>
      </c>
      <c r="AA13" s="30">
        <v>23.5</v>
      </c>
      <c r="AB13" s="14">
        <v>37.5</v>
      </c>
      <c r="AC13" s="14">
        <v>145</v>
      </c>
      <c r="AD13" s="14">
        <v>91.25</v>
      </c>
      <c r="AE13" s="10">
        <v>67.876432888772555</v>
      </c>
      <c r="AF13" s="34"/>
      <c r="AG13" s="11"/>
      <c r="AH13" s="35"/>
      <c r="AI13" s="11"/>
    </row>
    <row r="14" spans="1:35" x14ac:dyDescent="0.25">
      <c r="A14" s="24">
        <v>12</v>
      </c>
      <c r="B14" s="25">
        <v>82</v>
      </c>
      <c r="C14" s="24">
        <v>2</v>
      </c>
      <c r="D14" s="8">
        <v>-0.3594</v>
      </c>
      <c r="E14">
        <v>-0.31169999999999998</v>
      </c>
      <c r="F14" s="19">
        <v>-0.82099999999999995</v>
      </c>
      <c r="G14">
        <v>-0.1348</v>
      </c>
      <c r="H14">
        <v>-1.0772999999999999</v>
      </c>
      <c r="I14" s="19">
        <v>-0.36940000000000001</v>
      </c>
      <c r="J14" s="8">
        <v>0.63190000000000002</v>
      </c>
      <c r="K14" s="10">
        <v>-0.88439999999999996</v>
      </c>
      <c r="L14" s="28">
        <v>-0.68340000000000001</v>
      </c>
      <c r="M14" s="8">
        <v>0.1678</v>
      </c>
      <c r="N14" s="7">
        <v>-0.55759999999999998</v>
      </c>
      <c r="O14" s="19">
        <v>-0.20300000000000001</v>
      </c>
      <c r="P14" s="8">
        <v>21</v>
      </c>
      <c r="Q14" s="7">
        <v>11</v>
      </c>
      <c r="R14" s="19">
        <v>10</v>
      </c>
      <c r="S14" s="8">
        <v>16</v>
      </c>
      <c r="T14" s="7">
        <v>8</v>
      </c>
      <c r="U14" s="19">
        <v>7</v>
      </c>
      <c r="V14" s="29">
        <v>157</v>
      </c>
      <c r="W14" s="18">
        <v>52.5</v>
      </c>
      <c r="X14" s="30">
        <v>104.5</v>
      </c>
      <c r="Y14" s="29">
        <v>126.5</v>
      </c>
      <c r="Z14" s="18">
        <v>33.5</v>
      </c>
      <c r="AA14" s="30">
        <v>92.75</v>
      </c>
      <c r="AB14" s="14">
        <v>33.5</v>
      </c>
      <c r="AC14" s="14">
        <v>180</v>
      </c>
      <c r="AD14" s="14">
        <v>140</v>
      </c>
      <c r="AE14" s="10">
        <v>78.516926498453557</v>
      </c>
      <c r="AF14" s="34"/>
      <c r="AG14" s="11"/>
      <c r="AH14" s="35"/>
      <c r="AI14" s="11"/>
    </row>
    <row r="15" spans="1:35" x14ac:dyDescent="0.25">
      <c r="A15" s="24">
        <v>13</v>
      </c>
      <c r="B15" s="25">
        <v>88</v>
      </c>
      <c r="C15" s="24">
        <v>3</v>
      </c>
      <c r="D15" s="8">
        <v>-0.24679999999999999</v>
      </c>
      <c r="E15">
        <v>-0.11940000000000001</v>
      </c>
      <c r="F15" s="19">
        <v>-0.43140000000000001</v>
      </c>
      <c r="G15">
        <v>-0.76370000000000005</v>
      </c>
      <c r="H15">
        <v>-0.36940000000000001</v>
      </c>
      <c r="I15" s="19">
        <v>-0.90200000000000002</v>
      </c>
      <c r="J15" s="8">
        <v>0.2029</v>
      </c>
      <c r="K15" s="10">
        <v>-0.51590000000000003</v>
      </c>
      <c r="L15" s="28">
        <v>-0.43769999999999998</v>
      </c>
      <c r="M15" s="8">
        <v>-0.41930000000000001</v>
      </c>
      <c r="N15" s="7">
        <v>7.8799999999999995E-2</v>
      </c>
      <c r="O15" s="19">
        <v>-0.68799999999999994</v>
      </c>
      <c r="P15" s="8">
        <v>17</v>
      </c>
      <c r="Q15" s="7">
        <v>7</v>
      </c>
      <c r="R15" s="19">
        <v>10</v>
      </c>
      <c r="S15" s="8">
        <v>11</v>
      </c>
      <c r="T15" s="7">
        <v>4</v>
      </c>
      <c r="U15" s="19">
        <v>6</v>
      </c>
      <c r="V15" s="29">
        <v>135.25</v>
      </c>
      <c r="W15" s="18">
        <v>45</v>
      </c>
      <c r="X15" s="30">
        <v>90.25</v>
      </c>
      <c r="Y15" s="29">
        <v>338.5</v>
      </c>
      <c r="Z15" s="18">
        <v>29.75</v>
      </c>
      <c r="AA15" s="30">
        <v>308.5</v>
      </c>
      <c r="AB15" s="14">
        <v>28.5</v>
      </c>
      <c r="AC15" s="14">
        <v>235</v>
      </c>
      <c r="AD15" s="14">
        <v>132.5</v>
      </c>
      <c r="AE15" s="10">
        <v>100.00523243073509</v>
      </c>
      <c r="AF15" s="34"/>
      <c r="AG15" s="11"/>
      <c r="AH15" s="35"/>
      <c r="AI15" s="11"/>
    </row>
    <row r="16" spans="1:35" x14ac:dyDescent="0.25">
      <c r="A16" s="24">
        <v>14</v>
      </c>
      <c r="B16" s="25">
        <v>91</v>
      </c>
      <c r="C16" s="24">
        <v>3</v>
      </c>
      <c r="D16" s="8">
        <v>-1.1887000000000001</v>
      </c>
      <c r="E16">
        <v>-0.86599999999999999</v>
      </c>
      <c r="F16" s="19">
        <v>-0.5625</v>
      </c>
      <c r="G16">
        <v>-1.1677999999999999</v>
      </c>
      <c r="H16">
        <v>2.3289</v>
      </c>
      <c r="I16" s="19">
        <v>-0.80789999999999995</v>
      </c>
      <c r="J16" s="8">
        <v>-1.4362999999999999</v>
      </c>
      <c r="K16" s="10">
        <v>1.5267999999999999</v>
      </c>
      <c r="L16" s="28">
        <v>-0.61129999999999995</v>
      </c>
      <c r="M16" s="8">
        <v>-1.5122</v>
      </c>
      <c r="N16" s="7">
        <v>1.9902</v>
      </c>
      <c r="O16" s="19">
        <v>-0.9194</v>
      </c>
      <c r="P16" s="8">
        <v>23</v>
      </c>
      <c r="Q16" s="7">
        <v>11</v>
      </c>
      <c r="R16" s="19">
        <v>11</v>
      </c>
      <c r="S16" s="8">
        <v>15</v>
      </c>
      <c r="T16" s="7">
        <v>8</v>
      </c>
      <c r="U16" s="19">
        <v>7</v>
      </c>
      <c r="V16" s="29">
        <v>129.5</v>
      </c>
      <c r="W16" s="18">
        <v>58.75</v>
      </c>
      <c r="X16" s="30">
        <v>70.5</v>
      </c>
      <c r="Y16" s="29">
        <v>418.25</v>
      </c>
      <c r="Z16" s="18">
        <v>63.5</v>
      </c>
      <c r="AA16" s="30">
        <v>354.75</v>
      </c>
      <c r="AB16" s="14">
        <v>37</v>
      </c>
      <c r="AC16" s="14">
        <v>66.25</v>
      </c>
      <c r="AD16" s="14">
        <v>100</v>
      </c>
      <c r="AE16" s="11">
        <v>79.25527558629652</v>
      </c>
      <c r="AF16" s="34"/>
      <c r="AG16" s="11"/>
      <c r="AH16" s="35"/>
      <c r="AI16" s="11"/>
    </row>
    <row r="17" spans="1:35" x14ac:dyDescent="0.25">
      <c r="A17" s="24">
        <v>15</v>
      </c>
      <c r="B17" s="25">
        <v>94</v>
      </c>
      <c r="C17" s="24">
        <v>3</v>
      </c>
      <c r="D17" s="8">
        <v>1.3344</v>
      </c>
      <c r="E17">
        <v>-0.31890000000000002</v>
      </c>
      <c r="F17" s="19">
        <v>1.0765</v>
      </c>
      <c r="G17">
        <v>-0.26200000000000001</v>
      </c>
      <c r="H17">
        <v>-0.81410000000000005</v>
      </c>
      <c r="I17" s="19">
        <v>-0.4466</v>
      </c>
      <c r="J17" s="8">
        <v>1.3341000000000001</v>
      </c>
      <c r="K17" s="10">
        <v>-1.1413</v>
      </c>
      <c r="L17" s="28">
        <v>1.3190999999999999</v>
      </c>
      <c r="M17" s="8">
        <v>0.25519999999999998</v>
      </c>
      <c r="N17" s="7">
        <v>-0.92210000000000003</v>
      </c>
      <c r="O17" s="19">
        <v>-0.34820000000000001</v>
      </c>
      <c r="P17" s="8">
        <v>16</v>
      </c>
      <c r="Q17" s="7">
        <v>6</v>
      </c>
      <c r="R17" s="19">
        <v>10</v>
      </c>
      <c r="S17" s="8">
        <v>15</v>
      </c>
      <c r="T17" s="7">
        <v>7</v>
      </c>
      <c r="U17" s="19">
        <v>7</v>
      </c>
      <c r="V17" s="29">
        <v>156</v>
      </c>
      <c r="W17" s="18">
        <v>49.25</v>
      </c>
      <c r="X17" s="30">
        <v>106.75</v>
      </c>
      <c r="Y17" s="29">
        <v>117.5</v>
      </c>
      <c r="Z17" s="18">
        <v>23.5</v>
      </c>
      <c r="AA17" s="30">
        <v>93.75</v>
      </c>
      <c r="AB17" s="14">
        <v>34</v>
      </c>
      <c r="AC17" s="14">
        <v>185</v>
      </c>
      <c r="AD17" s="14">
        <v>123.75</v>
      </c>
      <c r="AE17" s="11">
        <v>88.551450922418553</v>
      </c>
      <c r="AF17" s="34"/>
      <c r="AG17" s="11"/>
      <c r="AH17" s="35"/>
      <c r="AI17" s="11"/>
    </row>
    <row r="18" spans="1:35" x14ac:dyDescent="0.25">
      <c r="A18" s="24">
        <v>16</v>
      </c>
      <c r="B18" s="25">
        <v>98</v>
      </c>
      <c r="C18" s="24">
        <v>2</v>
      </c>
      <c r="D18" s="8">
        <v>1.4185000000000001</v>
      </c>
      <c r="E18">
        <v>-0.81169999999999998</v>
      </c>
      <c r="F18" s="19">
        <v>1.6676</v>
      </c>
      <c r="G18">
        <v>-0.71089999999999998</v>
      </c>
      <c r="H18">
        <v>0.1593</v>
      </c>
      <c r="I18" s="19">
        <v>-0.62409999999999999</v>
      </c>
      <c r="J18" s="8">
        <v>1.0740000000000001</v>
      </c>
      <c r="K18" s="10">
        <v>-0.53910000000000002</v>
      </c>
      <c r="L18" s="28">
        <v>1.7242999999999999</v>
      </c>
      <c r="M18" s="8">
        <v>-5.3800000000000001E-2</v>
      </c>
      <c r="N18" s="7">
        <v>-0.34520000000000001</v>
      </c>
      <c r="O18" s="19">
        <v>-0.46800000000000003</v>
      </c>
      <c r="P18" s="8">
        <v>22</v>
      </c>
      <c r="Q18" s="7">
        <v>11</v>
      </c>
      <c r="R18" s="19">
        <v>11</v>
      </c>
      <c r="S18" s="8">
        <v>13</v>
      </c>
      <c r="T18" s="7">
        <v>7</v>
      </c>
      <c r="U18" s="19">
        <v>6</v>
      </c>
      <c r="V18" s="29">
        <v>217</v>
      </c>
      <c r="W18" s="18">
        <v>55.5</v>
      </c>
      <c r="X18" s="30">
        <v>161.5</v>
      </c>
      <c r="Y18" s="29">
        <v>188</v>
      </c>
      <c r="Z18" s="18">
        <v>7</v>
      </c>
      <c r="AA18" s="30">
        <v>181</v>
      </c>
      <c r="AB18" s="14">
        <v>37.75</v>
      </c>
      <c r="AC18" s="14">
        <v>60</v>
      </c>
      <c r="AD18" s="14">
        <v>85</v>
      </c>
      <c r="AE18" s="11">
        <v>62.485461408258885</v>
      </c>
      <c r="AF18" s="34"/>
      <c r="AG18" s="11"/>
      <c r="AH18" s="35"/>
      <c r="AI18" s="11"/>
    </row>
    <row r="19" spans="1:35" x14ac:dyDescent="0.25">
      <c r="A19" s="24">
        <v>17</v>
      </c>
      <c r="B19" s="25">
        <v>100</v>
      </c>
      <c r="C19" s="24">
        <v>3</v>
      </c>
      <c r="D19" s="8">
        <v>-1.0928</v>
      </c>
      <c r="E19">
        <v>-0.2959</v>
      </c>
      <c r="F19" s="19">
        <v>-0.82950000000000002</v>
      </c>
      <c r="G19">
        <v>-0.33589999999999998</v>
      </c>
      <c r="H19">
        <v>-1.0641</v>
      </c>
      <c r="I19" s="19">
        <v>-0.45779999999999998</v>
      </c>
      <c r="J19" s="8">
        <v>-1.3565</v>
      </c>
      <c r="K19" s="10">
        <v>1.3229</v>
      </c>
      <c r="L19" s="28">
        <v>-0.76729999999999998</v>
      </c>
      <c r="M19" s="8">
        <v>0.1948</v>
      </c>
      <c r="N19" s="7">
        <v>-0.997</v>
      </c>
      <c r="O19" s="19">
        <v>-0.41949999999999998</v>
      </c>
      <c r="P19" s="8">
        <v>18</v>
      </c>
      <c r="Q19" s="7">
        <v>9</v>
      </c>
      <c r="R19" s="19">
        <v>9</v>
      </c>
      <c r="S19" s="8">
        <v>15</v>
      </c>
      <c r="T19" s="7">
        <v>7</v>
      </c>
      <c r="U19" s="19">
        <v>7</v>
      </c>
      <c r="V19" s="29">
        <v>153.25</v>
      </c>
      <c r="W19" s="18">
        <v>37.25</v>
      </c>
      <c r="X19" s="30">
        <v>116</v>
      </c>
      <c r="Y19" s="29">
        <v>169</v>
      </c>
      <c r="Z19" s="18">
        <v>19</v>
      </c>
      <c r="AA19" s="30">
        <v>136.5</v>
      </c>
      <c r="AB19" s="14">
        <v>28.75</v>
      </c>
      <c r="AC19" s="14">
        <v>115</v>
      </c>
      <c r="AD19" s="14">
        <v>102.75</v>
      </c>
      <c r="AE19" s="11">
        <v>124.32752152171166</v>
      </c>
      <c r="AF19" s="34"/>
      <c r="AG19" s="11"/>
      <c r="AH19" s="35"/>
      <c r="AI19" s="11"/>
    </row>
    <row r="20" spans="1:35" x14ac:dyDescent="0.25">
      <c r="A20" s="24">
        <v>18</v>
      </c>
      <c r="B20" s="25">
        <v>122</v>
      </c>
      <c r="C20" s="24">
        <v>1</v>
      </c>
      <c r="D20" s="8">
        <v>-0.4627</v>
      </c>
      <c r="E20">
        <v>-1.8351999999999999</v>
      </c>
      <c r="F20" s="19">
        <v>-0.28589999999999999</v>
      </c>
      <c r="G20">
        <v>-1.0538000000000001</v>
      </c>
      <c r="H20">
        <v>0.2056</v>
      </c>
      <c r="I20" s="19">
        <v>-1.1023000000000001</v>
      </c>
      <c r="J20" s="8">
        <v>0.57650000000000001</v>
      </c>
      <c r="K20" s="10">
        <v>-0.97350000000000003</v>
      </c>
      <c r="L20" s="28">
        <v>-0.48580000000000001</v>
      </c>
      <c r="M20" s="8">
        <v>-1.3001</v>
      </c>
      <c r="N20" s="7">
        <v>0.8024</v>
      </c>
      <c r="O20" s="19">
        <v>-1.2589999999999999</v>
      </c>
      <c r="P20" s="8">
        <v>17</v>
      </c>
      <c r="Q20" s="7">
        <v>9</v>
      </c>
      <c r="R20" s="19">
        <v>8</v>
      </c>
      <c r="S20" s="8">
        <v>18</v>
      </c>
      <c r="T20" s="7">
        <v>11</v>
      </c>
      <c r="U20" s="19">
        <v>7</v>
      </c>
      <c r="V20" s="29">
        <v>293.25</v>
      </c>
      <c r="W20" s="18">
        <v>64</v>
      </c>
      <c r="X20" s="30">
        <v>229.25</v>
      </c>
      <c r="Y20" s="29">
        <v>657.25</v>
      </c>
      <c r="Z20" s="18">
        <v>39.75</v>
      </c>
      <c r="AA20" s="30">
        <v>617.5</v>
      </c>
      <c r="AB20" s="14">
        <v>48</v>
      </c>
      <c r="AC20" s="14">
        <v>87.5</v>
      </c>
      <c r="AD20" s="14">
        <v>148.75</v>
      </c>
      <c r="AE20" s="11">
        <v>117.65730708224127</v>
      </c>
      <c r="AF20" s="34"/>
      <c r="AG20" s="11"/>
      <c r="AH20" s="35"/>
      <c r="AI20" s="11"/>
    </row>
    <row r="21" spans="1:35" x14ac:dyDescent="0.25">
      <c r="A21" s="24">
        <v>19</v>
      </c>
      <c r="B21" s="25">
        <v>123</v>
      </c>
      <c r="C21" s="24">
        <v>2</v>
      </c>
      <c r="D21" s="8">
        <v>-0.83279999999999998</v>
      </c>
      <c r="E21">
        <v>-1.5913999999999999</v>
      </c>
      <c r="F21" s="19">
        <v>-0.84299999999999997</v>
      </c>
      <c r="G21">
        <v>-1.0653999999999999</v>
      </c>
      <c r="H21">
        <v>0.34710000000000002</v>
      </c>
      <c r="I21" s="19">
        <v>-1.0376000000000001</v>
      </c>
      <c r="J21" s="8">
        <v>0.5343</v>
      </c>
      <c r="K21" s="10">
        <v>-1.012</v>
      </c>
      <c r="L21" s="28">
        <v>-0.96850000000000003</v>
      </c>
      <c r="M21" s="8">
        <v>-1.3310999999999999</v>
      </c>
      <c r="N21" s="7">
        <v>0.87890000000000001</v>
      </c>
      <c r="O21" s="19">
        <v>-1.2105999999999999</v>
      </c>
      <c r="P21" s="8">
        <v>18</v>
      </c>
      <c r="Q21" s="7">
        <v>9</v>
      </c>
      <c r="R21" s="19">
        <v>9</v>
      </c>
      <c r="S21" s="8">
        <v>14</v>
      </c>
      <c r="T21" s="7">
        <v>6</v>
      </c>
      <c r="U21" s="19">
        <v>6</v>
      </c>
      <c r="V21" s="29">
        <v>163.49999999999997</v>
      </c>
      <c r="W21" s="18">
        <v>74.25</v>
      </c>
      <c r="X21" s="30">
        <v>89.25</v>
      </c>
      <c r="Y21" s="29">
        <v>763</v>
      </c>
      <c r="Z21" s="18">
        <v>30</v>
      </c>
      <c r="AA21" s="30">
        <v>732.25</v>
      </c>
      <c r="AB21" s="14">
        <v>47.333333333333336</v>
      </c>
      <c r="AC21" s="14">
        <v>123.75</v>
      </c>
      <c r="AD21" s="14">
        <v>123.75</v>
      </c>
      <c r="AE21" s="11">
        <v>69.202714229573729</v>
      </c>
      <c r="AF21" s="34"/>
      <c r="AG21" s="11"/>
      <c r="AH21" s="35"/>
      <c r="AI21" s="11"/>
    </row>
    <row r="22" spans="1:35" x14ac:dyDescent="0.25">
      <c r="A22" s="24">
        <v>20</v>
      </c>
      <c r="B22" s="25">
        <v>126</v>
      </c>
      <c r="C22" s="24">
        <v>3</v>
      </c>
      <c r="D22" s="8">
        <v>-0.53559999999999997</v>
      </c>
      <c r="E22">
        <v>0.18490000000000001</v>
      </c>
      <c r="F22" s="19">
        <v>-0.76700000000000002</v>
      </c>
      <c r="G22">
        <v>-1.0406</v>
      </c>
      <c r="H22">
        <v>0.73080000000000001</v>
      </c>
      <c r="I22" s="19">
        <v>-0.98150000000000004</v>
      </c>
      <c r="J22" s="8">
        <v>-2.1999999999999999E-2</v>
      </c>
      <c r="K22" s="10">
        <v>-3.5999999999999997E-2</v>
      </c>
      <c r="L22" s="28">
        <v>-0.52739999999999998</v>
      </c>
      <c r="M22" s="8">
        <v>-1.4984</v>
      </c>
      <c r="N22" s="7">
        <v>1.1936</v>
      </c>
      <c r="O22" s="19">
        <v>-1.2264999999999999</v>
      </c>
      <c r="P22" s="8">
        <v>21</v>
      </c>
      <c r="Q22" s="7">
        <v>9</v>
      </c>
      <c r="R22" s="19">
        <v>10</v>
      </c>
      <c r="S22" s="8">
        <v>14</v>
      </c>
      <c r="T22" s="7">
        <v>8</v>
      </c>
      <c r="U22" s="19">
        <v>6</v>
      </c>
      <c r="V22" s="29">
        <v>130.75</v>
      </c>
      <c r="W22" s="18">
        <v>45.75</v>
      </c>
      <c r="X22" s="30">
        <v>84.25</v>
      </c>
      <c r="Y22" s="29">
        <v>504.75</v>
      </c>
      <c r="Z22" s="18">
        <v>47.5</v>
      </c>
      <c r="AA22" s="30">
        <v>457.25</v>
      </c>
      <c r="AB22" s="14">
        <v>39.25</v>
      </c>
      <c r="AC22" s="14">
        <v>81.25</v>
      </c>
      <c r="AD22" s="14">
        <v>101.25</v>
      </c>
      <c r="AE22" s="11">
        <v>73.523114812669633</v>
      </c>
      <c r="AF22" s="34"/>
      <c r="AG22" s="11"/>
      <c r="AH22" s="35"/>
      <c r="AI22" s="11"/>
    </row>
    <row r="23" spans="1:35" x14ac:dyDescent="0.25">
      <c r="A23" s="24">
        <v>21</v>
      </c>
      <c r="B23" s="25">
        <v>141</v>
      </c>
      <c r="C23" s="24">
        <v>1</v>
      </c>
      <c r="D23" s="8">
        <v>0.39889999999999998</v>
      </c>
      <c r="E23">
        <v>-0.26569999999999999</v>
      </c>
      <c r="F23" s="19">
        <v>-8.4900000000000003E-2</v>
      </c>
      <c r="G23">
        <v>-1.2060999999999999</v>
      </c>
      <c r="H23">
        <v>1.4093</v>
      </c>
      <c r="I23" s="19">
        <v>-0.96550000000000002</v>
      </c>
      <c r="J23" s="8">
        <v>0.78869999999999996</v>
      </c>
      <c r="K23" s="10">
        <v>-1.0690999999999999</v>
      </c>
      <c r="L23" s="28">
        <v>-0.1346</v>
      </c>
      <c r="M23" s="8">
        <v>-1.5550999999999999</v>
      </c>
      <c r="N23" s="7">
        <v>1.3561000000000001</v>
      </c>
      <c r="O23" s="19">
        <v>-1.2341</v>
      </c>
      <c r="P23" s="8">
        <v>16</v>
      </c>
      <c r="Q23" s="7">
        <v>7</v>
      </c>
      <c r="R23" s="19">
        <v>8</v>
      </c>
      <c r="S23" s="8">
        <v>16</v>
      </c>
      <c r="T23" s="7">
        <v>8</v>
      </c>
      <c r="U23" s="19">
        <v>8</v>
      </c>
      <c r="V23" s="29">
        <v>149.41666666666666</v>
      </c>
      <c r="W23" s="18">
        <v>48.166666666666664</v>
      </c>
      <c r="X23" s="30">
        <v>101</v>
      </c>
      <c r="Y23" s="29">
        <v>446.5</v>
      </c>
      <c r="Z23" s="18">
        <v>28.5</v>
      </c>
      <c r="AA23" s="30">
        <v>418</v>
      </c>
      <c r="AB23" s="14">
        <v>37</v>
      </c>
      <c r="AC23" s="14">
        <v>66.25</v>
      </c>
      <c r="AD23" s="14">
        <v>113.75</v>
      </c>
      <c r="AE23" s="11">
        <v>100.33195618696351</v>
      </c>
      <c r="AF23" s="34"/>
      <c r="AG23" s="11"/>
      <c r="AH23" s="35"/>
      <c r="AI23" s="11"/>
    </row>
    <row r="24" spans="1:35" x14ac:dyDescent="0.25">
      <c r="A24" s="24">
        <v>22</v>
      </c>
      <c r="B24" s="25">
        <v>142</v>
      </c>
      <c r="C24" s="24">
        <v>1</v>
      </c>
      <c r="D24" s="8">
        <v>-0.1153</v>
      </c>
      <c r="E24">
        <v>1.2075</v>
      </c>
      <c r="F24" s="19">
        <v>-0.14269999999999999</v>
      </c>
      <c r="G24">
        <v>-1.2025999999999999</v>
      </c>
      <c r="H24">
        <v>1.7130000000000001</v>
      </c>
      <c r="I24" s="19">
        <v>-0.92059999999999997</v>
      </c>
      <c r="J24" s="8">
        <v>-1.0892999999999999</v>
      </c>
      <c r="K24" s="10">
        <v>1.234</v>
      </c>
      <c r="L24" s="28">
        <v>-0.1028</v>
      </c>
      <c r="M24" s="8">
        <v>-1.4320999999999999</v>
      </c>
      <c r="N24" s="7">
        <v>1.6164000000000001</v>
      </c>
      <c r="O24" s="19">
        <v>-0.97629999999999995</v>
      </c>
      <c r="P24" s="8">
        <v>16</v>
      </c>
      <c r="Q24" s="7">
        <v>6</v>
      </c>
      <c r="R24" s="19">
        <v>9</v>
      </c>
      <c r="S24" s="8">
        <v>15</v>
      </c>
      <c r="T24" s="7">
        <v>7</v>
      </c>
      <c r="U24" s="19">
        <v>7</v>
      </c>
      <c r="V24" s="29">
        <v>93.25</v>
      </c>
      <c r="W24" s="18">
        <v>36.75</v>
      </c>
      <c r="X24" s="30">
        <v>56</v>
      </c>
      <c r="Y24" s="29">
        <v>466.5</v>
      </c>
      <c r="Z24" s="18">
        <v>33.5</v>
      </c>
      <c r="AA24" s="30">
        <v>432.75</v>
      </c>
      <c r="AB24" s="14">
        <v>35.5</v>
      </c>
      <c r="AC24" s="14">
        <v>82.5</v>
      </c>
      <c r="AD24" s="14">
        <v>75</v>
      </c>
      <c r="AE24" s="11">
        <v>43.587745593670462</v>
      </c>
      <c r="AF24" s="34"/>
      <c r="AG24" s="11"/>
      <c r="AH24" s="35"/>
      <c r="AI24" s="11"/>
    </row>
  </sheetData>
  <autoFilter ref="A2:AE26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91"/>
  <sheetViews>
    <sheetView workbookViewId="0"/>
  </sheetViews>
  <sheetFormatPr defaultRowHeight="15" x14ac:dyDescent="0.25"/>
  <cols>
    <col min="3" max="3" width="21.140625" bestFit="1" customWidth="1"/>
    <col min="14" max="14" width="21.7109375" bestFit="1" customWidth="1"/>
    <col min="25" max="25" width="22.140625" bestFit="1" customWidth="1"/>
  </cols>
  <sheetData>
    <row r="1" spans="1:43" x14ac:dyDescent="0.25">
      <c r="A1" t="s">
        <v>181</v>
      </c>
      <c r="J1" t="s">
        <v>142</v>
      </c>
    </row>
    <row r="2" spans="1:43" x14ac:dyDescent="0.25">
      <c r="Q2" s="38"/>
      <c r="R2" s="39" t="s">
        <v>143</v>
      </c>
      <c r="S2" s="39" t="s">
        <v>144</v>
      </c>
      <c r="T2" s="40" t="s">
        <v>145</v>
      </c>
      <c r="U2" s="7"/>
      <c r="AB2" s="38"/>
      <c r="AC2" s="39" t="s">
        <v>143</v>
      </c>
      <c r="AD2" s="39" t="s">
        <v>144</v>
      </c>
      <c r="AE2" s="40" t="s">
        <v>145</v>
      </c>
      <c r="AF2" s="7"/>
      <c r="AM2" s="41" t="s">
        <v>146</v>
      </c>
      <c r="AN2" s="39" t="s">
        <v>143</v>
      </c>
      <c r="AO2" s="39" t="s">
        <v>144</v>
      </c>
      <c r="AP2" s="39" t="s">
        <v>145</v>
      </c>
      <c r="AQ2" s="40" t="s">
        <v>588</v>
      </c>
    </row>
    <row r="3" spans="1:43" x14ac:dyDescent="0.25">
      <c r="G3" s="38"/>
      <c r="H3" s="39" t="s">
        <v>143</v>
      </c>
      <c r="I3" s="39" t="s">
        <v>144</v>
      </c>
      <c r="J3" s="40" t="s">
        <v>145</v>
      </c>
      <c r="K3" s="7"/>
      <c r="Q3" s="8" t="s">
        <v>147</v>
      </c>
      <c r="R3" s="18">
        <f>AVERAGE(O8:O11,O20:O23,O31:O34,O43:O49,O57:O60,O72:O78)</f>
        <v>6377.2868650250512</v>
      </c>
      <c r="S3" s="18">
        <f>_xlfn.STDEV.P(O8:O11,O20:O23,O31:O34,O43:O49,O57:O60,O72:O78)</f>
        <v>7104.4932677284432</v>
      </c>
      <c r="T3" s="19">
        <f>(_xlfn.STDEV.P(O8:O11,O20:O23,O31:O34,O43:O49,O57:O60,O72:O78))/(SQRT(COUNT(O8:O11,O20:O23,O31:O34,O43:O49,O57:O60,O72:O78)))</f>
        <v>1319.2712799274216</v>
      </c>
      <c r="U3" s="89"/>
      <c r="AB3" s="8" t="s">
        <v>149</v>
      </c>
      <c r="AC3" s="18">
        <f>AVERAGE(Z12:Z15,Z36:Z40,Z46,Z63:Z64,Z69:Z70,Z74:Z78)</f>
        <v>4711.7741827432556</v>
      </c>
      <c r="AD3" s="18">
        <f>_xlfn.STDEV.P(Z12:Z15,Z36:Z40,Z46,Z63:Z64,Z69:Z70,Z74:Z78)</f>
        <v>4173.9263194437735</v>
      </c>
      <c r="AE3" s="19">
        <f>(_xlfn.STDEV.P(Z12:Z15,Z36:Z40,Z46,Z63:Z64,Z69:Z70,Z74:Z78))/(SQRT(COUNT(Z12:Z15,Z36:Z40,Z46,Z63:Z64,Z69:Z70,Z74:Z78)))</f>
        <v>957.56436969684603</v>
      </c>
      <c r="AF3" s="89"/>
      <c r="AM3" s="8" t="s">
        <v>147</v>
      </c>
      <c r="AN3" s="7">
        <v>6377.2868650250512</v>
      </c>
      <c r="AO3" s="7">
        <v>7104.4932677284432</v>
      </c>
      <c r="AP3" s="7">
        <v>1319.2712799274216</v>
      </c>
      <c r="AQ3" s="19" t="s">
        <v>148</v>
      </c>
    </row>
    <row r="4" spans="1:43" x14ac:dyDescent="0.25">
      <c r="G4" s="8" t="s">
        <v>150</v>
      </c>
      <c r="H4" s="18">
        <f>AVERAGE(D8:D11,D30:D41,D64:D74)</f>
        <v>7806.4448879030597</v>
      </c>
      <c r="I4" s="7">
        <f>_xlfn.STDEV.P(D8:D11,D30:D41,D64:D74)</f>
        <v>5946.1076690393184</v>
      </c>
      <c r="J4" s="19">
        <f>(_xlfn.STDEV.P(D8:D11,D30:D41,D64:D74))/(SQRT(COUNT(D8:D11,D30:D41,D64:D74)))</f>
        <v>1144.3289544501163</v>
      </c>
      <c r="K4" s="7"/>
      <c r="Q4" s="8" t="s">
        <v>152</v>
      </c>
      <c r="R4" s="18">
        <f>AVERAGE(O12:O15,O28:O30,O50:O56,O61:O67,O87:O90)</f>
        <v>7749.4548484891493</v>
      </c>
      <c r="S4" s="18">
        <f>_xlfn.STDEV.P(O12:O15,O28:O30,O50:O56,O61:O67,O87:O90)</f>
        <v>8640.6972382839904</v>
      </c>
      <c r="T4" s="19">
        <f>(_xlfn.STDEV.P(O12:O15,O28:O30,O50:O56,O61:O67,O87:O90))/(SQRT(COUNT(O12:O15,O28:O30,O50:O56,O61:O67,O87:O90)))</f>
        <v>1728.139447656798</v>
      </c>
      <c r="U4" s="89"/>
      <c r="AB4" s="8" t="s">
        <v>153</v>
      </c>
      <c r="AC4" s="18">
        <f>AVERAGE(Z8:Z11,Z20:Z35,Z45,Z71:Z73)</f>
        <v>7712.6939345432011</v>
      </c>
      <c r="AD4" s="18">
        <f>_xlfn.STDEV.P(Z8:Z11,Z20:Z35,Z45,Z71:Z73)</f>
        <v>7844.6612545472308</v>
      </c>
      <c r="AE4" s="19">
        <f>(_xlfn.STDEV.P(Z8:Z11,Z20:Z35,Z45,Z71:Z73))/(SQRT(COUNT(Z8:Z11,Z20:Z35,Z45,Z71:Z73)))</f>
        <v>1601.2847732185051</v>
      </c>
      <c r="AF4" s="89"/>
      <c r="AM4" s="8" t="s">
        <v>152</v>
      </c>
      <c r="AN4" s="7">
        <v>7749.4548484891493</v>
      </c>
      <c r="AO4" s="7">
        <v>8640.6972382839904</v>
      </c>
      <c r="AP4" s="7">
        <v>1728.139447656798</v>
      </c>
      <c r="AQ4" s="19" t="s">
        <v>148</v>
      </c>
    </row>
    <row r="5" spans="1:43" x14ac:dyDescent="0.25">
      <c r="C5" s="2" t="s">
        <v>154</v>
      </c>
      <c r="G5" s="8" t="s">
        <v>155</v>
      </c>
      <c r="H5" s="18">
        <f>AVERAGE(D42:D45,D50:D59,D79:D91)</f>
        <v>3918.2636791174359</v>
      </c>
      <c r="I5" s="7">
        <f>_xlfn.STDEV.P(D42:D45,D50:D59,D79:D91)</f>
        <v>4106.882493238928</v>
      </c>
      <c r="J5" s="19">
        <f>(_xlfn.STDEV.P(D42:D45,D50:D59,D79:D91))/(SQRT(COUNT(D42:D45,D50:D59,D79:D91)))</f>
        <v>790.36990433388542</v>
      </c>
      <c r="K5" s="7"/>
      <c r="N5" s="2" t="s">
        <v>157</v>
      </c>
      <c r="Q5" s="42" t="s">
        <v>158</v>
      </c>
      <c r="R5" s="43">
        <f>AVERAGE(O16:O19,O24:O27,O35:O42,O68:O71,O79:O86)</f>
        <v>6048.7943357962877</v>
      </c>
      <c r="S5" s="43">
        <f>AVERAGE(O16:O19,O24:O27,O35:O42,O68:O71,O79:O86)</f>
        <v>6048.7943357962877</v>
      </c>
      <c r="T5" s="44">
        <f>(_xlfn.STDEV.P(O16:O19,O24:O27,O35:O42,O68:O71,O79:O86))/(SQRT(COUNT(O16:O19,O24:O27,O35:O42,O68:O71,O79:O86)))</f>
        <v>1060.2722396718086</v>
      </c>
      <c r="U5" s="89"/>
      <c r="Y5" s="2" t="s">
        <v>159</v>
      </c>
      <c r="AB5" s="42" t="s">
        <v>160</v>
      </c>
      <c r="AC5" s="43">
        <f>AVERAGE(Z16:Z19,Z41:Z44,Z47:Z62,Z65:Z68)</f>
        <v>7979.3427059619835</v>
      </c>
      <c r="AD5" s="43">
        <f>_xlfn.STDEV.P(Z16:Z19,Z41:Z44,Z47:Z62,Z65:Z68)</f>
        <v>5942.2008776161601</v>
      </c>
      <c r="AE5" s="44">
        <f>(_xlfn.STDEV.P(Z16:Z19,Z41:Z44,Z47:Z62,Z65:Z68))/(SQRT(COUNT(Z16:Z19,Z41:Z44,Z47:Z62,Z65:Z68)))</f>
        <v>1122.9704116115797</v>
      </c>
      <c r="AF5" s="89"/>
      <c r="AK5" s="2" t="s">
        <v>161</v>
      </c>
      <c r="AM5" s="45" t="s">
        <v>158</v>
      </c>
      <c r="AN5" s="5">
        <v>6048.7943357962877</v>
      </c>
      <c r="AO5" s="5">
        <v>6048.7943357962877</v>
      </c>
      <c r="AP5" s="5">
        <v>1060.2722396718086</v>
      </c>
      <c r="AQ5" s="46" t="s">
        <v>148</v>
      </c>
    </row>
    <row r="6" spans="1:43" x14ac:dyDescent="0.25">
      <c r="G6" s="42" t="s">
        <v>162</v>
      </c>
      <c r="H6" s="43">
        <f>AVERAGE(D12:D29,D46:D49,D60:D63,D75:D78)</f>
        <v>5281.5405011433368</v>
      </c>
      <c r="I6" s="3">
        <f>_xlfn.STDEV.P(D12:D29,D46:D49,D60:D63,D75:D78)</f>
        <v>4894.8519233934776</v>
      </c>
      <c r="J6" s="44">
        <f>(_xlfn.STDEV.P(D12:D29,D46:D49,D60:D63,D75:D78))/(SQRT(COUNT(D12:D29,D46:D49,D60:D63,D75:D78)))</f>
        <v>893.67360469671894</v>
      </c>
      <c r="K6" s="7"/>
    </row>
    <row r="7" spans="1:43" x14ac:dyDescent="0.25">
      <c r="C7" t="s">
        <v>164</v>
      </c>
      <c r="D7" t="s">
        <v>165</v>
      </c>
      <c r="N7" t="s">
        <v>166</v>
      </c>
      <c r="O7" t="s">
        <v>165</v>
      </c>
      <c r="Y7" t="s">
        <v>167</v>
      </c>
      <c r="Z7" t="s">
        <v>165</v>
      </c>
      <c r="AM7" s="8" t="s">
        <v>150</v>
      </c>
      <c r="AN7" s="7">
        <v>7806.4448879030597</v>
      </c>
      <c r="AO7" s="7">
        <v>5946.1076690393184</v>
      </c>
      <c r="AP7" s="7">
        <v>1144.3289544501163</v>
      </c>
      <c r="AQ7" s="19" t="s">
        <v>151</v>
      </c>
    </row>
    <row r="8" spans="1:43" x14ac:dyDescent="0.25">
      <c r="C8" s="37" t="s">
        <v>168</v>
      </c>
      <c r="D8" s="84">
        <v>3378.6407766990287</v>
      </c>
      <c r="E8" s="11"/>
      <c r="F8" s="11"/>
      <c r="G8" s="11"/>
      <c r="H8" s="11"/>
      <c r="I8" s="11"/>
      <c r="J8" s="11"/>
      <c r="K8" s="11"/>
      <c r="L8" s="11"/>
      <c r="M8" s="11"/>
      <c r="N8" s="47" t="s">
        <v>169</v>
      </c>
      <c r="O8" s="84">
        <v>13046.91042047532</v>
      </c>
      <c r="P8" s="11"/>
      <c r="Q8" s="11"/>
      <c r="R8" s="11"/>
      <c r="S8" s="11"/>
      <c r="T8" s="11"/>
      <c r="U8" s="11"/>
      <c r="V8" s="11"/>
      <c r="W8" s="11"/>
      <c r="X8" s="11"/>
      <c r="Y8" s="47" t="s">
        <v>170</v>
      </c>
      <c r="Z8" s="84">
        <v>12359.825673534073</v>
      </c>
      <c r="AM8" s="8" t="s">
        <v>155</v>
      </c>
      <c r="AN8" s="7">
        <v>3918.2636791174359</v>
      </c>
      <c r="AO8" s="7">
        <v>4106.882493238928</v>
      </c>
      <c r="AP8" s="7">
        <v>790.36990433388542</v>
      </c>
      <c r="AQ8" s="19" t="s">
        <v>156</v>
      </c>
    </row>
    <row r="9" spans="1:43" x14ac:dyDescent="0.25">
      <c r="C9" s="37" t="s">
        <v>168</v>
      </c>
      <c r="D9" s="84">
        <v>7424.1486068111453</v>
      </c>
      <c r="E9" s="11"/>
      <c r="F9" s="11"/>
      <c r="G9" s="11"/>
      <c r="H9" s="11"/>
      <c r="I9" s="11"/>
      <c r="J9" s="11"/>
      <c r="K9" s="11"/>
      <c r="L9" s="11"/>
      <c r="M9" s="11"/>
      <c r="N9" s="47" t="s">
        <v>169</v>
      </c>
      <c r="O9" s="84">
        <v>8573.7704918032796</v>
      </c>
      <c r="P9" s="11"/>
      <c r="Q9" s="11"/>
      <c r="R9" s="11"/>
      <c r="S9" s="11"/>
      <c r="T9" s="11"/>
      <c r="U9" s="11"/>
      <c r="V9" s="11"/>
      <c r="W9" s="11"/>
      <c r="X9" s="11"/>
      <c r="Y9" s="47" t="s">
        <v>170</v>
      </c>
      <c r="Z9" s="84">
        <v>6533.8393187708252</v>
      </c>
      <c r="AM9" s="45" t="s">
        <v>162</v>
      </c>
      <c r="AN9" s="5">
        <v>5281.5405011433368</v>
      </c>
      <c r="AO9" s="5">
        <v>4894.8519233934776</v>
      </c>
      <c r="AP9" s="5">
        <v>893.67360469671894</v>
      </c>
      <c r="AQ9" s="46" t="s">
        <v>163</v>
      </c>
    </row>
    <row r="10" spans="1:43" x14ac:dyDescent="0.25">
      <c r="C10" s="37" t="s">
        <v>168</v>
      </c>
      <c r="D10" s="84">
        <v>6796.0396039603966</v>
      </c>
      <c r="E10" s="11"/>
      <c r="F10" s="11"/>
      <c r="G10" s="11"/>
      <c r="H10" s="11"/>
      <c r="I10" s="11"/>
      <c r="J10" s="11"/>
      <c r="K10" s="11"/>
      <c r="L10" s="11"/>
      <c r="M10" s="11"/>
      <c r="N10" s="47" t="s">
        <v>169</v>
      </c>
      <c r="O10" s="84">
        <v>30630.434782608692</v>
      </c>
      <c r="P10" s="11"/>
      <c r="Q10" s="11"/>
      <c r="R10" s="11"/>
      <c r="S10" s="11"/>
      <c r="T10" s="11"/>
      <c r="U10" s="11"/>
      <c r="V10" s="11"/>
      <c r="W10" s="11"/>
      <c r="X10" s="11"/>
      <c r="Y10" s="47" t="s">
        <v>170</v>
      </c>
      <c r="Z10" s="84">
        <v>10409.68216597999</v>
      </c>
    </row>
    <row r="11" spans="1:43" x14ac:dyDescent="0.25">
      <c r="C11" s="37" t="s">
        <v>168</v>
      </c>
      <c r="D11" s="85">
        <v>9022.3214285714294</v>
      </c>
      <c r="E11" s="11"/>
      <c r="F11" s="11"/>
      <c r="G11" s="11"/>
      <c r="H11" s="11"/>
      <c r="I11" s="11"/>
      <c r="J11" s="11"/>
      <c r="K11" s="11"/>
      <c r="L11" s="11"/>
      <c r="M11" s="11"/>
      <c r="N11" s="47" t="s">
        <v>169</v>
      </c>
      <c r="O11" s="85">
        <v>8529.4117647058829</v>
      </c>
      <c r="P11" s="11"/>
      <c r="Q11" s="11"/>
      <c r="R11" s="11"/>
      <c r="S11" s="11"/>
      <c r="T11" s="11"/>
      <c r="U11" s="11"/>
      <c r="V11" s="11"/>
      <c r="W11" s="11"/>
      <c r="X11" s="11"/>
      <c r="Y11" s="47" t="s">
        <v>170</v>
      </c>
      <c r="Z11" s="85">
        <v>17143.399148277196</v>
      </c>
      <c r="AM11" s="8" t="s">
        <v>149</v>
      </c>
      <c r="AN11" s="7">
        <v>4711.7741827432556</v>
      </c>
      <c r="AO11" s="7">
        <v>4173.9263194437735</v>
      </c>
      <c r="AP11" s="7">
        <v>957.56436969684603</v>
      </c>
      <c r="AQ11" s="19" t="s">
        <v>148</v>
      </c>
    </row>
    <row r="12" spans="1:43" x14ac:dyDescent="0.25">
      <c r="C12" s="37" t="s">
        <v>171</v>
      </c>
      <c r="D12" s="84">
        <v>1041.9032258064517</v>
      </c>
      <c r="E12" s="11"/>
      <c r="F12" s="11"/>
      <c r="G12" s="11"/>
      <c r="H12" s="11"/>
      <c r="I12" s="11"/>
      <c r="J12" s="11"/>
      <c r="K12" s="11"/>
      <c r="L12" s="11"/>
      <c r="M12" s="11"/>
      <c r="N12" s="47" t="s">
        <v>172</v>
      </c>
      <c r="O12" s="84">
        <v>31160.445531105677</v>
      </c>
      <c r="P12" s="11"/>
      <c r="Q12" s="11"/>
      <c r="R12" s="11"/>
      <c r="S12" s="11"/>
      <c r="T12" s="11"/>
      <c r="U12" s="11"/>
      <c r="V12" s="11"/>
      <c r="W12" s="11"/>
      <c r="X12" s="11"/>
      <c r="Y12" s="47" t="s">
        <v>173</v>
      </c>
      <c r="Z12" s="84">
        <v>710.5640314378179</v>
      </c>
      <c r="AM12" s="8" t="s">
        <v>153</v>
      </c>
      <c r="AN12" s="7">
        <v>7712.6939345432011</v>
      </c>
      <c r="AO12" s="7">
        <v>7844.6612545472308</v>
      </c>
      <c r="AP12" s="7">
        <v>1601.2847732185051</v>
      </c>
      <c r="AQ12" s="19" t="s">
        <v>148</v>
      </c>
    </row>
    <row r="13" spans="1:43" x14ac:dyDescent="0.25">
      <c r="C13" s="37" t="s">
        <v>171</v>
      </c>
      <c r="D13" s="84">
        <v>19896.261355695318</v>
      </c>
      <c r="E13" s="11"/>
      <c r="F13" s="11"/>
      <c r="G13" s="11"/>
      <c r="H13" s="11"/>
      <c r="I13" s="11"/>
      <c r="J13" s="11"/>
      <c r="K13" s="11"/>
      <c r="L13" s="11"/>
      <c r="M13" s="11"/>
      <c r="N13" s="47" t="s">
        <v>172</v>
      </c>
      <c r="O13" s="84">
        <v>19019.353948094973</v>
      </c>
      <c r="P13" s="11"/>
      <c r="Q13" s="11"/>
      <c r="R13" s="11"/>
      <c r="S13" s="11"/>
      <c r="T13" s="11"/>
      <c r="U13" s="11"/>
      <c r="V13" s="11"/>
      <c r="W13" s="11"/>
      <c r="X13" s="11"/>
      <c r="Y13" s="47" t="s">
        <v>173</v>
      </c>
      <c r="Z13" s="84">
        <v>9765.9704880817262</v>
      </c>
      <c r="AM13" s="42" t="s">
        <v>160</v>
      </c>
      <c r="AN13" s="3">
        <v>7979.3427059619835</v>
      </c>
      <c r="AO13" s="3">
        <v>5942.2008776161601</v>
      </c>
      <c r="AP13" s="3">
        <v>1122.9704116115797</v>
      </c>
      <c r="AQ13" s="44" t="s">
        <v>148</v>
      </c>
    </row>
    <row r="14" spans="1:43" x14ac:dyDescent="0.25">
      <c r="C14" s="37" t="s">
        <v>171</v>
      </c>
      <c r="D14" s="84">
        <v>1885.3333333333335</v>
      </c>
      <c r="E14" s="11"/>
      <c r="F14" s="11"/>
      <c r="G14" s="11"/>
      <c r="H14" s="11"/>
      <c r="I14" s="11"/>
      <c r="J14" s="11"/>
      <c r="K14" s="11"/>
      <c r="L14" s="11"/>
      <c r="M14" s="11"/>
      <c r="N14" s="47" t="s">
        <v>172</v>
      </c>
      <c r="O14" s="84">
        <v>3144.8119498532938</v>
      </c>
      <c r="P14" s="11"/>
      <c r="Q14" s="11"/>
      <c r="R14" s="11"/>
      <c r="S14" s="11"/>
      <c r="T14" s="11"/>
      <c r="U14" s="11"/>
      <c r="V14" s="11"/>
      <c r="W14" s="11"/>
      <c r="X14" s="11"/>
      <c r="Y14" s="47" t="s">
        <v>173</v>
      </c>
      <c r="Z14" s="84">
        <v>1759.495580944169</v>
      </c>
    </row>
    <row r="15" spans="1:43" x14ac:dyDescent="0.25">
      <c r="C15" s="37" t="s">
        <v>171</v>
      </c>
      <c r="D15" s="85">
        <v>10600.543478260868</v>
      </c>
      <c r="E15" s="11"/>
      <c r="F15" s="11"/>
      <c r="G15" s="11"/>
      <c r="H15" s="11"/>
      <c r="I15" s="11"/>
      <c r="J15" s="11"/>
      <c r="K15" s="11"/>
      <c r="L15" s="11"/>
      <c r="M15" s="11"/>
      <c r="N15" s="47" t="s">
        <v>172</v>
      </c>
      <c r="O15" s="85">
        <v>27006.50759219089</v>
      </c>
      <c r="P15" s="11"/>
      <c r="Q15" s="11"/>
      <c r="R15" s="11"/>
      <c r="S15" s="11"/>
      <c r="T15" s="11"/>
      <c r="U15" s="11"/>
      <c r="V15" s="11"/>
      <c r="W15" s="11"/>
      <c r="X15" s="11"/>
      <c r="Y15" s="47" t="s">
        <v>173</v>
      </c>
      <c r="Z15" s="85">
        <v>8722.6463104325703</v>
      </c>
    </row>
    <row r="16" spans="1:43" x14ac:dyDescent="0.25">
      <c r="C16" s="37" t="s">
        <v>171</v>
      </c>
      <c r="D16" s="84">
        <v>18885.074951118837</v>
      </c>
      <c r="E16" s="11"/>
      <c r="F16" s="11"/>
      <c r="G16" s="11"/>
      <c r="H16" s="11"/>
      <c r="I16" s="11"/>
      <c r="J16" s="11"/>
      <c r="K16" s="11"/>
      <c r="L16" s="11"/>
      <c r="M16" s="11"/>
      <c r="N16" s="47" t="s">
        <v>174</v>
      </c>
      <c r="O16" s="84">
        <v>9108.8459285295849</v>
      </c>
      <c r="P16" s="11"/>
      <c r="Q16" s="11"/>
      <c r="R16" s="11"/>
      <c r="S16" s="11"/>
      <c r="T16" s="11"/>
      <c r="U16" s="11"/>
      <c r="V16" s="11"/>
      <c r="W16" s="11"/>
      <c r="X16" s="11"/>
      <c r="Y16" s="47" t="s">
        <v>175</v>
      </c>
      <c r="Z16" s="84">
        <v>3816.4755351681961</v>
      </c>
    </row>
    <row r="17" spans="3:36" x14ac:dyDescent="0.25">
      <c r="C17" s="37" t="s">
        <v>171</v>
      </c>
      <c r="D17" s="85">
        <v>2174.8827138217252</v>
      </c>
      <c r="E17" s="11"/>
      <c r="F17" s="11"/>
      <c r="G17" s="11"/>
      <c r="H17" s="11"/>
      <c r="I17" s="11"/>
      <c r="J17" s="11"/>
      <c r="K17" s="11"/>
      <c r="L17" s="11"/>
      <c r="M17" s="11"/>
      <c r="N17" s="47" t="s">
        <v>174</v>
      </c>
      <c r="O17" s="84">
        <v>1708.0680245204669</v>
      </c>
      <c r="P17" s="11"/>
      <c r="Q17" s="11"/>
      <c r="R17" s="11"/>
      <c r="S17" s="11"/>
      <c r="T17" s="11"/>
      <c r="U17" s="11"/>
      <c r="V17" s="11"/>
      <c r="W17" s="11"/>
      <c r="X17" s="11"/>
      <c r="Y17" s="47" t="s">
        <v>175</v>
      </c>
      <c r="Z17" s="84">
        <v>3036.7088607594937</v>
      </c>
    </row>
    <row r="18" spans="3:36" x14ac:dyDescent="0.25">
      <c r="C18" s="37" t="s">
        <v>171</v>
      </c>
      <c r="D18" s="84">
        <v>1235.1778656126482</v>
      </c>
      <c r="E18" s="11"/>
      <c r="F18" s="11"/>
      <c r="G18" s="11"/>
      <c r="H18" s="11"/>
      <c r="I18" s="11"/>
      <c r="J18" s="11"/>
      <c r="K18" s="11"/>
      <c r="L18" s="11"/>
      <c r="M18" s="11"/>
      <c r="N18" s="47" t="s">
        <v>174</v>
      </c>
      <c r="O18" s="84">
        <v>691.89189189189187</v>
      </c>
      <c r="P18" s="11"/>
      <c r="Q18" s="11"/>
      <c r="R18" s="11"/>
      <c r="S18" s="11"/>
      <c r="T18" s="11"/>
      <c r="U18" s="11"/>
      <c r="V18" s="11"/>
      <c r="W18" s="11"/>
      <c r="X18" s="11"/>
      <c r="Y18" s="47" t="s">
        <v>175</v>
      </c>
      <c r="Z18" s="84">
        <v>4823.1321457059294</v>
      </c>
    </row>
    <row r="19" spans="3:36" x14ac:dyDescent="0.25">
      <c r="C19" s="37" t="s">
        <v>171</v>
      </c>
      <c r="D19" s="84">
        <v>4960.3107344632772</v>
      </c>
      <c r="E19" s="11"/>
      <c r="F19" s="11"/>
      <c r="G19" s="11"/>
      <c r="H19" s="11"/>
      <c r="I19" s="11"/>
      <c r="J19" s="11"/>
      <c r="K19" s="11"/>
      <c r="L19" s="11"/>
      <c r="M19" s="11"/>
      <c r="N19" s="47" t="s">
        <v>174</v>
      </c>
      <c r="O19" s="85">
        <v>7552.6315789473683</v>
      </c>
      <c r="P19" s="11"/>
      <c r="Q19" s="11"/>
      <c r="R19" s="11"/>
      <c r="S19" s="11"/>
      <c r="T19" s="11"/>
      <c r="U19" s="11"/>
      <c r="V19" s="11"/>
      <c r="W19" s="11"/>
      <c r="X19" s="11"/>
      <c r="Y19" s="47" t="s">
        <v>175</v>
      </c>
      <c r="Z19" s="85">
        <v>13369.295851528386</v>
      </c>
    </row>
    <row r="20" spans="3:36" x14ac:dyDescent="0.25">
      <c r="C20" s="37" t="s">
        <v>171</v>
      </c>
      <c r="D20" s="84">
        <v>2704.7872340425533</v>
      </c>
      <c r="E20" s="11"/>
      <c r="F20" s="11"/>
      <c r="G20" s="11"/>
      <c r="H20" s="11"/>
      <c r="I20" s="11"/>
      <c r="J20" s="11"/>
      <c r="K20" s="11"/>
      <c r="L20" s="11"/>
      <c r="M20" s="11"/>
      <c r="N20" s="47" t="s">
        <v>169</v>
      </c>
      <c r="O20" s="84">
        <v>694.68267581475129</v>
      </c>
      <c r="P20" s="11"/>
      <c r="Q20" s="11"/>
      <c r="R20" s="11"/>
      <c r="S20" s="11"/>
      <c r="T20" s="11"/>
      <c r="U20" s="11"/>
      <c r="V20" s="11"/>
      <c r="W20" s="11"/>
      <c r="X20" s="11"/>
      <c r="Y20" s="47" t="s">
        <v>170</v>
      </c>
      <c r="Z20" s="84">
        <v>116.13931812607308</v>
      </c>
    </row>
    <row r="21" spans="3:36" x14ac:dyDescent="0.25">
      <c r="C21" s="37" t="s">
        <v>171</v>
      </c>
      <c r="D21" s="85">
        <v>4282.9131652661063</v>
      </c>
      <c r="E21" s="11"/>
      <c r="F21" s="11"/>
      <c r="G21" s="11"/>
      <c r="H21" s="11"/>
      <c r="I21" s="11"/>
      <c r="J21" s="11"/>
      <c r="K21" s="11"/>
      <c r="L21" s="11"/>
      <c r="M21" s="11"/>
      <c r="N21" s="47" t="s">
        <v>169</v>
      </c>
      <c r="O21" s="84">
        <v>408.08823529411768</v>
      </c>
      <c r="P21" s="11"/>
      <c r="Q21" s="11"/>
      <c r="R21" s="11"/>
      <c r="S21" s="11"/>
      <c r="T21" s="11"/>
      <c r="U21" s="11"/>
      <c r="V21" s="11"/>
      <c r="W21" s="11"/>
      <c r="X21" s="11"/>
      <c r="Y21" s="47" t="s">
        <v>170</v>
      </c>
      <c r="Z21" s="84">
        <v>1503.7977931742364</v>
      </c>
    </row>
    <row r="22" spans="3:36" x14ac:dyDescent="0.25">
      <c r="C22" s="37" t="s">
        <v>171</v>
      </c>
      <c r="D22" s="84">
        <v>3818.5217645340344</v>
      </c>
      <c r="E22" s="11"/>
      <c r="F22" s="11"/>
      <c r="G22" s="11"/>
      <c r="H22" s="11"/>
      <c r="I22" s="11"/>
      <c r="J22" s="11"/>
      <c r="K22" s="11"/>
      <c r="L22" s="11"/>
      <c r="M22" s="11"/>
      <c r="N22" s="47" t="s">
        <v>169</v>
      </c>
      <c r="O22" s="84">
        <v>420.28985507246375</v>
      </c>
      <c r="P22" s="11"/>
      <c r="Q22" s="11"/>
      <c r="R22" s="11"/>
      <c r="S22" s="11"/>
      <c r="T22" s="11"/>
      <c r="U22" s="11"/>
      <c r="V22" s="11"/>
      <c r="W22" s="11"/>
      <c r="X22" s="11"/>
      <c r="Y22" s="47" t="s">
        <v>170</v>
      </c>
      <c r="Z22" s="84">
        <v>11906.16362631288</v>
      </c>
    </row>
    <row r="23" spans="3:36" x14ac:dyDescent="0.25">
      <c r="C23" s="37" t="s">
        <v>171</v>
      </c>
      <c r="D23" s="84">
        <v>0</v>
      </c>
      <c r="E23" s="11"/>
      <c r="F23" s="11"/>
      <c r="G23" s="11"/>
      <c r="H23" s="11"/>
      <c r="I23" s="11"/>
      <c r="J23" s="11"/>
      <c r="K23" s="11"/>
      <c r="L23" s="11"/>
      <c r="M23" s="11"/>
      <c r="N23" s="47" t="s">
        <v>169</v>
      </c>
      <c r="O23" s="85">
        <v>1381.868131868132</v>
      </c>
      <c r="P23" s="11"/>
      <c r="Q23" s="11"/>
      <c r="R23" s="11"/>
      <c r="S23" s="11"/>
      <c r="T23" s="11"/>
      <c r="U23" s="11"/>
      <c r="V23" s="11"/>
      <c r="W23" s="11"/>
      <c r="X23" s="11"/>
      <c r="Y23" s="47" t="s">
        <v>170</v>
      </c>
      <c r="Z23" s="85">
        <v>4344.6712018140588</v>
      </c>
    </row>
    <row r="24" spans="3:36" x14ac:dyDescent="0.25">
      <c r="C24" s="37" t="s">
        <v>171</v>
      </c>
      <c r="D24" s="84">
        <v>348.9395758303321</v>
      </c>
      <c r="E24" s="11"/>
      <c r="F24" s="11"/>
      <c r="G24" s="11"/>
      <c r="H24" s="11"/>
      <c r="I24" s="11"/>
      <c r="J24" s="11"/>
      <c r="K24" s="11"/>
      <c r="L24" s="11"/>
      <c r="M24" s="11"/>
      <c r="N24" s="47" t="s">
        <v>174</v>
      </c>
      <c r="O24" s="84">
        <v>10485.363064608347</v>
      </c>
      <c r="P24" s="11"/>
      <c r="Q24" s="11"/>
      <c r="R24" s="11"/>
      <c r="S24" s="11"/>
      <c r="T24" s="11"/>
      <c r="U24" s="11"/>
      <c r="V24" s="11"/>
      <c r="W24" s="11"/>
      <c r="X24" s="11"/>
      <c r="Y24" s="47" t="s">
        <v>170</v>
      </c>
      <c r="Z24" s="84">
        <v>4684.1661987647385</v>
      </c>
    </row>
    <row r="25" spans="3:36" x14ac:dyDescent="0.25">
      <c r="C25" s="37" t="s">
        <v>171</v>
      </c>
      <c r="D25" s="85">
        <v>6897.8102189781011</v>
      </c>
      <c r="E25" s="11"/>
      <c r="F25" s="11"/>
      <c r="G25" s="11"/>
      <c r="H25" s="11"/>
      <c r="I25" s="11"/>
      <c r="J25" s="11"/>
      <c r="K25" s="11"/>
      <c r="L25" s="11"/>
      <c r="M25" s="11"/>
      <c r="N25" s="47" t="s">
        <v>174</v>
      </c>
      <c r="O25" s="84">
        <v>4293.4021061680642</v>
      </c>
      <c r="P25" s="11"/>
      <c r="Q25" s="11"/>
      <c r="R25" s="11"/>
      <c r="S25" s="11"/>
      <c r="T25" s="11"/>
      <c r="U25" s="11"/>
      <c r="V25" s="11"/>
      <c r="W25" s="11"/>
      <c r="X25" s="11"/>
      <c r="Y25" s="47" t="s">
        <v>170</v>
      </c>
      <c r="Z25" s="84">
        <v>4032.188498402556</v>
      </c>
    </row>
    <row r="26" spans="3:36" x14ac:dyDescent="0.25">
      <c r="C26" s="37" t="s">
        <v>171</v>
      </c>
      <c r="D26" s="84">
        <v>6481.4015375517456</v>
      </c>
      <c r="E26" s="11"/>
      <c r="F26" s="11"/>
      <c r="G26" s="11"/>
      <c r="H26" s="11"/>
      <c r="I26" s="11"/>
      <c r="J26" s="11"/>
      <c r="K26" s="11"/>
      <c r="L26" s="11"/>
      <c r="M26" s="11"/>
      <c r="N26" s="47" t="s">
        <v>174</v>
      </c>
      <c r="O26" s="84">
        <v>9219.1522224129058</v>
      </c>
      <c r="P26" s="11"/>
      <c r="Q26" s="11"/>
      <c r="R26" s="11"/>
      <c r="S26" s="11"/>
      <c r="T26" s="11"/>
      <c r="U26" s="11"/>
      <c r="V26" s="11"/>
      <c r="W26" s="11"/>
      <c r="X26" s="11"/>
      <c r="Y26" s="47" t="s">
        <v>170</v>
      </c>
      <c r="Z26" s="84">
        <v>17758.771929824561</v>
      </c>
    </row>
    <row r="27" spans="3:36" x14ac:dyDescent="0.25">
      <c r="C27" s="37" t="s">
        <v>171</v>
      </c>
      <c r="D27" s="84">
        <v>4766.1016949152545</v>
      </c>
      <c r="E27" s="11"/>
      <c r="F27" s="11"/>
      <c r="G27" s="11"/>
      <c r="H27" s="11"/>
      <c r="I27" s="11"/>
      <c r="J27" s="11"/>
      <c r="K27" s="11"/>
      <c r="L27" s="11"/>
      <c r="M27" s="11"/>
      <c r="N27" s="47" t="s">
        <v>174</v>
      </c>
      <c r="O27" s="85">
        <v>2138.3495145631068</v>
      </c>
      <c r="P27" s="11"/>
      <c r="Q27" s="11"/>
      <c r="R27" s="11"/>
      <c r="S27" s="11"/>
      <c r="T27" s="11"/>
      <c r="U27" s="11"/>
      <c r="V27" s="11"/>
      <c r="W27" s="11"/>
      <c r="X27" s="11"/>
      <c r="Y27" s="47" t="s">
        <v>170</v>
      </c>
      <c r="Z27" s="85">
        <v>28760.539957185571</v>
      </c>
    </row>
    <row r="28" spans="3:36" x14ac:dyDescent="0.25">
      <c r="C28" s="37" t="s">
        <v>171</v>
      </c>
      <c r="D28" s="84">
        <v>2387.1316572046499</v>
      </c>
      <c r="E28" s="11"/>
      <c r="F28" s="11"/>
      <c r="G28" s="11"/>
      <c r="H28" s="11"/>
      <c r="I28" s="11"/>
      <c r="J28" s="11"/>
      <c r="K28" s="11"/>
      <c r="L28" s="11"/>
      <c r="M28" s="11"/>
      <c r="N28" s="47" t="s">
        <v>172</v>
      </c>
      <c r="O28" s="84">
        <v>3263.0363036303629</v>
      </c>
      <c r="P28" s="11"/>
      <c r="Q28" s="11"/>
      <c r="R28" s="11"/>
      <c r="S28" s="11"/>
      <c r="T28" s="11"/>
      <c r="U28" s="11"/>
      <c r="V28" s="11"/>
      <c r="W28" s="11"/>
      <c r="X28" s="11"/>
      <c r="Y28" s="47" t="s">
        <v>170</v>
      </c>
      <c r="Z28" s="84">
        <v>14850.372439478584</v>
      </c>
    </row>
    <row r="29" spans="3:36" x14ac:dyDescent="0.25">
      <c r="C29" s="37" t="s">
        <v>171</v>
      </c>
      <c r="D29" s="85">
        <v>6645.6953642384105</v>
      </c>
      <c r="E29" s="11"/>
      <c r="F29" s="11"/>
      <c r="G29" s="11"/>
      <c r="H29" s="11"/>
      <c r="I29" s="11"/>
      <c r="J29" s="11"/>
      <c r="K29" s="11"/>
      <c r="L29" s="11"/>
      <c r="M29" s="11"/>
      <c r="N29" s="47" t="s">
        <v>172</v>
      </c>
      <c r="O29" s="84">
        <v>2031.8828451882848</v>
      </c>
      <c r="P29" s="11"/>
      <c r="Q29" s="11"/>
      <c r="R29" s="11"/>
      <c r="S29" s="11"/>
      <c r="T29" s="11"/>
      <c r="U29" s="11"/>
      <c r="V29" s="11"/>
      <c r="W29" s="11"/>
      <c r="X29" s="11"/>
      <c r="Y29" s="47" t="s">
        <v>170</v>
      </c>
      <c r="Z29" s="84">
        <v>16233.545647558387</v>
      </c>
    </row>
    <row r="30" spans="3:36" x14ac:dyDescent="0.25">
      <c r="C30" s="37" t="s">
        <v>168</v>
      </c>
      <c r="D30" s="84">
        <v>7900.4617752693694</v>
      </c>
      <c r="E30" s="11"/>
      <c r="F30" s="11"/>
      <c r="G30" s="11"/>
      <c r="H30" s="11"/>
      <c r="I30" s="11"/>
      <c r="J30" s="11"/>
      <c r="K30" s="11"/>
      <c r="L30" s="11"/>
      <c r="M30" s="11"/>
      <c r="N30" s="47" t="s">
        <v>172</v>
      </c>
      <c r="O30" s="85">
        <v>9560.4026845637582</v>
      </c>
      <c r="P30" s="11"/>
      <c r="Q30" s="11"/>
      <c r="R30" s="11"/>
      <c r="S30" s="11"/>
      <c r="T30" s="11"/>
      <c r="U30" s="11"/>
      <c r="V30" s="11"/>
      <c r="W30" s="11"/>
      <c r="X30" s="11"/>
      <c r="Y30" s="47" t="s">
        <v>170</v>
      </c>
      <c r="Z30" s="85">
        <v>1524.2718446601943</v>
      </c>
    </row>
    <row r="31" spans="3:36" x14ac:dyDescent="0.25">
      <c r="C31" s="37" t="s">
        <v>168</v>
      </c>
      <c r="D31" s="84">
        <v>3855.7147975635971</v>
      </c>
      <c r="E31" s="11"/>
      <c r="F31" s="11"/>
      <c r="G31" s="11"/>
      <c r="H31" s="11"/>
      <c r="I31" s="11"/>
      <c r="J31" s="11"/>
      <c r="K31" s="11"/>
      <c r="L31" s="11"/>
      <c r="M31" s="11"/>
      <c r="N31" s="47" t="s">
        <v>169</v>
      </c>
      <c r="O31" s="84">
        <v>5929.0568089154658</v>
      </c>
      <c r="P31" s="11"/>
      <c r="Q31" s="11"/>
      <c r="R31" s="11"/>
      <c r="S31" s="11"/>
      <c r="T31" s="11"/>
      <c r="U31" s="11"/>
      <c r="V31" s="11"/>
      <c r="W31" s="11"/>
      <c r="X31" s="11"/>
      <c r="Y31" s="47" t="s">
        <v>170</v>
      </c>
      <c r="Z31" s="84">
        <v>15</v>
      </c>
    </row>
    <row r="32" spans="3:36" x14ac:dyDescent="0.25">
      <c r="C32" s="37" t="s">
        <v>168</v>
      </c>
      <c r="D32" s="84">
        <v>12252.502780867633</v>
      </c>
      <c r="E32" s="11"/>
      <c r="F32" s="11"/>
      <c r="G32" s="11"/>
      <c r="H32" s="11"/>
      <c r="I32" s="11"/>
      <c r="J32" s="11"/>
      <c r="K32" s="11"/>
      <c r="L32" s="11"/>
      <c r="M32" s="11"/>
      <c r="N32" s="47" t="s">
        <v>169</v>
      </c>
      <c r="O32" s="84">
        <v>4883.9184597961494</v>
      </c>
      <c r="P32" s="11"/>
      <c r="Q32" s="11"/>
      <c r="R32" s="11"/>
      <c r="S32" s="11"/>
      <c r="T32" s="11"/>
      <c r="U32" s="11"/>
      <c r="V32" s="11"/>
      <c r="W32" s="11"/>
      <c r="X32" s="11"/>
      <c r="Y32" s="47" t="s">
        <v>170</v>
      </c>
      <c r="Z32" s="84">
        <v>0</v>
      </c>
      <c r="AJ32">
        <f>1-AJ33</f>
        <v>0.95</v>
      </c>
    </row>
    <row r="33" spans="3:37" x14ac:dyDescent="0.25">
      <c r="C33" s="37" t="s">
        <v>168</v>
      </c>
      <c r="D33" s="85">
        <v>12537.857543466069</v>
      </c>
      <c r="E33" s="11"/>
      <c r="F33" s="11"/>
      <c r="G33" s="11"/>
      <c r="H33" s="11"/>
      <c r="I33" s="11"/>
      <c r="J33" s="11"/>
      <c r="K33" s="11"/>
      <c r="L33" s="11"/>
      <c r="M33" s="11"/>
      <c r="N33" s="47" t="s">
        <v>169</v>
      </c>
      <c r="O33" s="84">
        <v>3665.8897355445988</v>
      </c>
      <c r="P33" s="11"/>
      <c r="Q33" s="11"/>
      <c r="R33" s="11"/>
      <c r="S33" s="11"/>
      <c r="T33" s="11"/>
      <c r="U33" s="11"/>
      <c r="V33" s="11"/>
      <c r="W33" s="11"/>
      <c r="X33" s="11"/>
      <c r="Y33" s="47" t="s">
        <v>170</v>
      </c>
      <c r="Z33" s="85">
        <v>9101.5625</v>
      </c>
      <c r="AI33" t="s">
        <v>176</v>
      </c>
      <c r="AJ33">
        <v>0.05</v>
      </c>
    </row>
    <row r="34" spans="3:37" x14ac:dyDescent="0.25">
      <c r="C34" s="37" t="s">
        <v>168</v>
      </c>
      <c r="D34" s="84">
        <v>10249.905533063429</v>
      </c>
      <c r="E34" s="11"/>
      <c r="F34" s="11"/>
      <c r="G34" s="11"/>
      <c r="H34" s="11"/>
      <c r="I34" s="11"/>
      <c r="J34" s="11"/>
      <c r="K34" s="11"/>
      <c r="L34" s="11"/>
      <c r="M34" s="11"/>
      <c r="N34" s="47" t="s">
        <v>169</v>
      </c>
      <c r="O34" s="85">
        <v>2518.617021276596</v>
      </c>
      <c r="P34" s="11"/>
      <c r="Q34" s="11"/>
      <c r="R34" s="11"/>
      <c r="S34" s="11"/>
      <c r="T34" s="11"/>
      <c r="U34" s="11"/>
      <c r="V34" s="11"/>
      <c r="W34" s="11"/>
      <c r="X34" s="11"/>
      <c r="Y34" s="47" t="s">
        <v>170</v>
      </c>
      <c r="Z34" s="84">
        <v>1055.1181102362204</v>
      </c>
      <c r="AI34" t="s">
        <v>177</v>
      </c>
      <c r="AJ34">
        <v>3</v>
      </c>
      <c r="AK34">
        <v>9</v>
      </c>
    </row>
    <row r="35" spans="3:37" x14ac:dyDescent="0.25">
      <c r="C35" s="37" t="s">
        <v>168</v>
      </c>
      <c r="D35" s="84">
        <v>677.08333333333337</v>
      </c>
      <c r="E35" s="11"/>
      <c r="F35" s="11"/>
      <c r="G35" s="11"/>
      <c r="H35" s="11"/>
      <c r="I35" s="11"/>
      <c r="J35" s="11"/>
      <c r="K35" s="11"/>
      <c r="L35" s="11"/>
      <c r="M35" s="11"/>
      <c r="N35" s="47" t="s">
        <v>174</v>
      </c>
      <c r="O35" s="84">
        <v>1551.6184404119667</v>
      </c>
      <c r="P35" s="11"/>
      <c r="Q35" s="11"/>
      <c r="R35" s="11"/>
      <c r="S35" s="11"/>
      <c r="T35" s="11"/>
      <c r="U35" s="11"/>
      <c r="V35" s="11"/>
      <c r="W35" s="11"/>
      <c r="X35" s="11"/>
      <c r="Y35" s="47" t="s">
        <v>170</v>
      </c>
      <c r="Z35" s="85">
        <v>19645.16129032258</v>
      </c>
      <c r="AI35" s="2" t="s">
        <v>178</v>
      </c>
      <c r="AJ35">
        <f>AJ33/AJ34</f>
        <v>1.6666666666666666E-2</v>
      </c>
      <c r="AK35">
        <f>AJ33/AK34</f>
        <v>5.5555555555555558E-3</v>
      </c>
    </row>
    <row r="36" spans="3:37" x14ac:dyDescent="0.25">
      <c r="C36" s="37" t="s">
        <v>168</v>
      </c>
      <c r="D36" s="84">
        <v>14585.930735930737</v>
      </c>
      <c r="E36" s="11"/>
      <c r="F36" s="11"/>
      <c r="G36" s="11"/>
      <c r="H36" s="11"/>
      <c r="I36" s="11"/>
      <c r="J36" s="11"/>
      <c r="K36" s="11"/>
      <c r="L36" s="11"/>
      <c r="M36" s="11"/>
      <c r="N36" s="47" t="s">
        <v>174</v>
      </c>
      <c r="O36" s="84">
        <v>354.4062106588334</v>
      </c>
      <c r="P36" s="11"/>
      <c r="Q36" s="11"/>
      <c r="R36" s="11"/>
      <c r="S36" s="11"/>
      <c r="T36" s="11"/>
      <c r="U36" s="11"/>
      <c r="V36" s="11"/>
      <c r="W36" s="11"/>
      <c r="X36" s="11"/>
      <c r="Y36" s="47" t="s">
        <v>173</v>
      </c>
      <c r="Z36" s="84">
        <v>2801.7027863777093</v>
      </c>
      <c r="AI36" s="2" t="s">
        <v>179</v>
      </c>
      <c r="AJ36">
        <f>1-(AJ32^(1/AJ34))</f>
        <v>1.6952427508441503E-2</v>
      </c>
      <c r="AK36">
        <f>1-(AJ32^(1/AK34))</f>
        <v>5.6830449880480582E-3</v>
      </c>
    </row>
    <row r="37" spans="3:37" x14ac:dyDescent="0.25">
      <c r="C37" s="37" t="s">
        <v>168</v>
      </c>
      <c r="D37" s="85">
        <v>9300</v>
      </c>
      <c r="E37" s="11"/>
      <c r="F37" s="11"/>
      <c r="G37" s="11"/>
      <c r="H37" s="11"/>
      <c r="I37" s="11"/>
      <c r="J37" s="11"/>
      <c r="K37" s="11"/>
      <c r="L37" s="11"/>
      <c r="M37" s="11"/>
      <c r="N37" s="47" t="s">
        <v>174</v>
      </c>
      <c r="O37" s="84">
        <v>2785.1002865329515</v>
      </c>
      <c r="P37" s="11"/>
      <c r="Q37" s="11"/>
      <c r="R37" s="11"/>
      <c r="S37" s="11"/>
      <c r="T37" s="11"/>
      <c r="U37" s="11"/>
      <c r="V37" s="11"/>
      <c r="W37" s="11"/>
      <c r="X37" s="11"/>
      <c r="Y37" s="47" t="s">
        <v>173</v>
      </c>
      <c r="Z37" s="85">
        <v>5488.2897477435781</v>
      </c>
      <c r="AJ37" s="48"/>
      <c r="AK37" s="49"/>
    </row>
    <row r="38" spans="3:37" x14ac:dyDescent="0.25">
      <c r="C38" s="37" t="s">
        <v>168</v>
      </c>
      <c r="D38" s="84">
        <v>4221.5514639299736</v>
      </c>
      <c r="E38" s="11"/>
      <c r="F38" s="11"/>
      <c r="G38" s="11"/>
      <c r="H38" s="11"/>
      <c r="I38" s="11"/>
      <c r="J38" s="11"/>
      <c r="K38" s="11"/>
      <c r="L38" s="11"/>
      <c r="M38" s="11"/>
      <c r="N38" s="47" t="s">
        <v>174</v>
      </c>
      <c r="O38" s="85">
        <v>1537.3493975903616</v>
      </c>
      <c r="P38" s="11"/>
      <c r="Q38" s="11"/>
      <c r="R38" s="11"/>
      <c r="S38" s="11"/>
      <c r="T38" s="11"/>
      <c r="U38" s="11"/>
      <c r="V38" s="11"/>
      <c r="W38" s="11"/>
      <c r="X38" s="11"/>
      <c r="Y38" s="47" t="s">
        <v>173</v>
      </c>
      <c r="Z38" s="84">
        <v>5823.8856371004058</v>
      </c>
    </row>
    <row r="39" spans="3:37" x14ac:dyDescent="0.25">
      <c r="C39" s="37" t="s">
        <v>168</v>
      </c>
      <c r="D39" s="84">
        <v>3732.8916601714732</v>
      </c>
      <c r="E39" s="11"/>
      <c r="F39" s="11"/>
      <c r="G39" s="11"/>
      <c r="H39" s="11"/>
      <c r="I39" s="11"/>
      <c r="J39" s="11"/>
      <c r="K39" s="11"/>
      <c r="L39" s="11"/>
      <c r="M39" s="11"/>
      <c r="N39" s="47" t="s">
        <v>174</v>
      </c>
      <c r="O39" s="84">
        <v>1403.9093298291721</v>
      </c>
      <c r="P39" s="11"/>
      <c r="Q39" s="11"/>
      <c r="R39" s="11"/>
      <c r="S39" s="11"/>
      <c r="T39" s="11"/>
      <c r="U39" s="11"/>
      <c r="V39" s="11"/>
      <c r="W39" s="11"/>
      <c r="X39" s="11"/>
      <c r="Y39" s="47" t="s">
        <v>173</v>
      </c>
      <c r="Z39" s="84">
        <v>2141.0256410256407</v>
      </c>
    </row>
    <row r="40" spans="3:37" x14ac:dyDescent="0.25">
      <c r="C40" s="37" t="s">
        <v>168</v>
      </c>
      <c r="D40" s="84">
        <v>24216.447036135731</v>
      </c>
      <c r="E40" s="11"/>
      <c r="F40" s="11"/>
      <c r="G40" s="11"/>
      <c r="H40" s="11"/>
      <c r="I40" s="11"/>
      <c r="J40" s="11"/>
      <c r="K40" s="11"/>
      <c r="L40" s="11"/>
      <c r="M40" s="11"/>
      <c r="N40" s="47" t="s">
        <v>174</v>
      </c>
      <c r="O40" s="84">
        <v>6108.5681426107003</v>
      </c>
      <c r="P40" s="11"/>
      <c r="Q40" s="11"/>
      <c r="R40" s="11"/>
      <c r="S40" s="11"/>
      <c r="T40" s="11"/>
      <c r="U40" s="11"/>
      <c r="V40" s="11"/>
      <c r="W40" s="11"/>
      <c r="X40" s="11"/>
      <c r="Y40" s="47" t="s">
        <v>173</v>
      </c>
      <c r="Z40" s="85">
        <v>3906.5155807365436</v>
      </c>
    </row>
    <row r="41" spans="3:37" x14ac:dyDescent="0.25">
      <c r="C41" s="37" t="s">
        <v>168</v>
      </c>
      <c r="D41" s="85">
        <v>2834.3195266272187</v>
      </c>
      <c r="E41" s="11"/>
      <c r="F41" s="11"/>
      <c r="G41" s="11"/>
      <c r="H41" s="11"/>
      <c r="I41" s="11"/>
      <c r="J41" s="11"/>
      <c r="K41" s="11"/>
      <c r="L41" s="11"/>
      <c r="M41" s="11"/>
      <c r="N41" s="47" t="s">
        <v>174</v>
      </c>
      <c r="O41" s="84">
        <v>11203.37272279665</v>
      </c>
      <c r="P41" s="11"/>
      <c r="Q41" s="11"/>
      <c r="R41" s="11"/>
      <c r="S41" s="11"/>
      <c r="T41" s="11"/>
      <c r="U41" s="11"/>
      <c r="V41" s="11"/>
      <c r="W41" s="11"/>
      <c r="X41" s="11"/>
      <c r="Y41" s="47" t="s">
        <v>175</v>
      </c>
      <c r="Z41" s="84">
        <v>48</v>
      </c>
    </row>
    <row r="42" spans="3:37" x14ac:dyDescent="0.25">
      <c r="C42" s="37" t="s">
        <v>180</v>
      </c>
      <c r="D42" s="84">
        <v>6772.6496674057644</v>
      </c>
      <c r="E42" s="11"/>
      <c r="F42" s="11"/>
      <c r="G42" s="11"/>
      <c r="H42" s="11"/>
      <c r="I42" s="11"/>
      <c r="J42" s="11"/>
      <c r="K42" s="11"/>
      <c r="L42" s="11"/>
      <c r="M42" s="11"/>
      <c r="N42" s="47" t="s">
        <v>174</v>
      </c>
      <c r="O42" s="85">
        <v>3780.1204819277109</v>
      </c>
      <c r="P42" s="11"/>
      <c r="Q42" s="11"/>
      <c r="R42" s="11"/>
      <c r="S42" s="11"/>
      <c r="T42" s="11"/>
      <c r="U42" s="11"/>
      <c r="V42" s="11"/>
      <c r="W42" s="11"/>
      <c r="X42" s="11"/>
      <c r="Y42" s="47" t="s">
        <v>175</v>
      </c>
      <c r="Z42" s="84">
        <v>6651.2195121951227</v>
      </c>
    </row>
    <row r="43" spans="3:37" x14ac:dyDescent="0.25">
      <c r="C43" s="37" t="s">
        <v>180</v>
      </c>
      <c r="D43" s="84">
        <v>1853.9212964798876</v>
      </c>
      <c r="E43" s="11"/>
      <c r="F43" s="11"/>
      <c r="G43" s="11"/>
      <c r="H43" s="11"/>
      <c r="I43" s="11"/>
      <c r="J43" s="11"/>
      <c r="K43" s="11"/>
      <c r="L43" s="11"/>
      <c r="M43" s="11"/>
      <c r="N43" s="47" t="s">
        <v>169</v>
      </c>
      <c r="O43" s="84">
        <v>3880.8161350844275</v>
      </c>
      <c r="P43" s="11"/>
      <c r="Q43" s="11"/>
      <c r="R43" s="11"/>
      <c r="S43" s="11"/>
      <c r="T43" s="11"/>
      <c r="U43" s="11"/>
      <c r="V43" s="11"/>
      <c r="W43" s="11"/>
      <c r="X43" s="11"/>
      <c r="Y43" s="47" t="s">
        <v>175</v>
      </c>
      <c r="Z43" s="86">
        <v>1584.090909090909</v>
      </c>
    </row>
    <row r="44" spans="3:37" x14ac:dyDescent="0.25">
      <c r="C44" s="37" t="s">
        <v>180</v>
      </c>
      <c r="D44" s="84">
        <v>14583.106267029973</v>
      </c>
      <c r="E44" s="11"/>
      <c r="F44" s="11"/>
      <c r="G44" s="11"/>
      <c r="H44" s="11"/>
      <c r="I44" s="11"/>
      <c r="J44" s="11"/>
      <c r="K44" s="11"/>
      <c r="L44" s="11"/>
      <c r="M44" s="11"/>
      <c r="N44" s="47" t="s">
        <v>169</v>
      </c>
      <c r="O44" s="84">
        <v>3365.7575757575755</v>
      </c>
      <c r="P44" s="11"/>
      <c r="Q44" s="11"/>
      <c r="R44" s="11"/>
      <c r="S44" s="11"/>
      <c r="T44" s="11"/>
      <c r="U44" s="11"/>
      <c r="V44" s="11"/>
      <c r="W44" s="11"/>
      <c r="X44" s="11"/>
      <c r="Y44" s="47" t="s">
        <v>175</v>
      </c>
      <c r="Z44" s="85">
        <v>10145.530145530145</v>
      </c>
    </row>
    <row r="45" spans="3:37" x14ac:dyDescent="0.25">
      <c r="C45" s="37" t="s">
        <v>180</v>
      </c>
      <c r="D45" s="85">
        <v>14</v>
      </c>
      <c r="E45" s="11"/>
      <c r="F45" s="11"/>
      <c r="G45" s="11"/>
      <c r="H45" s="11"/>
      <c r="I45" s="11"/>
      <c r="J45" s="11"/>
      <c r="K45" s="11"/>
      <c r="L45" s="11"/>
      <c r="M45" s="11"/>
      <c r="N45" s="47" t="s">
        <v>169</v>
      </c>
      <c r="O45" s="85">
        <v>7013.7911623979735</v>
      </c>
      <c r="P45" s="11"/>
      <c r="Q45" s="11"/>
      <c r="R45" s="11"/>
      <c r="S45" s="11"/>
      <c r="T45" s="11"/>
      <c r="U45" s="11"/>
      <c r="V45" s="11"/>
      <c r="W45" s="11"/>
      <c r="X45" s="11"/>
      <c r="Y45" s="47" t="s">
        <v>170</v>
      </c>
      <c r="Z45" s="85">
        <v>51</v>
      </c>
    </row>
    <row r="46" spans="3:37" x14ac:dyDescent="0.25">
      <c r="C46" s="37" t="s">
        <v>171</v>
      </c>
      <c r="D46" s="84">
        <v>9884.4218094667467</v>
      </c>
      <c r="E46" s="11"/>
      <c r="F46" s="11"/>
      <c r="G46" s="11"/>
      <c r="H46" s="11"/>
      <c r="I46" s="11"/>
      <c r="J46" s="11"/>
      <c r="K46" s="11"/>
      <c r="L46" s="11"/>
      <c r="M46" s="11"/>
      <c r="N46" s="47" t="s">
        <v>169</v>
      </c>
      <c r="O46" s="84">
        <v>1984.3200865098672</v>
      </c>
      <c r="P46" s="11"/>
      <c r="Q46" s="11"/>
      <c r="R46" s="11"/>
      <c r="S46" s="11"/>
      <c r="T46" s="11"/>
      <c r="U46" s="11"/>
      <c r="V46" s="11"/>
      <c r="W46" s="11"/>
      <c r="X46" s="11"/>
      <c r="Y46" s="47" t="s">
        <v>173</v>
      </c>
      <c r="Z46" s="87">
        <v>3057.1185358586936</v>
      </c>
    </row>
    <row r="47" spans="3:37" x14ac:dyDescent="0.25">
      <c r="C47" s="37" t="s">
        <v>171</v>
      </c>
      <c r="D47" s="84">
        <v>7894.6661237785011</v>
      </c>
      <c r="E47" s="11"/>
      <c r="F47" s="11"/>
      <c r="G47" s="11"/>
      <c r="H47" s="11"/>
      <c r="I47" s="11"/>
      <c r="J47" s="11"/>
      <c r="K47" s="11"/>
      <c r="L47" s="11"/>
      <c r="M47" s="11"/>
      <c r="N47" s="47" t="s">
        <v>169</v>
      </c>
      <c r="O47" s="84">
        <v>1297.9591836734694</v>
      </c>
      <c r="P47" s="11"/>
      <c r="Q47" s="11"/>
      <c r="R47" s="11"/>
      <c r="S47" s="11"/>
      <c r="T47" s="11"/>
      <c r="U47" s="11"/>
      <c r="V47" s="11"/>
      <c r="W47" s="11"/>
      <c r="X47" s="11"/>
      <c r="Y47" s="47" t="s">
        <v>175</v>
      </c>
      <c r="Z47" s="84">
        <v>4724.146416487235</v>
      </c>
    </row>
    <row r="48" spans="3:37" x14ac:dyDescent="0.25">
      <c r="C48" s="37" t="s">
        <v>171</v>
      </c>
      <c r="D48" s="84">
        <v>5487.0689655172409</v>
      </c>
      <c r="E48" s="11"/>
      <c r="F48" s="11"/>
      <c r="G48" s="11"/>
      <c r="H48" s="11"/>
      <c r="I48" s="11"/>
      <c r="J48" s="11"/>
      <c r="K48" s="11"/>
      <c r="L48" s="11"/>
      <c r="M48" s="11"/>
      <c r="N48" s="47" t="s">
        <v>169</v>
      </c>
      <c r="O48" s="84">
        <v>13664.999999999998</v>
      </c>
      <c r="P48" s="11"/>
      <c r="Q48" s="11"/>
      <c r="R48" s="11"/>
      <c r="S48" s="11"/>
      <c r="T48" s="11"/>
      <c r="U48" s="11"/>
      <c r="V48" s="11"/>
      <c r="W48" s="11"/>
      <c r="X48" s="11"/>
      <c r="Y48" s="47" t="s">
        <v>175</v>
      </c>
      <c r="Z48" s="84">
        <v>7714.2024377318494</v>
      </c>
    </row>
    <row r="49" spans="3:26" x14ac:dyDescent="0.25">
      <c r="C49" s="37" t="s">
        <v>171</v>
      </c>
      <c r="D49" s="85">
        <v>1393.4740882917465</v>
      </c>
      <c r="E49" s="11"/>
      <c r="F49" s="11"/>
      <c r="G49" s="11"/>
      <c r="H49" s="11"/>
      <c r="I49" s="11"/>
      <c r="J49" s="11"/>
      <c r="K49" s="11"/>
      <c r="L49" s="11"/>
      <c r="M49" s="11"/>
      <c r="N49" s="47" t="s">
        <v>169</v>
      </c>
      <c r="O49" s="85">
        <v>12854.489164086686</v>
      </c>
      <c r="P49" s="11"/>
      <c r="Q49" s="11"/>
      <c r="R49" s="11"/>
      <c r="S49" s="11"/>
      <c r="T49" s="11"/>
      <c r="U49" s="11"/>
      <c r="V49" s="11"/>
      <c r="W49" s="11"/>
      <c r="X49" s="11"/>
      <c r="Y49" s="47" t="s">
        <v>175</v>
      </c>
      <c r="Z49" s="84">
        <v>19538.519977490152</v>
      </c>
    </row>
    <row r="50" spans="3:26" x14ac:dyDescent="0.25">
      <c r="C50" s="37" t="s">
        <v>180</v>
      </c>
      <c r="D50" s="84">
        <v>10046.217968508799</v>
      </c>
      <c r="E50" s="11"/>
      <c r="F50" s="11"/>
      <c r="G50" s="11"/>
      <c r="H50" s="11"/>
      <c r="I50" s="11"/>
      <c r="J50" s="11"/>
      <c r="K50" s="11"/>
      <c r="L50" s="11"/>
      <c r="M50" s="11"/>
      <c r="N50" s="47" t="s">
        <v>172</v>
      </c>
      <c r="O50" s="84">
        <v>16664.799520698103</v>
      </c>
      <c r="P50" s="11"/>
      <c r="Q50" s="11"/>
      <c r="R50" s="11"/>
      <c r="S50" s="11"/>
      <c r="T50" s="11"/>
      <c r="U50" s="11"/>
      <c r="V50" s="11"/>
      <c r="W50" s="11"/>
      <c r="X50" s="11"/>
      <c r="Y50" s="47" t="s">
        <v>175</v>
      </c>
      <c r="Z50" s="85">
        <v>8027.3172223921674</v>
      </c>
    </row>
    <row r="51" spans="3:26" x14ac:dyDescent="0.25">
      <c r="C51" s="37" t="s">
        <v>180</v>
      </c>
      <c r="D51" s="84">
        <v>621.21212121212125</v>
      </c>
      <c r="E51" s="11"/>
      <c r="F51" s="11"/>
      <c r="G51" s="11"/>
      <c r="H51" s="11"/>
      <c r="I51" s="11"/>
      <c r="J51" s="11"/>
      <c r="K51" s="11"/>
      <c r="L51" s="11"/>
      <c r="M51" s="11"/>
      <c r="N51" s="47" t="s">
        <v>172</v>
      </c>
      <c r="O51" s="84">
        <v>149.54166666666666</v>
      </c>
      <c r="P51" s="11"/>
      <c r="Q51" s="11"/>
      <c r="R51" s="11"/>
      <c r="S51" s="11"/>
      <c r="T51" s="11"/>
      <c r="U51" s="11"/>
      <c r="V51" s="11"/>
      <c r="W51" s="11"/>
      <c r="X51" s="11"/>
      <c r="Y51" s="47" t="s">
        <v>175</v>
      </c>
      <c r="Z51" s="84">
        <v>9448.3844141883746</v>
      </c>
    </row>
    <row r="52" spans="3:26" x14ac:dyDescent="0.25">
      <c r="C52" s="37" t="s">
        <v>180</v>
      </c>
      <c r="D52" s="84">
        <v>2908.01050558109</v>
      </c>
      <c r="E52" s="11"/>
      <c r="F52" s="11"/>
      <c r="G52" s="11"/>
      <c r="H52" s="11"/>
      <c r="I52" s="11"/>
      <c r="J52" s="11"/>
      <c r="K52" s="11"/>
      <c r="L52" s="11"/>
      <c r="M52" s="11"/>
      <c r="N52" s="47" t="s">
        <v>172</v>
      </c>
      <c r="O52" s="85">
        <v>1831.0249307479226</v>
      </c>
      <c r="P52" s="11"/>
      <c r="Q52" s="11"/>
      <c r="R52" s="11"/>
      <c r="S52" s="11"/>
      <c r="T52" s="11"/>
      <c r="U52" s="11"/>
      <c r="V52" s="11"/>
      <c r="W52" s="11"/>
      <c r="X52" s="11"/>
      <c r="Y52" s="47" t="s">
        <v>175</v>
      </c>
      <c r="Z52" s="84">
        <v>5501.4862981885744</v>
      </c>
    </row>
    <row r="53" spans="3:26" x14ac:dyDescent="0.25">
      <c r="C53" s="37" t="s">
        <v>180</v>
      </c>
      <c r="D53" s="85">
        <v>5085.0024307243557</v>
      </c>
      <c r="E53" s="11"/>
      <c r="F53" s="11"/>
      <c r="G53" s="11"/>
      <c r="H53" s="11"/>
      <c r="I53" s="11"/>
      <c r="J53" s="11"/>
      <c r="K53" s="11"/>
      <c r="L53" s="11"/>
      <c r="M53" s="11"/>
      <c r="N53" s="47" t="s">
        <v>172</v>
      </c>
      <c r="O53" s="84">
        <v>12130.754562789431</v>
      </c>
      <c r="P53" s="11"/>
      <c r="Q53" s="11"/>
      <c r="R53" s="11"/>
      <c r="S53" s="11"/>
      <c r="T53" s="11"/>
      <c r="U53" s="11"/>
      <c r="V53" s="11"/>
      <c r="W53" s="11"/>
      <c r="X53" s="11"/>
      <c r="Y53" s="47" t="s">
        <v>175</v>
      </c>
      <c r="Z53" s="84">
        <v>5524.6614808412569</v>
      </c>
    </row>
    <row r="54" spans="3:26" x14ac:dyDescent="0.25">
      <c r="C54" s="37" t="s">
        <v>180</v>
      </c>
      <c r="D54" s="84">
        <v>3618.7144622991345</v>
      </c>
      <c r="E54" s="11"/>
      <c r="F54" s="11"/>
      <c r="G54" s="11"/>
      <c r="H54" s="11"/>
      <c r="I54" s="11"/>
      <c r="J54" s="11"/>
      <c r="K54" s="11"/>
      <c r="L54" s="11"/>
      <c r="M54" s="11"/>
      <c r="N54" s="47" t="s">
        <v>172</v>
      </c>
      <c r="O54" s="84">
        <v>21746.351172047765</v>
      </c>
      <c r="P54" s="11"/>
      <c r="Q54" s="11"/>
      <c r="R54" s="11"/>
      <c r="S54" s="11"/>
      <c r="T54" s="11"/>
      <c r="U54" s="11"/>
      <c r="V54" s="11"/>
      <c r="W54" s="11"/>
      <c r="X54" s="11"/>
      <c r="Y54" s="88" t="s">
        <v>175</v>
      </c>
      <c r="Z54" s="85">
        <v>4651.0626398210297</v>
      </c>
    </row>
    <row r="55" spans="3:26" x14ac:dyDescent="0.25">
      <c r="C55" s="37" t="s">
        <v>180</v>
      </c>
      <c r="D55" s="84">
        <v>2904.8221111437811</v>
      </c>
      <c r="E55" s="11"/>
      <c r="F55" s="11"/>
      <c r="G55" s="11"/>
      <c r="H55" s="11"/>
      <c r="I55" s="11"/>
      <c r="J55" s="11"/>
      <c r="K55" s="11"/>
      <c r="L55" s="11"/>
      <c r="M55" s="11"/>
      <c r="N55" s="47" t="s">
        <v>172</v>
      </c>
      <c r="O55" s="84">
        <v>1414.7727272727275</v>
      </c>
      <c r="P55" s="11"/>
      <c r="Q55" s="11"/>
      <c r="R55" s="11"/>
      <c r="S55" s="11"/>
      <c r="T55" s="11"/>
      <c r="U55" s="11"/>
      <c r="V55" s="11"/>
      <c r="W55" s="11"/>
      <c r="X55" s="11"/>
      <c r="Y55" s="47" t="s">
        <v>175</v>
      </c>
      <c r="Z55" s="84">
        <v>2278.1066741133764</v>
      </c>
    </row>
    <row r="56" spans="3:26" x14ac:dyDescent="0.25">
      <c r="C56" s="37" t="s">
        <v>180</v>
      </c>
      <c r="D56" s="84">
        <v>13508.865377599415</v>
      </c>
      <c r="E56" s="11"/>
      <c r="F56" s="11"/>
      <c r="G56" s="11"/>
      <c r="H56" s="11"/>
      <c r="I56" s="11"/>
      <c r="J56" s="11"/>
      <c r="K56" s="11"/>
      <c r="L56" s="11"/>
      <c r="M56" s="11"/>
      <c r="N56" s="47" t="s">
        <v>172</v>
      </c>
      <c r="O56" s="85">
        <v>8480.3921568627466</v>
      </c>
      <c r="P56" s="11"/>
      <c r="Q56" s="11"/>
      <c r="R56" s="11"/>
      <c r="S56" s="11"/>
      <c r="T56" s="11"/>
      <c r="U56" s="11"/>
      <c r="V56" s="11"/>
      <c r="W56" s="11"/>
      <c r="X56" s="11"/>
      <c r="Y56" s="47" t="s">
        <v>175</v>
      </c>
      <c r="Z56" s="84">
        <v>9388.830347734458</v>
      </c>
    </row>
    <row r="57" spans="3:26" x14ac:dyDescent="0.25">
      <c r="C57" s="37" t="s">
        <v>180</v>
      </c>
      <c r="D57" s="85">
        <v>1177.8537252221461</v>
      </c>
      <c r="E57" s="11"/>
      <c r="F57" s="11"/>
      <c r="G57" s="11"/>
      <c r="H57" s="11"/>
      <c r="I57" s="11"/>
      <c r="J57" s="11"/>
      <c r="K57" s="11"/>
      <c r="L57" s="11"/>
      <c r="M57" s="11"/>
      <c r="N57" s="47" t="s">
        <v>169</v>
      </c>
      <c r="O57" s="84">
        <v>8179.54288939052</v>
      </c>
      <c r="P57" s="11"/>
      <c r="Q57" s="11"/>
      <c r="R57" s="11"/>
      <c r="S57" s="11"/>
      <c r="T57" s="11"/>
      <c r="U57" s="11"/>
      <c r="V57" s="11"/>
      <c r="W57" s="11"/>
      <c r="X57" s="11"/>
      <c r="Y57" s="47" t="s">
        <v>175</v>
      </c>
      <c r="Z57" s="84">
        <v>9316.0165213400651</v>
      </c>
    </row>
    <row r="58" spans="3:26" x14ac:dyDescent="0.25">
      <c r="C58" s="37" t="s">
        <v>180</v>
      </c>
      <c r="D58" s="84">
        <v>112.59673258813415</v>
      </c>
      <c r="E58" s="11"/>
      <c r="F58" s="11"/>
      <c r="G58" s="11"/>
      <c r="H58" s="11"/>
      <c r="I58" s="11"/>
      <c r="J58" s="11"/>
      <c r="K58" s="11"/>
      <c r="L58" s="11"/>
      <c r="M58" s="11"/>
      <c r="N58" s="47" t="s">
        <v>169</v>
      </c>
      <c r="O58" s="84">
        <v>377.08115639150117</v>
      </c>
      <c r="P58" s="11"/>
      <c r="Q58" s="11"/>
      <c r="R58" s="11"/>
      <c r="S58" s="11"/>
      <c r="T58" s="11"/>
      <c r="U58" s="11"/>
      <c r="V58" s="11"/>
      <c r="W58" s="11"/>
      <c r="X58" s="11"/>
      <c r="Y58" s="47" t="s">
        <v>175</v>
      </c>
      <c r="Z58" s="85">
        <v>10382.48429867411</v>
      </c>
    </row>
    <row r="59" spans="3:26" x14ac:dyDescent="0.25">
      <c r="C59" s="37" t="s">
        <v>180</v>
      </c>
      <c r="D59" s="85">
        <v>1809.8056280823905</v>
      </c>
      <c r="E59" s="11"/>
      <c r="F59" s="11"/>
      <c r="G59" s="11"/>
      <c r="H59" s="11"/>
      <c r="I59" s="11"/>
      <c r="J59" s="11"/>
      <c r="K59" s="11"/>
      <c r="L59" s="11"/>
      <c r="M59" s="11"/>
      <c r="N59" s="47" t="s">
        <v>169</v>
      </c>
      <c r="O59" s="84">
        <v>583.59903381642516</v>
      </c>
      <c r="P59" s="11"/>
      <c r="Q59" s="11"/>
      <c r="R59" s="11"/>
      <c r="S59" s="11"/>
      <c r="T59" s="11"/>
      <c r="U59" s="11"/>
      <c r="V59" s="11"/>
      <c r="W59" s="11"/>
      <c r="X59" s="11"/>
      <c r="Y59" s="47" t="s">
        <v>175</v>
      </c>
      <c r="Z59" s="84">
        <v>1038.9168765743073</v>
      </c>
    </row>
    <row r="60" spans="3:26" x14ac:dyDescent="0.25">
      <c r="C60" s="37" t="s">
        <v>171</v>
      </c>
      <c r="D60" s="84">
        <v>1845.5562273276907</v>
      </c>
      <c r="E60" s="11"/>
      <c r="F60" s="11"/>
      <c r="G60" s="11"/>
      <c r="H60" s="11"/>
      <c r="I60" s="11"/>
      <c r="J60" s="11"/>
      <c r="K60" s="11"/>
      <c r="L60" s="11"/>
      <c r="M60" s="11"/>
      <c r="N60" s="47" t="s">
        <v>169</v>
      </c>
      <c r="O60" s="85">
        <v>23528.761101231627</v>
      </c>
      <c r="P60" s="11"/>
      <c r="Q60" s="11"/>
      <c r="R60" s="11"/>
      <c r="S60" s="11"/>
      <c r="T60" s="11"/>
      <c r="U60" s="11"/>
      <c r="V60" s="11"/>
      <c r="W60" s="11"/>
      <c r="X60" s="11"/>
      <c r="Y60" s="47" t="s">
        <v>175</v>
      </c>
      <c r="Z60" s="84">
        <v>19236.401330862478</v>
      </c>
    </row>
    <row r="61" spans="3:26" x14ac:dyDescent="0.25">
      <c r="C61" s="37" t="s">
        <v>171</v>
      </c>
      <c r="D61" s="84">
        <v>1781.6933066933068</v>
      </c>
      <c r="E61" s="11"/>
      <c r="F61" s="11"/>
      <c r="G61" s="11"/>
      <c r="H61" s="11"/>
      <c r="I61" s="11"/>
      <c r="J61" s="11"/>
      <c r="K61" s="11"/>
      <c r="L61" s="11"/>
      <c r="M61" s="11"/>
      <c r="N61" s="47" t="s">
        <v>172</v>
      </c>
      <c r="O61" s="84">
        <v>5134.0946843853817</v>
      </c>
      <c r="P61" s="11"/>
      <c r="Q61" s="11"/>
      <c r="R61" s="11"/>
      <c r="S61" s="11"/>
      <c r="T61" s="11"/>
      <c r="U61" s="11"/>
      <c r="V61" s="11"/>
      <c r="W61" s="11"/>
      <c r="X61" s="11"/>
      <c r="Y61" s="47" t="s">
        <v>175</v>
      </c>
      <c r="Z61" s="84">
        <v>20586.616221328917</v>
      </c>
    </row>
    <row r="62" spans="3:26" x14ac:dyDescent="0.25">
      <c r="C62" s="37" t="s">
        <v>171</v>
      </c>
      <c r="D62" s="84">
        <v>113.29113924050631</v>
      </c>
      <c r="E62" s="11"/>
      <c r="F62" s="11"/>
      <c r="G62" s="11"/>
      <c r="H62" s="11"/>
      <c r="I62" s="11"/>
      <c r="J62" s="11"/>
      <c r="K62" s="11"/>
      <c r="L62" s="11"/>
      <c r="M62" s="11"/>
      <c r="N62" s="47" t="s">
        <v>172</v>
      </c>
      <c r="O62" s="84">
        <v>2699.4795281054821</v>
      </c>
      <c r="P62" s="11"/>
      <c r="Q62" s="11"/>
      <c r="R62" s="11"/>
      <c r="S62" s="11"/>
      <c r="T62" s="11"/>
      <c r="U62" s="11"/>
      <c r="V62" s="11"/>
      <c r="W62" s="11"/>
      <c r="X62" s="11"/>
      <c r="Y62" s="47" t="s">
        <v>175</v>
      </c>
      <c r="Z62" s="85">
        <v>20967.396002160996</v>
      </c>
    </row>
    <row r="63" spans="3:26" x14ac:dyDescent="0.25">
      <c r="C63" s="37" t="s">
        <v>171</v>
      </c>
      <c r="D63" s="85">
        <v>11877.19087635054</v>
      </c>
      <c r="E63" s="11"/>
      <c r="F63" s="11"/>
      <c r="G63" s="11"/>
      <c r="H63" s="11"/>
      <c r="I63" s="11"/>
      <c r="J63" s="11"/>
      <c r="K63" s="11"/>
      <c r="L63" s="11"/>
      <c r="M63" s="11"/>
      <c r="N63" s="47" t="s">
        <v>172</v>
      </c>
      <c r="O63" s="84">
        <v>1818.9745508982035</v>
      </c>
      <c r="P63" s="11"/>
      <c r="Q63" s="11"/>
      <c r="R63" s="11"/>
      <c r="S63" s="11"/>
      <c r="T63" s="11"/>
      <c r="U63" s="11"/>
      <c r="V63" s="11"/>
      <c r="W63" s="11"/>
      <c r="X63" s="11"/>
      <c r="Y63" s="47" t="s">
        <v>173</v>
      </c>
      <c r="Z63" s="84">
        <v>13408.300704776821</v>
      </c>
    </row>
    <row r="64" spans="3:26" x14ac:dyDescent="0.25">
      <c r="C64" s="37" t="s">
        <v>168</v>
      </c>
      <c r="D64" s="84">
        <v>15954.172876304023</v>
      </c>
      <c r="E64" s="11"/>
      <c r="F64" s="11"/>
      <c r="G64" s="11"/>
      <c r="H64" s="11"/>
      <c r="I64" s="11"/>
      <c r="J64" s="11"/>
      <c r="K64" s="11"/>
      <c r="L64" s="11"/>
      <c r="M64" s="11"/>
      <c r="N64" s="47" t="s">
        <v>172</v>
      </c>
      <c r="O64" s="85">
        <v>1582.1815718157179</v>
      </c>
      <c r="P64" s="11"/>
      <c r="Q64" s="11"/>
      <c r="R64" s="11"/>
      <c r="S64" s="11"/>
      <c r="T64" s="11"/>
      <c r="U64" s="11"/>
      <c r="V64" s="11"/>
      <c r="W64" s="11"/>
      <c r="X64" s="11"/>
      <c r="Y64" s="47" t="s">
        <v>173</v>
      </c>
      <c r="Z64" s="85">
        <v>10128.297119757453</v>
      </c>
    </row>
    <row r="65" spans="3:26" x14ac:dyDescent="0.25">
      <c r="C65" s="37" t="s">
        <v>168</v>
      </c>
      <c r="D65" s="84">
        <v>3384.1259500542892</v>
      </c>
      <c r="E65" s="11"/>
      <c r="F65" s="11"/>
      <c r="G65" s="11"/>
      <c r="H65" s="11"/>
      <c r="I65" s="11"/>
      <c r="J65" s="11"/>
      <c r="K65" s="11"/>
      <c r="L65" s="11"/>
      <c r="M65" s="11"/>
      <c r="N65" s="47" t="s">
        <v>172</v>
      </c>
      <c r="O65" s="84">
        <v>11302.056815877808</v>
      </c>
      <c r="P65" s="11"/>
      <c r="Q65" s="11"/>
      <c r="R65" s="11"/>
      <c r="S65" s="11"/>
      <c r="T65" s="11"/>
      <c r="U65" s="11"/>
      <c r="V65" s="11"/>
      <c r="W65" s="11"/>
      <c r="X65" s="11"/>
      <c r="Y65" s="47" t="s">
        <v>175</v>
      </c>
      <c r="Z65" s="84">
        <v>1357.3695345557121</v>
      </c>
    </row>
    <row r="66" spans="3:26" x14ac:dyDescent="0.25">
      <c r="C66" s="37" t="s">
        <v>168</v>
      </c>
      <c r="D66" s="84">
        <v>4974.1635687732351</v>
      </c>
      <c r="E66" s="11"/>
      <c r="F66" s="11"/>
      <c r="G66" s="11"/>
      <c r="H66" s="11"/>
      <c r="I66" s="11"/>
      <c r="J66" s="11"/>
      <c r="K66" s="11"/>
      <c r="L66" s="11"/>
      <c r="M66" s="11"/>
      <c r="N66" s="47" t="s">
        <v>172</v>
      </c>
      <c r="O66" s="84">
        <v>5551.0651372388365</v>
      </c>
      <c r="P66" s="11"/>
      <c r="Q66" s="11"/>
      <c r="R66" s="11"/>
      <c r="S66" s="11"/>
      <c r="T66" s="11"/>
      <c r="U66" s="11"/>
      <c r="V66" s="11"/>
      <c r="W66" s="11"/>
      <c r="X66" s="11"/>
      <c r="Y66" s="47" t="s">
        <v>175</v>
      </c>
      <c r="Z66" s="84">
        <v>7802.6707132018219</v>
      </c>
    </row>
    <row r="67" spans="3:26" x14ac:dyDescent="0.25">
      <c r="C67" s="37" t="s">
        <v>168</v>
      </c>
      <c r="D67" s="85">
        <v>22089.377289377291</v>
      </c>
      <c r="E67" s="11"/>
      <c r="F67" s="11"/>
      <c r="G67" s="11"/>
      <c r="H67" s="11"/>
      <c r="I67" s="11"/>
      <c r="J67" s="11"/>
      <c r="K67" s="11"/>
      <c r="L67" s="11"/>
      <c r="M67" s="11"/>
      <c r="N67" s="47" t="s">
        <v>172</v>
      </c>
      <c r="O67" s="85">
        <v>1892.3342690563593</v>
      </c>
      <c r="P67" s="11"/>
      <c r="Q67" s="11"/>
      <c r="R67" s="11"/>
      <c r="S67" s="11"/>
      <c r="T67" s="11"/>
      <c r="U67" s="11"/>
      <c r="V67" s="11"/>
      <c r="W67" s="11"/>
      <c r="X67" s="11"/>
      <c r="Y67" s="47" t="s">
        <v>175</v>
      </c>
      <c r="Z67" s="84">
        <v>2145.6179153995022</v>
      </c>
    </row>
    <row r="68" spans="3:26" x14ac:dyDescent="0.25">
      <c r="C68" s="37" t="s">
        <v>168</v>
      </c>
      <c r="D68" s="84">
        <v>7499.5031467373292</v>
      </c>
      <c r="E68" s="11"/>
      <c r="F68" s="11"/>
      <c r="G68" s="11"/>
      <c r="H68" s="11"/>
      <c r="I68" s="11"/>
      <c r="J68" s="11"/>
      <c r="K68" s="11"/>
      <c r="L68" s="11"/>
      <c r="M68" s="11"/>
      <c r="N68" s="47" t="s">
        <v>174</v>
      </c>
      <c r="O68" s="84">
        <v>12826.924432547812</v>
      </c>
      <c r="P68" s="11"/>
      <c r="Q68" s="11"/>
      <c r="R68" s="11"/>
      <c r="S68" s="11"/>
      <c r="T68" s="11"/>
      <c r="U68" s="11"/>
      <c r="V68" s="11"/>
      <c r="W68" s="11"/>
      <c r="X68" s="11"/>
      <c r="Y68" s="47" t="s">
        <v>175</v>
      </c>
      <c r="Z68" s="85">
        <v>10316.935483870968</v>
      </c>
    </row>
    <row r="69" spans="3:26" x14ac:dyDescent="0.25">
      <c r="C69" s="37" t="s">
        <v>168</v>
      </c>
      <c r="D69" s="84">
        <v>4951.8080667593877</v>
      </c>
      <c r="E69" s="11"/>
      <c r="F69" s="11"/>
      <c r="G69" s="11"/>
      <c r="H69" s="11"/>
      <c r="I69" s="11"/>
      <c r="J69" s="11"/>
      <c r="K69" s="11"/>
      <c r="L69" s="11"/>
      <c r="M69" s="11"/>
      <c r="N69" s="47" t="s">
        <v>174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47" t="s">
        <v>173</v>
      </c>
      <c r="Z69" s="84">
        <v>6668.568009573195</v>
      </c>
    </row>
    <row r="70" spans="3:26" x14ac:dyDescent="0.25">
      <c r="C70" s="37" t="s">
        <v>168</v>
      </c>
      <c r="D70" s="85">
        <v>8895.3816237238698</v>
      </c>
      <c r="E70" s="11"/>
      <c r="F70" s="11"/>
      <c r="G70" s="11"/>
      <c r="H70" s="11"/>
      <c r="I70" s="11"/>
      <c r="J70" s="11"/>
      <c r="K70" s="11"/>
      <c r="L70" s="11"/>
      <c r="M70" s="11"/>
      <c r="N70" s="47" t="s">
        <v>174</v>
      </c>
      <c r="O70" s="84">
        <v>24767.980734426037</v>
      </c>
      <c r="P70" s="11"/>
      <c r="Q70" s="11"/>
      <c r="R70" s="11"/>
      <c r="S70" s="11"/>
      <c r="T70" s="11"/>
      <c r="U70" s="11"/>
      <c r="V70" s="11"/>
      <c r="W70" s="11"/>
      <c r="X70" s="11"/>
      <c r="Y70" s="47" t="s">
        <v>173</v>
      </c>
      <c r="Z70" s="85">
        <v>2182.4561403508774</v>
      </c>
    </row>
    <row r="71" spans="3:26" x14ac:dyDescent="0.25">
      <c r="C71" s="37" t="s">
        <v>168</v>
      </c>
      <c r="D71" s="84">
        <v>6325.9465092045848</v>
      </c>
      <c r="E71" s="11"/>
      <c r="F71" s="11"/>
      <c r="G71" s="11"/>
      <c r="H71" s="11"/>
      <c r="I71" s="11"/>
      <c r="J71" s="11"/>
      <c r="K71" s="11"/>
      <c r="L71" s="11"/>
      <c r="M71" s="11"/>
      <c r="N71" s="47" t="s">
        <v>174</v>
      </c>
      <c r="O71" s="85">
        <v>3934.8205625606206</v>
      </c>
      <c r="P71" s="11"/>
      <c r="Q71" s="11"/>
      <c r="R71" s="11"/>
      <c r="S71" s="11"/>
      <c r="T71" s="11"/>
      <c r="U71" s="11"/>
      <c r="V71" s="11"/>
      <c r="W71" s="11"/>
      <c r="X71" s="11"/>
      <c r="Y71" s="47" t="s">
        <v>170</v>
      </c>
      <c r="Z71" s="84">
        <v>2614.1121296098913</v>
      </c>
    </row>
    <row r="72" spans="3:26" x14ac:dyDescent="0.25">
      <c r="C72" s="37" t="s">
        <v>168</v>
      </c>
      <c r="D72" s="84">
        <v>3414.7394540942928</v>
      </c>
      <c r="E72" s="11"/>
      <c r="F72" s="11"/>
      <c r="G72" s="11"/>
      <c r="H72" s="11"/>
      <c r="I72" s="11"/>
      <c r="J72" s="11"/>
      <c r="K72" s="11"/>
      <c r="L72" s="11"/>
      <c r="M72" s="11"/>
      <c r="N72" s="47" t="s">
        <v>169</v>
      </c>
      <c r="O72" s="84">
        <v>8299.2056217537429</v>
      </c>
      <c r="P72" s="11"/>
      <c r="Q72" s="11"/>
      <c r="R72" s="11"/>
      <c r="S72" s="11"/>
      <c r="T72" s="11"/>
      <c r="U72" s="11"/>
      <c r="V72" s="11"/>
      <c r="W72" s="11"/>
      <c r="X72" s="11"/>
      <c r="Y72" s="47" t="s">
        <v>170</v>
      </c>
      <c r="Z72" s="84">
        <v>165.97900832428522</v>
      </c>
    </row>
    <row r="73" spans="3:26" x14ac:dyDescent="0.25">
      <c r="C73" s="37" t="s">
        <v>168</v>
      </c>
      <c r="D73" s="84">
        <v>56</v>
      </c>
      <c r="E73" s="11"/>
      <c r="F73" s="11"/>
      <c r="G73" s="11"/>
      <c r="H73" s="11"/>
      <c r="I73" s="11"/>
      <c r="J73" s="11"/>
      <c r="K73" s="11"/>
      <c r="L73" s="11"/>
      <c r="M73" s="11"/>
      <c r="N73" s="47" t="s">
        <v>169</v>
      </c>
      <c r="O73" s="84">
        <v>207.75067750677505</v>
      </c>
      <c r="P73" s="11"/>
      <c r="Q73" s="11"/>
      <c r="R73" s="11"/>
      <c r="S73" s="11"/>
      <c r="T73" s="11"/>
      <c r="U73" s="11"/>
      <c r="V73" s="11"/>
      <c r="W73" s="11"/>
      <c r="X73" s="11"/>
      <c r="Y73" s="47" t="s">
        <v>170</v>
      </c>
      <c r="Z73" s="85">
        <v>295.34662867996201</v>
      </c>
    </row>
    <row r="74" spans="3:26" x14ac:dyDescent="0.25">
      <c r="C74" s="37" t="s">
        <v>168</v>
      </c>
      <c r="D74" s="85">
        <v>242.9768859537719</v>
      </c>
      <c r="E74" s="11"/>
      <c r="F74" s="11"/>
      <c r="G74" s="11"/>
      <c r="H74" s="11"/>
      <c r="I74" s="11"/>
      <c r="J74" s="11"/>
      <c r="K74" s="11"/>
      <c r="L74" s="11"/>
      <c r="M74" s="11"/>
      <c r="N74" s="47" t="s">
        <v>169</v>
      </c>
      <c r="O74" s="84">
        <v>6672.5084850354815</v>
      </c>
      <c r="P74" s="11"/>
      <c r="Q74" s="11"/>
      <c r="R74" s="11"/>
      <c r="S74" s="11"/>
      <c r="T74" s="11"/>
      <c r="U74" s="11"/>
      <c r="V74" s="11"/>
      <c r="W74" s="11"/>
      <c r="X74" s="11"/>
      <c r="Y74" s="47" t="s">
        <v>173</v>
      </c>
      <c r="Z74" s="84">
        <v>30</v>
      </c>
    </row>
    <row r="75" spans="3:26" x14ac:dyDescent="0.25">
      <c r="C75" s="37" t="s">
        <v>171</v>
      </c>
      <c r="D75" s="84">
        <v>2672.0989543483802</v>
      </c>
      <c r="E75" s="11"/>
      <c r="F75" s="11"/>
      <c r="G75" s="11"/>
      <c r="H75" s="11"/>
      <c r="I75" s="11"/>
      <c r="J75" s="11"/>
      <c r="K75" s="11"/>
      <c r="L75" s="11"/>
      <c r="M75" s="11"/>
      <c r="N75" s="47" t="s">
        <v>169</v>
      </c>
      <c r="O75" s="85">
        <v>11792.924807578451</v>
      </c>
      <c r="P75" s="11"/>
      <c r="Q75" s="11"/>
      <c r="R75" s="11"/>
      <c r="S75" s="11"/>
      <c r="T75" s="11"/>
      <c r="U75" s="11"/>
      <c r="V75" s="11"/>
      <c r="W75" s="11"/>
      <c r="X75" s="11"/>
      <c r="Y75" s="47" t="s">
        <v>173</v>
      </c>
      <c r="Z75" s="84">
        <v>62</v>
      </c>
    </row>
    <row r="76" spans="3:26" x14ac:dyDescent="0.25">
      <c r="C76" s="37" t="s">
        <v>171</v>
      </c>
      <c r="D76" s="84">
        <v>3933.8946055503584</v>
      </c>
      <c r="E76" s="11"/>
      <c r="F76" s="11"/>
      <c r="G76" s="11"/>
      <c r="H76" s="11"/>
      <c r="I76" s="11"/>
      <c r="J76" s="11"/>
      <c r="K76" s="11"/>
      <c r="L76" s="11"/>
      <c r="M76" s="11"/>
      <c r="N76" s="47" t="s">
        <v>169</v>
      </c>
      <c r="O76" s="84">
        <v>53</v>
      </c>
      <c r="P76" s="11"/>
      <c r="Q76" s="11"/>
      <c r="R76" s="11"/>
      <c r="S76" s="11"/>
      <c r="T76" s="11"/>
      <c r="U76" s="11"/>
      <c r="V76" s="11"/>
      <c r="W76" s="11"/>
      <c r="X76" s="11"/>
      <c r="Y76" s="47" t="s">
        <v>173</v>
      </c>
      <c r="Z76" s="84">
        <v>527.08630019937334</v>
      </c>
    </row>
    <row r="77" spans="3:26" x14ac:dyDescent="0.25">
      <c r="C77" s="37" t="s">
        <v>171</v>
      </c>
      <c r="D77" s="84">
        <v>8684.62246777164</v>
      </c>
      <c r="E77" s="11"/>
      <c r="F77" s="11"/>
      <c r="G77" s="11"/>
      <c r="H77" s="11"/>
      <c r="I77" s="11"/>
      <c r="J77" s="11"/>
      <c r="K77" s="11"/>
      <c r="L77" s="11"/>
      <c r="M77" s="11"/>
      <c r="N77" s="47" t="s">
        <v>169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47" t="s">
        <v>173</v>
      </c>
      <c r="Z77" s="85">
        <v>12029.615384615383</v>
      </c>
    </row>
    <row r="78" spans="3:26" x14ac:dyDescent="0.25">
      <c r="C78" s="37" t="s">
        <v>171</v>
      </c>
      <c r="D78" s="85">
        <v>3865.4465992898117</v>
      </c>
      <c r="E78" s="11"/>
      <c r="F78" s="11"/>
      <c r="G78" s="11"/>
      <c r="H78" s="11"/>
      <c r="I78" s="11"/>
      <c r="J78" s="11"/>
      <c r="K78" s="11"/>
      <c r="L78" s="11"/>
      <c r="M78" s="11"/>
      <c r="N78" s="47" t="s">
        <v>169</v>
      </c>
      <c r="O78" s="85">
        <v>501.87362233651731</v>
      </c>
      <c r="P78" s="11"/>
      <c r="Q78" s="11"/>
      <c r="R78" s="11"/>
      <c r="S78" s="11"/>
      <c r="T78" s="11"/>
      <c r="U78" s="11"/>
      <c r="V78" s="11"/>
      <c r="W78" s="11"/>
      <c r="X78" s="11"/>
      <c r="Y78" s="47" t="s">
        <v>173</v>
      </c>
      <c r="Z78" s="87">
        <v>310.17147310989867</v>
      </c>
    </row>
    <row r="79" spans="3:26" x14ac:dyDescent="0.25">
      <c r="C79" s="37" t="s">
        <v>180</v>
      </c>
      <c r="D79" s="84">
        <v>53</v>
      </c>
      <c r="E79" s="11"/>
      <c r="F79" s="11"/>
      <c r="G79" s="11"/>
      <c r="H79" s="11"/>
      <c r="I79" s="11"/>
      <c r="J79" s="11"/>
      <c r="K79" s="11"/>
      <c r="L79" s="11"/>
      <c r="M79" s="11"/>
      <c r="N79" s="47" t="s">
        <v>174</v>
      </c>
      <c r="O79" s="84">
        <v>11009.840429886031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3:26" x14ac:dyDescent="0.25">
      <c r="C80" s="37" t="s">
        <v>180</v>
      </c>
      <c r="D80" s="84">
        <v>3322.2610213880403</v>
      </c>
      <c r="E80" s="11"/>
      <c r="F80" s="11"/>
      <c r="G80" s="11"/>
      <c r="H80" s="11"/>
      <c r="I80" s="11"/>
      <c r="J80" s="11"/>
      <c r="K80" s="11"/>
      <c r="L80" s="11"/>
      <c r="M80" s="11"/>
      <c r="N80" s="47" t="s">
        <v>174</v>
      </c>
      <c r="O80" s="84">
        <v>11089.692585895116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3:26" x14ac:dyDescent="0.25">
      <c r="C81" s="37" t="s">
        <v>180</v>
      </c>
      <c r="D81" s="84">
        <v>10109.492273730684</v>
      </c>
      <c r="E81" s="11"/>
      <c r="F81" s="11"/>
      <c r="G81" s="11"/>
      <c r="H81" s="11"/>
      <c r="I81" s="11"/>
      <c r="J81" s="11"/>
      <c r="K81" s="11"/>
      <c r="L81" s="11"/>
      <c r="M81" s="11"/>
      <c r="N81" s="47" t="s">
        <v>174</v>
      </c>
      <c r="O81" s="84">
        <v>5273.1872878741133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3:26" x14ac:dyDescent="0.25">
      <c r="C82" s="37" t="s">
        <v>180</v>
      </c>
      <c r="D82" s="85">
        <v>7448.5690923957482</v>
      </c>
      <c r="E82" s="11"/>
      <c r="F82" s="11"/>
      <c r="G82" s="11"/>
      <c r="H82" s="11"/>
      <c r="I82" s="11"/>
      <c r="J82" s="11"/>
      <c r="K82" s="11"/>
      <c r="L82" s="11"/>
      <c r="M82" s="11"/>
      <c r="N82" s="47" t="s">
        <v>174</v>
      </c>
      <c r="O82" s="85">
        <v>12893.285425555805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3:26" x14ac:dyDescent="0.25">
      <c r="C83" s="37" t="s">
        <v>180</v>
      </c>
      <c r="D83" s="84">
        <v>359.88156920799412</v>
      </c>
      <c r="E83" s="11"/>
      <c r="F83" s="11"/>
      <c r="G83" s="11"/>
      <c r="H83" s="11"/>
      <c r="I83" s="11"/>
      <c r="J83" s="11"/>
      <c r="K83" s="11"/>
      <c r="L83" s="11"/>
      <c r="M83" s="11"/>
      <c r="N83" s="47" t="s">
        <v>174</v>
      </c>
      <c r="O83" s="84">
        <v>898.74257771568296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3:26" x14ac:dyDescent="0.25">
      <c r="C84" s="37" t="s">
        <v>180</v>
      </c>
      <c r="D84" s="84">
        <v>1799.1007669928588</v>
      </c>
      <c r="E84" s="11"/>
      <c r="F84" s="11"/>
      <c r="G84" s="11"/>
      <c r="H84" s="11"/>
      <c r="I84" s="11"/>
      <c r="J84" s="11"/>
      <c r="K84" s="11"/>
      <c r="L84" s="11"/>
      <c r="M84" s="11"/>
      <c r="N84" s="47" t="s">
        <v>174</v>
      </c>
      <c r="O84" s="84">
        <v>1418.3872938301772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3:26" x14ac:dyDescent="0.25">
      <c r="C85" s="37" t="s">
        <v>180</v>
      </c>
      <c r="D85" s="85">
        <v>6433.7314225053078</v>
      </c>
      <c r="E85" s="11"/>
      <c r="F85" s="11"/>
      <c r="G85" s="11"/>
      <c r="H85" s="11"/>
      <c r="I85" s="11"/>
      <c r="J85" s="11"/>
      <c r="K85" s="11"/>
      <c r="L85" s="11"/>
      <c r="M85" s="11"/>
      <c r="N85" s="47" t="s">
        <v>174</v>
      </c>
      <c r="O85" s="84">
        <v>4347.9107312440647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3:26" x14ac:dyDescent="0.25">
      <c r="C86" s="37" t="s">
        <v>180</v>
      </c>
      <c r="D86" s="84">
        <v>4255.4172679852691</v>
      </c>
      <c r="E86" s="11"/>
      <c r="F86" s="11"/>
      <c r="G86" s="11"/>
      <c r="H86" s="11"/>
      <c r="I86" s="11"/>
      <c r="J86" s="11"/>
      <c r="K86" s="11"/>
      <c r="L86" s="11"/>
      <c r="M86" s="11"/>
      <c r="N86" s="47" t="s">
        <v>174</v>
      </c>
      <c r="O86" s="85">
        <v>934.52566096423016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3:26" x14ac:dyDescent="0.25">
      <c r="C87" s="37" t="s">
        <v>180</v>
      </c>
      <c r="D87" s="84">
        <v>5607.0422535211264</v>
      </c>
      <c r="E87" s="11"/>
      <c r="F87" s="11"/>
      <c r="G87" s="11"/>
      <c r="H87" s="11"/>
      <c r="I87" s="11"/>
      <c r="J87" s="11"/>
      <c r="K87" s="11"/>
      <c r="L87" s="11"/>
      <c r="M87" s="11"/>
      <c r="N87" s="47" t="s">
        <v>172</v>
      </c>
      <c r="O87" s="84">
        <v>1213.2648601398603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3:26" x14ac:dyDescent="0.25">
      <c r="C88" s="37" t="s">
        <v>180</v>
      </c>
      <c r="D88" s="84">
        <v>371.08618052014282</v>
      </c>
      <c r="E88" s="11"/>
      <c r="F88" s="11"/>
      <c r="G88" s="11"/>
      <c r="H88" s="11"/>
      <c r="I88" s="11"/>
      <c r="J88" s="11"/>
      <c r="K88" s="11"/>
      <c r="L88" s="11"/>
      <c r="M88" s="11"/>
      <c r="N88" s="47" t="s">
        <v>172</v>
      </c>
      <c r="O88" s="84">
        <v>3163.6961525813877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3:26" x14ac:dyDescent="0.25">
      <c r="C89" s="37" t="s">
        <v>180</v>
      </c>
      <c r="D89" s="85">
        <v>609.86038394415357</v>
      </c>
      <c r="E89" s="11"/>
      <c r="F89" s="11"/>
      <c r="G89" s="11"/>
      <c r="H89" s="11"/>
      <c r="I89" s="11"/>
      <c r="J89" s="11"/>
      <c r="K89" s="11"/>
      <c r="L89" s="11"/>
      <c r="M89" s="11"/>
      <c r="N89" s="47" t="s">
        <v>172</v>
      </c>
      <c r="O89" s="84">
        <v>729.18660287081343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3:26" x14ac:dyDescent="0.25">
      <c r="C90" s="37" t="s">
        <v>180</v>
      </c>
      <c r="D90" s="84">
        <v>225.26103065005051</v>
      </c>
      <c r="E90" s="11"/>
      <c r="F90" s="11"/>
      <c r="G90" s="11"/>
      <c r="H90" s="11"/>
      <c r="I90" s="11"/>
      <c r="J90" s="11"/>
      <c r="K90" s="11"/>
      <c r="L90" s="11"/>
      <c r="M90" s="11"/>
      <c r="N90" s="88" t="s">
        <v>172</v>
      </c>
      <c r="O90" s="85">
        <v>1045.9594475462827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3:26" x14ac:dyDescent="0.25">
      <c r="C91" s="37" t="s">
        <v>180</v>
      </c>
      <c r="D91" s="85">
        <v>181.63777945239886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"/>
  <sheetViews>
    <sheetView workbookViewId="0">
      <selection activeCell="C1" sqref="C1"/>
    </sheetView>
  </sheetViews>
  <sheetFormatPr defaultRowHeight="15" x14ac:dyDescent="0.25"/>
  <cols>
    <col min="1" max="1" width="34.42578125" customWidth="1"/>
  </cols>
  <sheetData>
    <row r="1" spans="1:2" x14ac:dyDescent="0.25">
      <c r="A1" s="69" t="s">
        <v>441</v>
      </c>
    </row>
    <row r="2" spans="1:2" x14ac:dyDescent="0.25">
      <c r="A2" s="70" t="s">
        <v>442</v>
      </c>
      <c r="B2" s="70" t="s">
        <v>443</v>
      </c>
    </row>
    <row r="3" spans="1:2" x14ac:dyDescent="0.25">
      <c r="A3" s="71" t="s">
        <v>444</v>
      </c>
      <c r="B3" s="71" t="s">
        <v>445</v>
      </c>
    </row>
    <row r="4" spans="1:2" x14ac:dyDescent="0.25">
      <c r="A4" s="71" t="s">
        <v>446</v>
      </c>
      <c r="B4" s="71" t="s">
        <v>447</v>
      </c>
    </row>
    <row r="5" spans="1:2" x14ac:dyDescent="0.25">
      <c r="A5" s="71" t="s">
        <v>448</v>
      </c>
      <c r="B5" s="71" t="s">
        <v>449</v>
      </c>
    </row>
    <row r="6" spans="1:2" x14ac:dyDescent="0.25">
      <c r="A6" s="71" t="s">
        <v>450</v>
      </c>
      <c r="B6" s="71" t="s">
        <v>451</v>
      </c>
    </row>
    <row r="7" spans="1:2" x14ac:dyDescent="0.25">
      <c r="A7" s="71" t="s">
        <v>452</v>
      </c>
      <c r="B7" s="71" t="s">
        <v>453</v>
      </c>
    </row>
    <row r="8" spans="1:2" x14ac:dyDescent="0.25">
      <c r="A8" s="71" t="s">
        <v>454</v>
      </c>
      <c r="B8" s="71" t="s">
        <v>455</v>
      </c>
    </row>
    <row r="9" spans="1:2" x14ac:dyDescent="0.25">
      <c r="A9" s="71" t="s">
        <v>456</v>
      </c>
      <c r="B9" s="71" t="s">
        <v>457</v>
      </c>
    </row>
    <row r="10" spans="1:2" x14ac:dyDescent="0.25">
      <c r="A10" s="71" t="s">
        <v>458</v>
      </c>
      <c r="B10" s="71" t="s">
        <v>459</v>
      </c>
    </row>
    <row r="11" spans="1:2" x14ac:dyDescent="0.25">
      <c r="A11" s="71" t="s">
        <v>460</v>
      </c>
      <c r="B11" s="71" t="s">
        <v>461</v>
      </c>
    </row>
    <row r="12" spans="1:2" x14ac:dyDescent="0.25">
      <c r="A12" s="71" t="s">
        <v>462</v>
      </c>
      <c r="B12" s="71" t="s">
        <v>463</v>
      </c>
    </row>
    <row r="13" spans="1:2" x14ac:dyDescent="0.25">
      <c r="A13" s="71" t="s">
        <v>464</v>
      </c>
      <c r="B13" s="71" t="s">
        <v>465</v>
      </c>
    </row>
    <row r="14" spans="1:2" x14ac:dyDescent="0.25">
      <c r="A14" s="71" t="s">
        <v>466</v>
      </c>
      <c r="B14" s="71" t="s">
        <v>467</v>
      </c>
    </row>
    <row r="15" spans="1:2" x14ac:dyDescent="0.25">
      <c r="A15" s="71" t="s">
        <v>468</v>
      </c>
      <c r="B15" s="71" t="s">
        <v>469</v>
      </c>
    </row>
    <row r="16" spans="1:2" x14ac:dyDescent="0.25">
      <c r="A16" s="71" t="s">
        <v>470</v>
      </c>
      <c r="B16" s="71" t="s">
        <v>471</v>
      </c>
    </row>
    <row r="17" spans="1:2" x14ac:dyDescent="0.25">
      <c r="A17" s="71" t="s">
        <v>472</v>
      </c>
      <c r="B17" s="71" t="s">
        <v>473</v>
      </c>
    </row>
    <row r="18" spans="1:2" x14ac:dyDescent="0.25">
      <c r="A18" s="71" t="s">
        <v>474</v>
      </c>
      <c r="B18" s="71" t="s">
        <v>475</v>
      </c>
    </row>
    <row r="19" spans="1:2" x14ac:dyDescent="0.25">
      <c r="A19" s="72" t="s">
        <v>476</v>
      </c>
      <c r="B19" s="71" t="s">
        <v>477</v>
      </c>
    </row>
    <row r="20" spans="1:2" x14ac:dyDescent="0.25">
      <c r="A20" s="72" t="s">
        <v>478</v>
      </c>
      <c r="B20" s="71" t="s">
        <v>148</v>
      </c>
    </row>
    <row r="21" spans="1:2" x14ac:dyDescent="0.25">
      <c r="A21" s="71" t="s">
        <v>479</v>
      </c>
      <c r="B21" s="74" t="s">
        <v>498</v>
      </c>
    </row>
    <row r="22" spans="1:2" x14ac:dyDescent="0.25">
      <c r="A22" s="71" t="s">
        <v>480</v>
      </c>
      <c r="B22" s="71" t="s">
        <v>481</v>
      </c>
    </row>
    <row r="23" spans="1:2" x14ac:dyDescent="0.25">
      <c r="A23" s="71" t="s">
        <v>482</v>
      </c>
      <c r="B23" s="71" t="s">
        <v>483</v>
      </c>
    </row>
    <row r="24" spans="1:2" x14ac:dyDescent="0.25">
      <c r="A24" s="71" t="s">
        <v>484</v>
      </c>
      <c r="B24" s="71" t="s">
        <v>485</v>
      </c>
    </row>
    <row r="25" spans="1:2" x14ac:dyDescent="0.25">
      <c r="A25" s="71" t="s">
        <v>486</v>
      </c>
      <c r="B25" s="71" t="s">
        <v>487</v>
      </c>
    </row>
    <row r="26" spans="1:2" x14ac:dyDescent="0.25">
      <c r="A26" s="71" t="s">
        <v>488</v>
      </c>
      <c r="B26" s="71" t="s">
        <v>489</v>
      </c>
    </row>
    <row r="27" spans="1:2" x14ac:dyDescent="0.25">
      <c r="A27" s="71" t="s">
        <v>490</v>
      </c>
      <c r="B27" s="71" t="s">
        <v>491</v>
      </c>
    </row>
    <row r="28" spans="1:2" x14ac:dyDescent="0.25">
      <c r="A28" s="73"/>
      <c r="B28" s="71"/>
    </row>
    <row r="29" spans="1:2" x14ac:dyDescent="0.25">
      <c r="A29" s="72" t="s">
        <v>492</v>
      </c>
      <c r="B29" s="71" t="s">
        <v>148</v>
      </c>
    </row>
    <row r="30" spans="1:2" x14ac:dyDescent="0.25">
      <c r="A30" s="72" t="s">
        <v>493</v>
      </c>
      <c r="B30" s="71" t="s">
        <v>148</v>
      </c>
    </row>
    <row r="31" spans="1:2" x14ac:dyDescent="0.25">
      <c r="A31" s="72" t="s">
        <v>494</v>
      </c>
      <c r="B31" s="71" t="s">
        <v>495</v>
      </c>
    </row>
    <row r="32" spans="1:2" x14ac:dyDescent="0.25">
      <c r="A32" s="72" t="s">
        <v>496</v>
      </c>
      <c r="B32" s="71" t="s">
        <v>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F28"/>
  <sheetViews>
    <sheetView workbookViewId="0">
      <selection activeCell="A5" sqref="A5"/>
    </sheetView>
  </sheetViews>
  <sheetFormatPr defaultRowHeight="15" x14ac:dyDescent="0.25"/>
  <cols>
    <col min="74" max="110" width="14.140625" customWidth="1"/>
  </cols>
  <sheetData>
    <row r="1" spans="1:110" x14ac:dyDescent="0.25">
      <c r="A1" s="51" t="s">
        <v>499</v>
      </c>
      <c r="E1" s="53" t="s">
        <v>584</v>
      </c>
      <c r="BU1" s="55"/>
    </row>
    <row r="2" spans="1:110" x14ac:dyDescent="0.25">
      <c r="BO2" s="56" t="s">
        <v>500</v>
      </c>
    </row>
    <row r="3" spans="1:110" x14ac:dyDescent="0.25">
      <c r="H3" s="54" t="s">
        <v>501</v>
      </c>
      <c r="I3" s="8"/>
      <c r="BO3" s="58" t="s">
        <v>205</v>
      </c>
      <c r="BU3" s="55" t="s">
        <v>206</v>
      </c>
      <c r="BV3" s="59" t="s">
        <v>208</v>
      </c>
      <c r="BW3" s="59" t="s">
        <v>208</v>
      </c>
      <c r="BX3" s="60" t="s">
        <v>209</v>
      </c>
      <c r="BY3" s="59" t="s">
        <v>208</v>
      </c>
      <c r="BZ3" s="59" t="s">
        <v>208</v>
      </c>
      <c r="CA3" s="59" t="s">
        <v>208</v>
      </c>
      <c r="CB3" s="59" t="s">
        <v>208</v>
      </c>
      <c r="CC3" s="59" t="s">
        <v>208</v>
      </c>
      <c r="CD3" s="59" t="s">
        <v>208</v>
      </c>
      <c r="CE3" s="59" t="s">
        <v>208</v>
      </c>
      <c r="CF3" s="59" t="s">
        <v>208</v>
      </c>
      <c r="CG3" s="59" t="s">
        <v>208</v>
      </c>
      <c r="CH3" s="59" t="s">
        <v>208</v>
      </c>
      <c r="CI3" s="59" t="s">
        <v>208</v>
      </c>
      <c r="CJ3" s="59" t="s">
        <v>208</v>
      </c>
      <c r="CK3" s="60" t="s">
        <v>209</v>
      </c>
      <c r="CL3" s="59" t="s">
        <v>208</v>
      </c>
      <c r="CM3" s="59" t="s">
        <v>208</v>
      </c>
      <c r="CN3" s="60" t="s">
        <v>209</v>
      </c>
      <c r="CO3" s="61" t="s">
        <v>211</v>
      </c>
      <c r="CP3" s="61" t="s">
        <v>211</v>
      </c>
      <c r="CQ3" s="61" t="s">
        <v>211</v>
      </c>
      <c r="CR3" s="61" t="s">
        <v>211</v>
      </c>
      <c r="CS3" s="60" t="s">
        <v>209</v>
      </c>
      <c r="CT3" s="60" t="s">
        <v>209</v>
      </c>
      <c r="CU3" s="61" t="s">
        <v>211</v>
      </c>
      <c r="CV3" s="61" t="s">
        <v>211</v>
      </c>
      <c r="CW3" s="61" t="s">
        <v>211</v>
      </c>
      <c r="CX3" s="61" t="s">
        <v>211</v>
      </c>
      <c r="CY3" s="61" t="s">
        <v>211</v>
      </c>
      <c r="CZ3" s="59" t="s">
        <v>208</v>
      </c>
      <c r="DA3" s="59" t="s">
        <v>208</v>
      </c>
      <c r="DB3" s="60" t="s">
        <v>209</v>
      </c>
      <c r="DC3" t="s">
        <v>210</v>
      </c>
      <c r="DD3" s="59" t="s">
        <v>208</v>
      </c>
      <c r="DE3" s="11" t="s">
        <v>210</v>
      </c>
      <c r="DF3" s="59" t="s">
        <v>208</v>
      </c>
    </row>
    <row r="4" spans="1:110" ht="105" x14ac:dyDescent="0.25">
      <c r="B4" s="75" t="s">
        <v>212</v>
      </c>
      <c r="C4" s="63" t="s">
        <v>502</v>
      </c>
      <c r="D4" s="63" t="s">
        <v>503</v>
      </c>
      <c r="E4" s="63" t="s">
        <v>504</v>
      </c>
      <c r="F4" s="63" t="s">
        <v>505</v>
      </c>
      <c r="G4" s="63" t="s">
        <v>506</v>
      </c>
      <c r="H4" s="75" t="s">
        <v>212</v>
      </c>
      <c r="I4" s="76" t="s">
        <v>507</v>
      </c>
      <c r="J4" s="63" t="s">
        <v>508</v>
      </c>
      <c r="K4" s="63" t="s">
        <v>509</v>
      </c>
      <c r="L4" s="63" t="s">
        <v>510</v>
      </c>
      <c r="M4" s="63" t="s">
        <v>511</v>
      </c>
      <c r="N4" s="63" t="s">
        <v>512</v>
      </c>
      <c r="O4" s="63" t="s">
        <v>513</v>
      </c>
      <c r="P4" s="63" t="s">
        <v>514</v>
      </c>
      <c r="Q4" s="63" t="s">
        <v>515</v>
      </c>
      <c r="R4" s="63" t="s">
        <v>516</v>
      </c>
      <c r="S4" s="63" t="s">
        <v>517</v>
      </c>
      <c r="T4" s="63" t="s">
        <v>518</v>
      </c>
      <c r="U4" s="63" t="s">
        <v>519</v>
      </c>
      <c r="V4" s="63" t="s">
        <v>520</v>
      </c>
      <c r="W4" s="63" t="s">
        <v>521</v>
      </c>
      <c r="X4" s="63" t="s">
        <v>522</v>
      </c>
      <c r="Y4" s="63" t="s">
        <v>523</v>
      </c>
      <c r="Z4" s="63" t="s">
        <v>524</v>
      </c>
      <c r="AA4" s="63" t="s">
        <v>525</v>
      </c>
      <c r="AB4" s="63" t="s">
        <v>526</v>
      </c>
      <c r="AC4" s="63" t="s">
        <v>527</v>
      </c>
      <c r="AD4" s="63" t="s">
        <v>528</v>
      </c>
      <c r="AE4" s="63" t="s">
        <v>529</v>
      </c>
      <c r="AF4" s="63" t="s">
        <v>530</v>
      </c>
      <c r="AG4" s="63" t="s">
        <v>531</v>
      </c>
      <c r="AH4" s="63" t="s">
        <v>532</v>
      </c>
      <c r="AI4" s="63" t="s">
        <v>533</v>
      </c>
      <c r="AJ4" s="63" t="s">
        <v>534</v>
      </c>
      <c r="AK4" s="63" t="s">
        <v>535</v>
      </c>
      <c r="AL4" s="63" t="s">
        <v>536</v>
      </c>
      <c r="AM4" s="63" t="s">
        <v>537</v>
      </c>
      <c r="AN4" s="63" t="s">
        <v>538</v>
      </c>
      <c r="AO4" s="63" t="s">
        <v>539</v>
      </c>
      <c r="AP4" s="63" t="s">
        <v>540</v>
      </c>
      <c r="AQ4" s="63" t="s">
        <v>541</v>
      </c>
      <c r="AR4" s="63" t="s">
        <v>542</v>
      </c>
      <c r="AS4" s="63" t="s">
        <v>543</v>
      </c>
      <c r="AT4" s="63" t="s">
        <v>544</v>
      </c>
      <c r="AU4" s="63" t="s">
        <v>545</v>
      </c>
      <c r="AV4" s="63" t="s">
        <v>546</v>
      </c>
      <c r="AW4" s="63" t="s">
        <v>547</v>
      </c>
      <c r="AX4" s="63" t="s">
        <v>548</v>
      </c>
      <c r="AY4" s="63" t="s">
        <v>549</v>
      </c>
      <c r="AZ4" s="63" t="s">
        <v>550</v>
      </c>
      <c r="BA4" s="63" t="s">
        <v>551</v>
      </c>
      <c r="BB4" s="63" t="s">
        <v>552</v>
      </c>
      <c r="BC4" s="63" t="s">
        <v>553</v>
      </c>
      <c r="BD4" s="63" t="s">
        <v>554</v>
      </c>
      <c r="BE4" s="63" t="s">
        <v>555</v>
      </c>
      <c r="BF4" s="63" t="s">
        <v>556</v>
      </c>
      <c r="BG4" s="63" t="s">
        <v>557</v>
      </c>
      <c r="BH4" s="63" t="s">
        <v>558</v>
      </c>
      <c r="BI4" s="63" t="s">
        <v>559</v>
      </c>
      <c r="BJ4" s="63" t="s">
        <v>560</v>
      </c>
      <c r="BK4" s="63" t="s">
        <v>561</v>
      </c>
      <c r="BL4" s="63" t="s">
        <v>562</v>
      </c>
      <c r="BO4" s="67" t="s">
        <v>212</v>
      </c>
      <c r="BP4" s="63" t="s">
        <v>502</v>
      </c>
      <c r="BQ4" s="63" t="s">
        <v>503</v>
      </c>
      <c r="BR4" s="63" t="s">
        <v>504</v>
      </c>
      <c r="BS4" s="63" t="s">
        <v>505</v>
      </c>
      <c r="BT4" s="63" t="s">
        <v>506</v>
      </c>
      <c r="BU4" s="77" t="s">
        <v>212</v>
      </c>
      <c r="BV4" s="76" t="s">
        <v>563</v>
      </c>
      <c r="BW4" s="63" t="s">
        <v>420</v>
      </c>
      <c r="BX4" s="63" t="s">
        <v>421</v>
      </c>
      <c r="BY4" s="63" t="s">
        <v>422</v>
      </c>
      <c r="BZ4" s="63" t="s">
        <v>427</v>
      </c>
      <c r="CA4" s="63" t="s">
        <v>428</v>
      </c>
      <c r="CB4" s="63" t="s">
        <v>429</v>
      </c>
      <c r="CC4" s="63" t="s">
        <v>431</v>
      </c>
      <c r="CD4" s="63" t="s">
        <v>433</v>
      </c>
      <c r="CE4" s="63" t="s">
        <v>434</v>
      </c>
      <c r="CF4" s="63" t="s">
        <v>435</v>
      </c>
      <c r="CG4" s="63" t="s">
        <v>564</v>
      </c>
      <c r="CH4" s="63" t="s">
        <v>391</v>
      </c>
      <c r="CI4" s="63" t="s">
        <v>565</v>
      </c>
      <c r="CJ4" s="63" t="s">
        <v>394</v>
      </c>
      <c r="CK4" s="63" t="s">
        <v>395</v>
      </c>
      <c r="CL4" s="63" t="s">
        <v>566</v>
      </c>
      <c r="CM4" s="63" t="s">
        <v>567</v>
      </c>
      <c r="CN4" s="63" t="s">
        <v>568</v>
      </c>
      <c r="CO4" s="63" t="s">
        <v>569</v>
      </c>
      <c r="CP4" s="63" t="s">
        <v>570</v>
      </c>
      <c r="CQ4" s="63" t="s">
        <v>571</v>
      </c>
      <c r="CR4" s="63" t="s">
        <v>572</v>
      </c>
      <c r="CS4" s="63" t="s">
        <v>437</v>
      </c>
      <c r="CT4" s="63" t="s">
        <v>438</v>
      </c>
      <c r="CU4" s="63" t="s">
        <v>573</v>
      </c>
      <c r="CV4" s="63" t="s">
        <v>574</v>
      </c>
      <c r="CW4" s="63" t="s">
        <v>575</v>
      </c>
      <c r="CX4" s="63" t="s">
        <v>576</v>
      </c>
      <c r="CY4" s="63" t="s">
        <v>577</v>
      </c>
      <c r="CZ4" s="63" t="s">
        <v>578</v>
      </c>
      <c r="DA4" s="63" t="s">
        <v>579</v>
      </c>
      <c r="DB4" s="63" t="s">
        <v>404</v>
      </c>
      <c r="DC4" s="63" t="s">
        <v>580</v>
      </c>
      <c r="DD4" s="63" t="s">
        <v>409</v>
      </c>
      <c r="DE4" s="63" t="s">
        <v>581</v>
      </c>
      <c r="DF4" s="63" t="s">
        <v>582</v>
      </c>
    </row>
    <row r="5" spans="1:110" x14ac:dyDescent="0.25">
      <c r="B5" s="2">
        <v>10</v>
      </c>
      <c r="C5" t="s">
        <v>583</v>
      </c>
      <c r="D5" t="s">
        <v>439</v>
      </c>
      <c r="E5">
        <v>19.875</v>
      </c>
      <c r="F5">
        <v>14.34375</v>
      </c>
      <c r="G5">
        <v>4.729166666666667</v>
      </c>
      <c r="H5" s="2">
        <v>10</v>
      </c>
      <c r="I5" s="8">
        <v>1.5</v>
      </c>
      <c r="J5">
        <v>1</v>
      </c>
      <c r="K5">
        <v>0</v>
      </c>
      <c r="L5">
        <v>0.25</v>
      </c>
      <c r="M5">
        <v>0</v>
      </c>
      <c r="N5">
        <v>0.75</v>
      </c>
      <c r="O5">
        <v>0.25</v>
      </c>
      <c r="P5">
        <v>8.25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7.5</v>
      </c>
      <c r="X5">
        <v>2.25</v>
      </c>
      <c r="Y5">
        <v>16.5</v>
      </c>
      <c r="Z5">
        <v>1.25</v>
      </c>
      <c r="AA5">
        <v>0</v>
      </c>
      <c r="AB5">
        <v>0</v>
      </c>
      <c r="AC5">
        <v>0</v>
      </c>
      <c r="AD5">
        <v>0</v>
      </c>
      <c r="AE5">
        <v>0.25</v>
      </c>
      <c r="AF5">
        <v>2</v>
      </c>
      <c r="AG5">
        <v>1</v>
      </c>
      <c r="AH5">
        <v>0</v>
      </c>
      <c r="AI5">
        <v>527.25</v>
      </c>
      <c r="AJ5">
        <v>14.75</v>
      </c>
      <c r="AK5">
        <v>0.25</v>
      </c>
      <c r="AL5">
        <v>0.25</v>
      </c>
      <c r="AM5">
        <v>1</v>
      </c>
      <c r="AN5">
        <v>0.5</v>
      </c>
      <c r="AO5">
        <v>0.25</v>
      </c>
      <c r="AP5">
        <v>0</v>
      </c>
      <c r="AQ5">
        <v>81.5</v>
      </c>
      <c r="AR5">
        <v>0.75</v>
      </c>
      <c r="AS5">
        <v>1.75</v>
      </c>
      <c r="AT5">
        <v>6.5</v>
      </c>
      <c r="AU5">
        <v>3.25</v>
      </c>
      <c r="AV5">
        <v>2.75</v>
      </c>
      <c r="AW5">
        <v>0.5</v>
      </c>
      <c r="AX5">
        <v>0</v>
      </c>
      <c r="AY5">
        <v>0</v>
      </c>
      <c r="AZ5">
        <v>0</v>
      </c>
      <c r="BA5">
        <v>0.75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0.25</v>
      </c>
      <c r="BJ5">
        <v>0.5</v>
      </c>
      <c r="BK5">
        <v>0</v>
      </c>
      <c r="BL5">
        <v>0</v>
      </c>
      <c r="BO5" s="2">
        <v>10</v>
      </c>
      <c r="BP5" t="s">
        <v>583</v>
      </c>
      <c r="BQ5" t="s">
        <v>439</v>
      </c>
      <c r="BR5">
        <v>19.875</v>
      </c>
      <c r="BS5">
        <v>14.34375</v>
      </c>
      <c r="BT5">
        <v>4.729166666666667</v>
      </c>
      <c r="BU5" s="2">
        <v>10</v>
      </c>
      <c r="BV5">
        <f t="shared" ref="BV5:BV28" si="0">I5</f>
        <v>1.5</v>
      </c>
      <c r="BW5">
        <f t="shared" ref="BW5:BW28" si="1">J5</f>
        <v>1</v>
      </c>
      <c r="BX5">
        <f t="shared" ref="BX5:BX28" si="2">SUM(K5:N5)</f>
        <v>1</v>
      </c>
      <c r="BY5">
        <f t="shared" ref="BY5:BY28" si="3">O5</f>
        <v>0.25</v>
      </c>
      <c r="BZ5">
        <f t="shared" ref="BZ5:BZ28" si="4">SUM(P5:R5)</f>
        <v>12.25</v>
      </c>
      <c r="CA5">
        <f t="shared" ref="CA5:CA28" si="5">SUM(S5:U5)</f>
        <v>0</v>
      </c>
      <c r="CB5">
        <f t="shared" ref="CB5:CB28" si="6">SUM(V5:X5)</f>
        <v>9.75</v>
      </c>
      <c r="CC5">
        <f t="shared" ref="CC5:CC28" si="7">SUM(Y5:AA5)</f>
        <v>17.75</v>
      </c>
      <c r="CD5">
        <f t="shared" ref="CD5:CD28" si="8">SUM(AB5:AC5)</f>
        <v>0</v>
      </c>
      <c r="CE5">
        <f t="shared" ref="CE5:CE28" si="9">SUM(AD5:AE5)</f>
        <v>0.25</v>
      </c>
      <c r="CF5">
        <f t="shared" ref="CF5:CF28" si="10">SUM(AF5:AH5)</f>
        <v>3</v>
      </c>
      <c r="CG5">
        <f t="shared" ref="CG5:CG20" si="11">AI5</f>
        <v>527.25</v>
      </c>
      <c r="CH5">
        <f t="shared" ref="CH5:CH20" si="12">AJ5</f>
        <v>14.75</v>
      </c>
      <c r="CI5">
        <f t="shared" ref="CI5:CI20" si="13">AK5</f>
        <v>0.25</v>
      </c>
      <c r="CJ5">
        <f t="shared" ref="CJ5:CJ20" si="14">AL5</f>
        <v>0.25</v>
      </c>
      <c r="CK5">
        <f t="shared" ref="CK5:CK20" si="15">AM5</f>
        <v>1</v>
      </c>
      <c r="CL5">
        <f t="shared" ref="CL5:CL20" si="16">AN5</f>
        <v>0.5</v>
      </c>
      <c r="CM5">
        <f t="shared" ref="CM5:CM20" si="17">AO5</f>
        <v>0.25</v>
      </c>
      <c r="CN5">
        <f t="shared" ref="CN5:CN20" si="18">AP5</f>
        <v>0</v>
      </c>
      <c r="CO5">
        <f t="shared" ref="CO5:CO20" si="19">AQ5</f>
        <v>81.5</v>
      </c>
      <c r="CP5">
        <f t="shared" ref="CP5:CP20" si="20">AR5</f>
        <v>0.75</v>
      </c>
      <c r="CQ5">
        <f t="shared" ref="CQ5:CQ20" si="21">AS5</f>
        <v>1.75</v>
      </c>
      <c r="CR5">
        <f t="shared" ref="CR5:CR20" si="22">AT5</f>
        <v>6.5</v>
      </c>
      <c r="CS5">
        <f t="shared" ref="CS5:CS28" si="23">SUM(AU5:AW5)</f>
        <v>6.5</v>
      </c>
      <c r="CT5">
        <f t="shared" ref="CT5:CT28" si="24">SUM(AX5:AZ5)</f>
        <v>0</v>
      </c>
      <c r="CU5">
        <f t="shared" ref="CU5:CU20" si="25">BA5</f>
        <v>0.75</v>
      </c>
      <c r="CV5">
        <f t="shared" ref="CV5:CV20" si="26">BB5</f>
        <v>0</v>
      </c>
      <c r="CW5">
        <f t="shared" ref="CW5:CW20" si="27">BC5</f>
        <v>0</v>
      </c>
      <c r="CX5">
        <f t="shared" ref="CX5:CX20" si="28">BD5</f>
        <v>0</v>
      </c>
      <c r="CY5">
        <f t="shared" ref="CY5:CY20" si="29">BE5</f>
        <v>0</v>
      </c>
      <c r="CZ5">
        <f t="shared" ref="CZ5:CZ20" si="30">BF5</f>
        <v>0</v>
      </c>
      <c r="DA5">
        <f t="shared" ref="DA5:DA20" si="31">BG5</f>
        <v>0</v>
      </c>
      <c r="DB5">
        <f t="shared" ref="DB5:DB20" si="32">BH5</f>
        <v>0</v>
      </c>
      <c r="DC5">
        <f t="shared" ref="DC5:DC20" si="33">BI5</f>
        <v>0.25</v>
      </c>
      <c r="DD5">
        <f t="shared" ref="DD5:DD20" si="34">BJ5</f>
        <v>0.5</v>
      </c>
      <c r="DE5">
        <f t="shared" ref="DE5:DE20" si="35">BK5</f>
        <v>0</v>
      </c>
      <c r="DF5">
        <f t="shared" ref="DF5:DF20" si="36">BL5</f>
        <v>0</v>
      </c>
    </row>
    <row r="6" spans="1:110" x14ac:dyDescent="0.25">
      <c r="B6" s="2">
        <v>17</v>
      </c>
      <c r="C6" t="s">
        <v>16</v>
      </c>
      <c r="D6" t="s">
        <v>439</v>
      </c>
      <c r="E6">
        <v>21.385416666666668</v>
      </c>
      <c r="F6">
        <v>16.8125</v>
      </c>
      <c r="G6">
        <v>3.3541666666666665</v>
      </c>
      <c r="H6" s="2">
        <v>17</v>
      </c>
      <c r="I6" s="8">
        <v>0.5</v>
      </c>
      <c r="J6">
        <v>0.25</v>
      </c>
      <c r="K6">
        <v>0</v>
      </c>
      <c r="L6">
        <v>0.75</v>
      </c>
      <c r="M6">
        <v>0</v>
      </c>
      <c r="N6">
        <v>0.25</v>
      </c>
      <c r="O6">
        <v>0</v>
      </c>
      <c r="P6">
        <v>8</v>
      </c>
      <c r="Q6">
        <v>4.25</v>
      </c>
      <c r="R6">
        <v>0</v>
      </c>
      <c r="S6">
        <v>0</v>
      </c>
      <c r="T6">
        <v>0</v>
      </c>
      <c r="U6">
        <v>0</v>
      </c>
      <c r="V6">
        <v>0</v>
      </c>
      <c r="W6">
        <v>14.25</v>
      </c>
      <c r="X6">
        <v>8.25</v>
      </c>
      <c r="Y6">
        <v>4.75</v>
      </c>
      <c r="Z6">
        <v>0.5</v>
      </c>
      <c r="AA6">
        <v>0</v>
      </c>
      <c r="AB6">
        <v>0.5</v>
      </c>
      <c r="AC6">
        <v>0.75</v>
      </c>
      <c r="AD6">
        <v>0.5</v>
      </c>
      <c r="AE6">
        <v>0.75</v>
      </c>
      <c r="AF6">
        <v>0</v>
      </c>
      <c r="AG6">
        <v>1.5</v>
      </c>
      <c r="AH6">
        <v>0</v>
      </c>
      <c r="AI6">
        <v>585.75</v>
      </c>
      <c r="AJ6">
        <v>22.5</v>
      </c>
      <c r="AK6">
        <v>0</v>
      </c>
      <c r="AL6">
        <v>0.5</v>
      </c>
      <c r="AM6">
        <v>2.5</v>
      </c>
      <c r="AN6">
        <v>0</v>
      </c>
      <c r="AO6">
        <v>0</v>
      </c>
      <c r="AP6">
        <v>0</v>
      </c>
      <c r="AQ6">
        <v>74.25</v>
      </c>
      <c r="AR6">
        <v>0.5</v>
      </c>
      <c r="AS6">
        <v>7.25</v>
      </c>
      <c r="AT6">
        <v>0</v>
      </c>
      <c r="AU6">
        <v>1.25</v>
      </c>
      <c r="AV6">
        <v>4</v>
      </c>
      <c r="AW6">
        <v>0.5</v>
      </c>
      <c r="AX6">
        <v>1</v>
      </c>
      <c r="AY6">
        <v>0</v>
      </c>
      <c r="AZ6">
        <v>0</v>
      </c>
      <c r="BA6">
        <v>0.75</v>
      </c>
      <c r="BB6">
        <v>0</v>
      </c>
      <c r="BC6">
        <v>0.25</v>
      </c>
      <c r="BD6">
        <v>0</v>
      </c>
      <c r="BE6">
        <v>0</v>
      </c>
      <c r="BF6">
        <v>0</v>
      </c>
      <c r="BG6">
        <v>0</v>
      </c>
      <c r="BH6">
        <v>0.5</v>
      </c>
      <c r="BI6">
        <v>0.25</v>
      </c>
      <c r="BJ6">
        <v>0.25</v>
      </c>
      <c r="BK6">
        <v>0</v>
      </c>
      <c r="BL6">
        <v>0</v>
      </c>
      <c r="BO6" s="2">
        <v>17</v>
      </c>
      <c r="BP6" t="s">
        <v>16</v>
      </c>
      <c r="BQ6" t="s">
        <v>439</v>
      </c>
      <c r="BR6">
        <v>21.385416666666668</v>
      </c>
      <c r="BS6">
        <v>16.8125</v>
      </c>
      <c r="BT6">
        <v>3.3541666666666665</v>
      </c>
      <c r="BU6" s="2">
        <v>17</v>
      </c>
      <c r="BV6">
        <f t="shared" si="0"/>
        <v>0.5</v>
      </c>
      <c r="BW6">
        <f t="shared" si="1"/>
        <v>0.25</v>
      </c>
      <c r="BX6">
        <f t="shared" si="2"/>
        <v>1</v>
      </c>
      <c r="BY6">
        <f t="shared" si="3"/>
        <v>0</v>
      </c>
      <c r="BZ6">
        <f t="shared" si="4"/>
        <v>12.25</v>
      </c>
      <c r="CA6">
        <f t="shared" si="5"/>
        <v>0</v>
      </c>
      <c r="CB6">
        <f t="shared" si="6"/>
        <v>22.5</v>
      </c>
      <c r="CC6">
        <f t="shared" si="7"/>
        <v>5.25</v>
      </c>
      <c r="CD6">
        <f t="shared" si="8"/>
        <v>1.25</v>
      </c>
      <c r="CE6">
        <f t="shared" si="9"/>
        <v>1.25</v>
      </c>
      <c r="CF6">
        <f t="shared" si="10"/>
        <v>1.5</v>
      </c>
      <c r="CG6">
        <f t="shared" si="11"/>
        <v>585.75</v>
      </c>
      <c r="CH6">
        <f t="shared" si="12"/>
        <v>22.5</v>
      </c>
      <c r="CI6">
        <f t="shared" si="13"/>
        <v>0</v>
      </c>
      <c r="CJ6">
        <f t="shared" si="14"/>
        <v>0.5</v>
      </c>
      <c r="CK6">
        <f t="shared" si="15"/>
        <v>2.5</v>
      </c>
      <c r="CL6">
        <f t="shared" si="16"/>
        <v>0</v>
      </c>
      <c r="CM6">
        <f t="shared" si="17"/>
        <v>0</v>
      </c>
      <c r="CN6">
        <f t="shared" si="18"/>
        <v>0</v>
      </c>
      <c r="CO6">
        <f t="shared" si="19"/>
        <v>74.25</v>
      </c>
      <c r="CP6">
        <f t="shared" si="20"/>
        <v>0.5</v>
      </c>
      <c r="CQ6">
        <f t="shared" si="21"/>
        <v>7.25</v>
      </c>
      <c r="CR6">
        <f t="shared" si="22"/>
        <v>0</v>
      </c>
      <c r="CS6">
        <f t="shared" si="23"/>
        <v>5.75</v>
      </c>
      <c r="CT6">
        <f t="shared" si="24"/>
        <v>1</v>
      </c>
      <c r="CU6">
        <f t="shared" si="25"/>
        <v>0.75</v>
      </c>
      <c r="CV6">
        <f t="shared" si="26"/>
        <v>0</v>
      </c>
      <c r="CW6">
        <f t="shared" si="27"/>
        <v>0.25</v>
      </c>
      <c r="CX6">
        <f t="shared" si="28"/>
        <v>0</v>
      </c>
      <c r="CY6">
        <f t="shared" si="29"/>
        <v>0</v>
      </c>
      <c r="CZ6">
        <f t="shared" si="30"/>
        <v>0</v>
      </c>
      <c r="DA6">
        <f t="shared" si="31"/>
        <v>0</v>
      </c>
      <c r="DB6">
        <f t="shared" si="32"/>
        <v>0.5</v>
      </c>
      <c r="DC6">
        <f t="shared" si="33"/>
        <v>0.25</v>
      </c>
      <c r="DD6">
        <f t="shared" si="34"/>
        <v>0.25</v>
      </c>
      <c r="DE6">
        <f t="shared" si="35"/>
        <v>0</v>
      </c>
      <c r="DF6">
        <f t="shared" si="36"/>
        <v>0</v>
      </c>
    </row>
    <row r="7" spans="1:110" x14ac:dyDescent="0.25">
      <c r="B7" s="2">
        <v>18</v>
      </c>
      <c r="C7" t="s">
        <v>16</v>
      </c>
      <c r="D7" t="s">
        <v>439</v>
      </c>
      <c r="E7">
        <v>20.895833333333332</v>
      </c>
      <c r="F7">
        <v>13.197916666666666</v>
      </c>
      <c r="G7">
        <v>3.84375</v>
      </c>
      <c r="H7" s="2">
        <v>18</v>
      </c>
      <c r="I7" s="8">
        <v>0.25</v>
      </c>
      <c r="J7">
        <v>0.5</v>
      </c>
      <c r="K7">
        <v>0</v>
      </c>
      <c r="L7">
        <v>0.5</v>
      </c>
      <c r="M7">
        <v>0</v>
      </c>
      <c r="N7">
        <v>0.75</v>
      </c>
      <c r="O7">
        <v>0</v>
      </c>
      <c r="P7">
        <v>5.5</v>
      </c>
      <c r="Q7">
        <v>3.75</v>
      </c>
      <c r="R7">
        <v>0</v>
      </c>
      <c r="S7">
        <v>0</v>
      </c>
      <c r="T7">
        <v>0</v>
      </c>
      <c r="U7">
        <v>0</v>
      </c>
      <c r="V7">
        <v>0.25</v>
      </c>
      <c r="W7">
        <v>13.5</v>
      </c>
      <c r="X7">
        <v>7</v>
      </c>
      <c r="Y7">
        <v>21.75</v>
      </c>
      <c r="Z7">
        <v>1.25</v>
      </c>
      <c r="AA7">
        <v>0</v>
      </c>
      <c r="AB7">
        <v>1.5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348</v>
      </c>
      <c r="AJ7">
        <v>21.25</v>
      </c>
      <c r="AK7">
        <v>0</v>
      </c>
      <c r="AL7">
        <v>0.5</v>
      </c>
      <c r="AM7">
        <v>1</v>
      </c>
      <c r="AN7">
        <v>0</v>
      </c>
      <c r="AO7">
        <v>0</v>
      </c>
      <c r="AP7">
        <v>0</v>
      </c>
      <c r="AQ7">
        <v>55.75</v>
      </c>
      <c r="AR7">
        <v>1</v>
      </c>
      <c r="AS7">
        <v>6.25</v>
      </c>
      <c r="AT7">
        <v>16.75</v>
      </c>
      <c r="AU7">
        <v>1.5</v>
      </c>
      <c r="AV7">
        <v>2.75</v>
      </c>
      <c r="AW7">
        <v>0.75</v>
      </c>
      <c r="AX7">
        <v>1.5</v>
      </c>
      <c r="AY7">
        <v>0</v>
      </c>
      <c r="AZ7">
        <v>0</v>
      </c>
      <c r="BA7">
        <v>1.25</v>
      </c>
      <c r="BB7">
        <v>0</v>
      </c>
      <c r="BC7">
        <v>0</v>
      </c>
      <c r="BD7">
        <v>0</v>
      </c>
      <c r="BE7">
        <v>0</v>
      </c>
      <c r="BF7">
        <v>0.25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O7" s="2">
        <v>18</v>
      </c>
      <c r="BP7" t="s">
        <v>16</v>
      </c>
      <c r="BQ7" t="s">
        <v>439</v>
      </c>
      <c r="BR7">
        <v>20.895833333333332</v>
      </c>
      <c r="BS7">
        <v>13.197916666666666</v>
      </c>
      <c r="BT7">
        <v>3.84375</v>
      </c>
      <c r="BU7" s="2">
        <v>18</v>
      </c>
      <c r="BV7">
        <f t="shared" si="0"/>
        <v>0.25</v>
      </c>
      <c r="BW7">
        <f t="shared" si="1"/>
        <v>0.5</v>
      </c>
      <c r="BX7">
        <f t="shared" si="2"/>
        <v>1.25</v>
      </c>
      <c r="BY7">
        <f t="shared" si="3"/>
        <v>0</v>
      </c>
      <c r="BZ7">
        <f t="shared" si="4"/>
        <v>9.25</v>
      </c>
      <c r="CA7">
        <f t="shared" si="5"/>
        <v>0</v>
      </c>
      <c r="CB7">
        <f t="shared" si="6"/>
        <v>20.75</v>
      </c>
      <c r="CC7">
        <f t="shared" si="7"/>
        <v>23</v>
      </c>
      <c r="CD7">
        <f t="shared" si="8"/>
        <v>1.5</v>
      </c>
      <c r="CE7">
        <f t="shared" si="9"/>
        <v>0</v>
      </c>
      <c r="CF7">
        <f t="shared" si="10"/>
        <v>2</v>
      </c>
      <c r="CG7">
        <f t="shared" si="11"/>
        <v>348</v>
      </c>
      <c r="CH7">
        <f t="shared" si="12"/>
        <v>21.25</v>
      </c>
      <c r="CI7">
        <f t="shared" si="13"/>
        <v>0</v>
      </c>
      <c r="CJ7">
        <f t="shared" si="14"/>
        <v>0.5</v>
      </c>
      <c r="CK7">
        <f t="shared" si="15"/>
        <v>1</v>
      </c>
      <c r="CL7">
        <f t="shared" si="16"/>
        <v>0</v>
      </c>
      <c r="CM7">
        <f t="shared" si="17"/>
        <v>0</v>
      </c>
      <c r="CN7">
        <f t="shared" si="18"/>
        <v>0</v>
      </c>
      <c r="CO7">
        <f t="shared" si="19"/>
        <v>55.75</v>
      </c>
      <c r="CP7">
        <f t="shared" si="20"/>
        <v>1</v>
      </c>
      <c r="CQ7">
        <f t="shared" si="21"/>
        <v>6.25</v>
      </c>
      <c r="CR7">
        <f t="shared" si="22"/>
        <v>16.75</v>
      </c>
      <c r="CS7">
        <f t="shared" si="23"/>
        <v>5</v>
      </c>
      <c r="CT7">
        <f t="shared" si="24"/>
        <v>1.5</v>
      </c>
      <c r="CU7">
        <f t="shared" si="25"/>
        <v>1.25</v>
      </c>
      <c r="CV7">
        <f t="shared" si="26"/>
        <v>0</v>
      </c>
      <c r="CW7">
        <f t="shared" si="27"/>
        <v>0</v>
      </c>
      <c r="CX7">
        <f t="shared" si="28"/>
        <v>0</v>
      </c>
      <c r="CY7">
        <f t="shared" si="29"/>
        <v>0</v>
      </c>
      <c r="CZ7">
        <f t="shared" si="30"/>
        <v>0.25</v>
      </c>
      <c r="DA7">
        <f t="shared" si="31"/>
        <v>0</v>
      </c>
      <c r="DB7">
        <f t="shared" si="32"/>
        <v>0</v>
      </c>
      <c r="DC7">
        <f t="shared" si="33"/>
        <v>0</v>
      </c>
      <c r="DD7">
        <f t="shared" si="34"/>
        <v>0</v>
      </c>
      <c r="DE7">
        <f t="shared" si="35"/>
        <v>0</v>
      </c>
      <c r="DF7">
        <f t="shared" si="36"/>
        <v>0</v>
      </c>
    </row>
    <row r="8" spans="1:110" x14ac:dyDescent="0.25">
      <c r="B8" s="2">
        <v>20</v>
      </c>
      <c r="C8" t="s">
        <v>0</v>
      </c>
      <c r="D8" t="s">
        <v>439</v>
      </c>
      <c r="E8">
        <v>18.854166666666668</v>
      </c>
      <c r="F8">
        <v>11.875</v>
      </c>
      <c r="G8">
        <v>3.5520833333333335</v>
      </c>
      <c r="H8" s="2">
        <v>20</v>
      </c>
      <c r="I8" s="8">
        <v>1.5</v>
      </c>
      <c r="J8">
        <v>0.25</v>
      </c>
      <c r="K8">
        <v>0</v>
      </c>
      <c r="L8">
        <v>0.5</v>
      </c>
      <c r="M8">
        <v>0.25</v>
      </c>
      <c r="N8">
        <v>0</v>
      </c>
      <c r="O8">
        <v>0</v>
      </c>
      <c r="P8">
        <v>4.75</v>
      </c>
      <c r="Q8">
        <v>3.25</v>
      </c>
      <c r="R8">
        <v>0</v>
      </c>
      <c r="S8">
        <v>0</v>
      </c>
      <c r="T8">
        <v>0</v>
      </c>
      <c r="U8">
        <v>0</v>
      </c>
      <c r="V8">
        <v>2</v>
      </c>
      <c r="W8">
        <v>9.25</v>
      </c>
      <c r="X8">
        <v>8</v>
      </c>
      <c r="Y8">
        <v>2.5</v>
      </c>
      <c r="Z8">
        <v>0.5</v>
      </c>
      <c r="AA8">
        <v>0</v>
      </c>
      <c r="AB8">
        <v>1</v>
      </c>
      <c r="AC8">
        <v>0</v>
      </c>
      <c r="AD8">
        <v>0.25</v>
      </c>
      <c r="AE8">
        <v>0</v>
      </c>
      <c r="AF8">
        <v>0</v>
      </c>
      <c r="AG8">
        <v>3.25</v>
      </c>
      <c r="AH8">
        <v>0</v>
      </c>
      <c r="AI8">
        <v>522</v>
      </c>
      <c r="AJ8">
        <v>24</v>
      </c>
      <c r="AK8">
        <v>0</v>
      </c>
      <c r="AL8">
        <v>0.25</v>
      </c>
      <c r="AM8">
        <v>3</v>
      </c>
      <c r="AN8">
        <v>0</v>
      </c>
      <c r="AO8">
        <v>0.25</v>
      </c>
      <c r="AP8">
        <v>0</v>
      </c>
      <c r="AQ8">
        <v>90.5</v>
      </c>
      <c r="AR8">
        <v>2.25</v>
      </c>
      <c r="AS8">
        <v>7.25</v>
      </c>
      <c r="AT8">
        <v>2.5</v>
      </c>
      <c r="AU8">
        <v>2.25</v>
      </c>
      <c r="AV8">
        <v>2.5</v>
      </c>
      <c r="AW8">
        <v>1.5</v>
      </c>
      <c r="AX8">
        <v>1</v>
      </c>
      <c r="AY8">
        <v>0</v>
      </c>
      <c r="AZ8">
        <v>0</v>
      </c>
      <c r="BA8">
        <v>1</v>
      </c>
      <c r="BB8">
        <v>0.5</v>
      </c>
      <c r="BC8">
        <v>0.25</v>
      </c>
      <c r="BD8">
        <v>0</v>
      </c>
      <c r="BE8">
        <v>0</v>
      </c>
      <c r="BF8">
        <v>0</v>
      </c>
      <c r="BG8">
        <v>0</v>
      </c>
      <c r="BH8">
        <v>1.75</v>
      </c>
      <c r="BI8">
        <v>0</v>
      </c>
      <c r="BJ8">
        <v>0</v>
      </c>
      <c r="BK8">
        <v>0</v>
      </c>
      <c r="BL8">
        <v>0</v>
      </c>
      <c r="BO8" s="2">
        <v>20</v>
      </c>
      <c r="BP8" t="s">
        <v>0</v>
      </c>
      <c r="BQ8" t="s">
        <v>439</v>
      </c>
      <c r="BR8">
        <v>18.854166666666668</v>
      </c>
      <c r="BS8">
        <v>11.875</v>
      </c>
      <c r="BT8">
        <v>3.5520833333333335</v>
      </c>
      <c r="BU8" s="2">
        <v>20</v>
      </c>
      <c r="BV8">
        <f t="shared" si="0"/>
        <v>1.5</v>
      </c>
      <c r="BW8">
        <f t="shared" si="1"/>
        <v>0.25</v>
      </c>
      <c r="BX8">
        <f t="shared" si="2"/>
        <v>0.75</v>
      </c>
      <c r="BY8">
        <f t="shared" si="3"/>
        <v>0</v>
      </c>
      <c r="BZ8">
        <f t="shared" si="4"/>
        <v>8</v>
      </c>
      <c r="CA8">
        <f t="shared" si="5"/>
        <v>0</v>
      </c>
      <c r="CB8">
        <f t="shared" si="6"/>
        <v>19.25</v>
      </c>
      <c r="CC8">
        <f t="shared" si="7"/>
        <v>3</v>
      </c>
      <c r="CD8">
        <f t="shared" si="8"/>
        <v>1</v>
      </c>
      <c r="CE8">
        <f t="shared" si="9"/>
        <v>0.25</v>
      </c>
      <c r="CF8">
        <f t="shared" si="10"/>
        <v>3.25</v>
      </c>
      <c r="CG8">
        <f t="shared" si="11"/>
        <v>522</v>
      </c>
      <c r="CH8">
        <f t="shared" si="12"/>
        <v>24</v>
      </c>
      <c r="CI8">
        <f t="shared" si="13"/>
        <v>0</v>
      </c>
      <c r="CJ8">
        <f t="shared" si="14"/>
        <v>0.25</v>
      </c>
      <c r="CK8">
        <f t="shared" si="15"/>
        <v>3</v>
      </c>
      <c r="CL8">
        <f t="shared" si="16"/>
        <v>0</v>
      </c>
      <c r="CM8">
        <f t="shared" si="17"/>
        <v>0.25</v>
      </c>
      <c r="CN8">
        <f t="shared" si="18"/>
        <v>0</v>
      </c>
      <c r="CO8">
        <f t="shared" si="19"/>
        <v>90.5</v>
      </c>
      <c r="CP8">
        <f t="shared" si="20"/>
        <v>2.25</v>
      </c>
      <c r="CQ8">
        <f t="shared" si="21"/>
        <v>7.25</v>
      </c>
      <c r="CR8">
        <f t="shared" si="22"/>
        <v>2.5</v>
      </c>
      <c r="CS8">
        <f t="shared" si="23"/>
        <v>6.25</v>
      </c>
      <c r="CT8">
        <f t="shared" si="24"/>
        <v>1</v>
      </c>
      <c r="CU8">
        <f t="shared" si="25"/>
        <v>1</v>
      </c>
      <c r="CV8">
        <f t="shared" si="26"/>
        <v>0.5</v>
      </c>
      <c r="CW8">
        <f t="shared" si="27"/>
        <v>0.25</v>
      </c>
      <c r="CX8">
        <f t="shared" si="28"/>
        <v>0</v>
      </c>
      <c r="CY8">
        <f t="shared" si="29"/>
        <v>0</v>
      </c>
      <c r="CZ8">
        <f t="shared" si="30"/>
        <v>0</v>
      </c>
      <c r="DA8">
        <f t="shared" si="31"/>
        <v>0</v>
      </c>
      <c r="DB8">
        <f t="shared" si="32"/>
        <v>1.75</v>
      </c>
      <c r="DC8">
        <f t="shared" si="33"/>
        <v>0</v>
      </c>
      <c r="DD8">
        <f t="shared" si="34"/>
        <v>0</v>
      </c>
      <c r="DE8">
        <f t="shared" si="35"/>
        <v>0</v>
      </c>
      <c r="DF8">
        <f t="shared" si="36"/>
        <v>0</v>
      </c>
    </row>
    <row r="9" spans="1:110" x14ac:dyDescent="0.25">
      <c r="B9" s="2">
        <v>31</v>
      </c>
      <c r="C9" t="s">
        <v>0</v>
      </c>
      <c r="D9" t="s">
        <v>439</v>
      </c>
      <c r="E9">
        <v>24.152083333333334</v>
      </c>
      <c r="F9">
        <v>16.90625</v>
      </c>
      <c r="G9">
        <v>3.40625</v>
      </c>
      <c r="H9" s="2">
        <v>31</v>
      </c>
      <c r="I9" s="8">
        <v>1.5</v>
      </c>
      <c r="J9">
        <v>0.5</v>
      </c>
      <c r="K9">
        <v>0.75</v>
      </c>
      <c r="L9">
        <v>0.5</v>
      </c>
      <c r="M9">
        <v>0.25</v>
      </c>
      <c r="N9">
        <v>0.5</v>
      </c>
      <c r="O9">
        <v>0</v>
      </c>
      <c r="P9">
        <v>4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7.5</v>
      </c>
      <c r="X9">
        <v>6.5</v>
      </c>
      <c r="Y9">
        <v>0</v>
      </c>
      <c r="Z9">
        <v>3.25</v>
      </c>
      <c r="AA9">
        <v>0</v>
      </c>
      <c r="AB9">
        <v>0.5</v>
      </c>
      <c r="AC9">
        <v>0.25</v>
      </c>
      <c r="AD9">
        <v>0</v>
      </c>
      <c r="AE9">
        <v>0.5</v>
      </c>
      <c r="AF9">
        <v>1.25</v>
      </c>
      <c r="AG9">
        <v>3</v>
      </c>
      <c r="AH9">
        <v>0</v>
      </c>
      <c r="AI9">
        <v>944.5</v>
      </c>
      <c r="AJ9">
        <v>21.5</v>
      </c>
      <c r="AK9">
        <v>0</v>
      </c>
      <c r="AL9">
        <v>0.25</v>
      </c>
      <c r="AM9">
        <v>3.25</v>
      </c>
      <c r="AN9">
        <v>0</v>
      </c>
      <c r="AO9">
        <v>1.25</v>
      </c>
      <c r="AP9">
        <v>0.5</v>
      </c>
      <c r="AQ9">
        <v>77.5</v>
      </c>
      <c r="AR9">
        <v>3.75</v>
      </c>
      <c r="AS9">
        <v>5.25</v>
      </c>
      <c r="AT9">
        <v>0</v>
      </c>
      <c r="AU9">
        <v>0.25</v>
      </c>
      <c r="AV9">
        <v>5</v>
      </c>
      <c r="AW9">
        <v>0.25</v>
      </c>
      <c r="AX9">
        <v>0</v>
      </c>
      <c r="AY9">
        <v>0.25</v>
      </c>
      <c r="AZ9">
        <v>0</v>
      </c>
      <c r="BA9">
        <v>0</v>
      </c>
      <c r="BB9">
        <v>0</v>
      </c>
      <c r="BC9">
        <v>0.5</v>
      </c>
      <c r="BD9">
        <v>0</v>
      </c>
      <c r="BE9">
        <v>0</v>
      </c>
      <c r="BF9">
        <v>0</v>
      </c>
      <c r="BG9">
        <v>0</v>
      </c>
      <c r="BH9">
        <v>2.5</v>
      </c>
      <c r="BI9">
        <v>0</v>
      </c>
      <c r="BJ9">
        <v>0</v>
      </c>
      <c r="BK9">
        <v>0</v>
      </c>
      <c r="BL9">
        <v>0</v>
      </c>
      <c r="BO9" s="2">
        <v>31</v>
      </c>
      <c r="BP9" t="s">
        <v>0</v>
      </c>
      <c r="BQ9" t="s">
        <v>439</v>
      </c>
      <c r="BR9">
        <v>24.152083333333334</v>
      </c>
      <c r="BS9">
        <v>16.90625</v>
      </c>
      <c r="BT9">
        <v>3.40625</v>
      </c>
      <c r="BU9" s="2">
        <v>31</v>
      </c>
      <c r="BV9">
        <f t="shared" si="0"/>
        <v>1.5</v>
      </c>
      <c r="BW9">
        <f t="shared" si="1"/>
        <v>0.5</v>
      </c>
      <c r="BX9">
        <f t="shared" si="2"/>
        <v>2</v>
      </c>
      <c r="BY9">
        <f t="shared" si="3"/>
        <v>0</v>
      </c>
      <c r="BZ9">
        <f t="shared" si="4"/>
        <v>8</v>
      </c>
      <c r="CA9">
        <f t="shared" si="5"/>
        <v>0</v>
      </c>
      <c r="CB9">
        <f t="shared" si="6"/>
        <v>14</v>
      </c>
      <c r="CC9">
        <f t="shared" si="7"/>
        <v>3.25</v>
      </c>
      <c r="CD9">
        <f t="shared" si="8"/>
        <v>0.75</v>
      </c>
      <c r="CE9">
        <f t="shared" si="9"/>
        <v>0.5</v>
      </c>
      <c r="CF9">
        <f t="shared" si="10"/>
        <v>4.25</v>
      </c>
      <c r="CG9">
        <f t="shared" si="11"/>
        <v>944.5</v>
      </c>
      <c r="CH9">
        <f t="shared" si="12"/>
        <v>21.5</v>
      </c>
      <c r="CI9">
        <f t="shared" si="13"/>
        <v>0</v>
      </c>
      <c r="CJ9">
        <f t="shared" si="14"/>
        <v>0.25</v>
      </c>
      <c r="CK9">
        <f t="shared" si="15"/>
        <v>3.25</v>
      </c>
      <c r="CL9">
        <f t="shared" si="16"/>
        <v>0</v>
      </c>
      <c r="CM9">
        <f t="shared" si="17"/>
        <v>1.25</v>
      </c>
      <c r="CN9">
        <f t="shared" si="18"/>
        <v>0.5</v>
      </c>
      <c r="CO9">
        <f t="shared" si="19"/>
        <v>77.5</v>
      </c>
      <c r="CP9">
        <f t="shared" si="20"/>
        <v>3.75</v>
      </c>
      <c r="CQ9">
        <f t="shared" si="21"/>
        <v>5.25</v>
      </c>
      <c r="CR9">
        <f t="shared" si="22"/>
        <v>0</v>
      </c>
      <c r="CS9">
        <f t="shared" si="23"/>
        <v>5.5</v>
      </c>
      <c r="CT9">
        <f t="shared" si="24"/>
        <v>0.25</v>
      </c>
      <c r="CU9">
        <f t="shared" si="25"/>
        <v>0</v>
      </c>
      <c r="CV9">
        <f t="shared" si="26"/>
        <v>0</v>
      </c>
      <c r="CW9">
        <f t="shared" si="27"/>
        <v>0.5</v>
      </c>
      <c r="CX9">
        <f t="shared" si="28"/>
        <v>0</v>
      </c>
      <c r="CY9">
        <f t="shared" si="29"/>
        <v>0</v>
      </c>
      <c r="CZ9">
        <f t="shared" si="30"/>
        <v>0</v>
      </c>
      <c r="DA9">
        <f t="shared" si="31"/>
        <v>0</v>
      </c>
      <c r="DB9">
        <f t="shared" si="32"/>
        <v>2.5</v>
      </c>
      <c r="DC9">
        <f t="shared" si="33"/>
        <v>0</v>
      </c>
      <c r="DD9">
        <f t="shared" si="34"/>
        <v>0</v>
      </c>
      <c r="DE9">
        <f t="shared" si="35"/>
        <v>0</v>
      </c>
      <c r="DF9">
        <f t="shared" si="36"/>
        <v>0</v>
      </c>
    </row>
    <row r="10" spans="1:110" x14ac:dyDescent="0.25">
      <c r="B10" s="2">
        <v>36</v>
      </c>
      <c r="C10" t="s">
        <v>16</v>
      </c>
      <c r="D10" t="s">
        <v>439</v>
      </c>
      <c r="E10">
        <v>13.041666666666666</v>
      </c>
      <c r="F10">
        <v>12.21875</v>
      </c>
      <c r="G10">
        <v>5.760416666666667</v>
      </c>
      <c r="H10" s="2">
        <v>36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7</v>
      </c>
      <c r="Q10">
        <v>1</v>
      </c>
      <c r="R10">
        <v>0</v>
      </c>
      <c r="S10">
        <v>0</v>
      </c>
      <c r="T10">
        <v>0</v>
      </c>
      <c r="U10">
        <v>0</v>
      </c>
      <c r="V10">
        <v>0.75</v>
      </c>
      <c r="W10">
        <v>5.75</v>
      </c>
      <c r="X10">
        <v>2.25</v>
      </c>
      <c r="Y10">
        <v>8</v>
      </c>
      <c r="Z10">
        <v>0.5</v>
      </c>
      <c r="AA10">
        <v>0</v>
      </c>
      <c r="AB10">
        <v>0</v>
      </c>
      <c r="AC10">
        <v>0</v>
      </c>
      <c r="AD10">
        <v>0</v>
      </c>
      <c r="AE10">
        <v>0.25</v>
      </c>
      <c r="AF10">
        <v>0</v>
      </c>
      <c r="AG10">
        <v>0.5</v>
      </c>
      <c r="AH10">
        <v>0</v>
      </c>
      <c r="AI10">
        <v>406.25</v>
      </c>
      <c r="AJ10">
        <v>4.75</v>
      </c>
      <c r="AK10">
        <v>0</v>
      </c>
      <c r="AL10">
        <v>0</v>
      </c>
      <c r="AM10">
        <v>2.5</v>
      </c>
      <c r="AN10">
        <v>0</v>
      </c>
      <c r="AO10">
        <v>0</v>
      </c>
      <c r="AP10">
        <v>0</v>
      </c>
      <c r="AQ10">
        <v>45</v>
      </c>
      <c r="AR10">
        <v>0</v>
      </c>
      <c r="AS10">
        <v>1.5</v>
      </c>
      <c r="AT10">
        <v>4</v>
      </c>
      <c r="AU10">
        <v>0.75</v>
      </c>
      <c r="AV10">
        <v>2.5</v>
      </c>
      <c r="AW10">
        <v>1.25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0.25</v>
      </c>
      <c r="BJ10">
        <v>0</v>
      </c>
      <c r="BK10">
        <v>0</v>
      </c>
      <c r="BL10">
        <v>0</v>
      </c>
      <c r="BO10" s="2">
        <v>36</v>
      </c>
      <c r="BP10" t="s">
        <v>16</v>
      </c>
      <c r="BQ10" t="s">
        <v>439</v>
      </c>
      <c r="BR10">
        <v>13.041666666666666</v>
      </c>
      <c r="BS10">
        <v>12.21875</v>
      </c>
      <c r="BT10">
        <v>5.760416666666667</v>
      </c>
      <c r="BU10" s="2">
        <v>36</v>
      </c>
      <c r="BV10">
        <f t="shared" si="0"/>
        <v>0</v>
      </c>
      <c r="BW10">
        <f t="shared" si="1"/>
        <v>0</v>
      </c>
      <c r="BX10">
        <f t="shared" si="2"/>
        <v>1</v>
      </c>
      <c r="BY10">
        <f t="shared" si="3"/>
        <v>0</v>
      </c>
      <c r="BZ10">
        <f t="shared" si="4"/>
        <v>8</v>
      </c>
      <c r="CA10">
        <f t="shared" si="5"/>
        <v>0</v>
      </c>
      <c r="CB10">
        <f t="shared" si="6"/>
        <v>8.75</v>
      </c>
      <c r="CC10">
        <f t="shared" si="7"/>
        <v>8.5</v>
      </c>
      <c r="CD10">
        <f t="shared" si="8"/>
        <v>0</v>
      </c>
      <c r="CE10">
        <f t="shared" si="9"/>
        <v>0.25</v>
      </c>
      <c r="CF10">
        <f t="shared" si="10"/>
        <v>0.5</v>
      </c>
      <c r="CG10">
        <f t="shared" si="11"/>
        <v>406.25</v>
      </c>
      <c r="CH10">
        <f t="shared" si="12"/>
        <v>4.75</v>
      </c>
      <c r="CI10">
        <f t="shared" si="13"/>
        <v>0</v>
      </c>
      <c r="CJ10">
        <f t="shared" si="14"/>
        <v>0</v>
      </c>
      <c r="CK10">
        <f t="shared" si="15"/>
        <v>2.5</v>
      </c>
      <c r="CL10">
        <f t="shared" si="16"/>
        <v>0</v>
      </c>
      <c r="CM10">
        <f t="shared" si="17"/>
        <v>0</v>
      </c>
      <c r="CN10">
        <f t="shared" si="18"/>
        <v>0</v>
      </c>
      <c r="CO10">
        <f t="shared" si="19"/>
        <v>45</v>
      </c>
      <c r="CP10">
        <f t="shared" si="20"/>
        <v>0</v>
      </c>
      <c r="CQ10">
        <f t="shared" si="21"/>
        <v>1.5</v>
      </c>
      <c r="CR10">
        <f t="shared" si="22"/>
        <v>4</v>
      </c>
      <c r="CS10">
        <f t="shared" si="23"/>
        <v>4.5</v>
      </c>
      <c r="CT10">
        <f t="shared" si="24"/>
        <v>0</v>
      </c>
      <c r="CU10">
        <f t="shared" si="25"/>
        <v>0</v>
      </c>
      <c r="CV10">
        <f t="shared" si="26"/>
        <v>0</v>
      </c>
      <c r="CW10">
        <f t="shared" si="27"/>
        <v>0</v>
      </c>
      <c r="CX10">
        <f t="shared" si="28"/>
        <v>0</v>
      </c>
      <c r="CY10">
        <f t="shared" si="29"/>
        <v>0</v>
      </c>
      <c r="CZ10">
        <f t="shared" si="30"/>
        <v>0</v>
      </c>
      <c r="DA10">
        <f t="shared" si="31"/>
        <v>0</v>
      </c>
      <c r="DB10">
        <f t="shared" si="32"/>
        <v>0</v>
      </c>
      <c r="DC10">
        <f t="shared" si="33"/>
        <v>0.25</v>
      </c>
      <c r="DD10">
        <f t="shared" si="34"/>
        <v>0</v>
      </c>
      <c r="DE10">
        <f t="shared" si="35"/>
        <v>0</v>
      </c>
      <c r="DF10">
        <f t="shared" si="36"/>
        <v>0</v>
      </c>
    </row>
    <row r="11" spans="1:110" x14ac:dyDescent="0.25">
      <c r="B11" s="2">
        <v>40</v>
      </c>
      <c r="C11" t="s">
        <v>16</v>
      </c>
      <c r="D11" t="s">
        <v>439</v>
      </c>
      <c r="E11">
        <v>22.75</v>
      </c>
      <c r="F11">
        <v>17.625</v>
      </c>
      <c r="G11">
        <v>2.6666666666666665</v>
      </c>
      <c r="H11" s="2">
        <v>40</v>
      </c>
      <c r="I11" s="8">
        <v>1</v>
      </c>
      <c r="J11">
        <v>0.5</v>
      </c>
      <c r="K11">
        <v>0</v>
      </c>
      <c r="L11">
        <v>0.25</v>
      </c>
      <c r="M11">
        <v>0</v>
      </c>
      <c r="N11">
        <v>0.25</v>
      </c>
      <c r="O11">
        <v>0</v>
      </c>
      <c r="P11">
        <v>3.5</v>
      </c>
      <c r="Q11">
        <v>4.75</v>
      </c>
      <c r="R11">
        <v>0.5</v>
      </c>
      <c r="S11">
        <v>0</v>
      </c>
      <c r="T11">
        <v>0</v>
      </c>
      <c r="U11">
        <v>0</v>
      </c>
      <c r="V11">
        <v>0</v>
      </c>
      <c r="W11">
        <v>14.25</v>
      </c>
      <c r="X11">
        <v>22.25</v>
      </c>
      <c r="Y11">
        <v>0</v>
      </c>
      <c r="Z11">
        <v>1.5</v>
      </c>
      <c r="AA11">
        <v>0</v>
      </c>
      <c r="AB11">
        <v>1.25</v>
      </c>
      <c r="AC11">
        <v>0</v>
      </c>
      <c r="AD11">
        <v>0.75</v>
      </c>
      <c r="AE11">
        <v>0</v>
      </c>
      <c r="AF11">
        <v>3.25</v>
      </c>
      <c r="AG11">
        <v>2.5</v>
      </c>
      <c r="AH11">
        <v>0</v>
      </c>
      <c r="AI11">
        <v>265</v>
      </c>
      <c r="AJ11">
        <v>22.25</v>
      </c>
      <c r="AK11">
        <v>0.5</v>
      </c>
      <c r="AL11">
        <v>0</v>
      </c>
      <c r="AM11">
        <v>6.25</v>
      </c>
      <c r="AN11">
        <v>0</v>
      </c>
      <c r="AO11">
        <v>0</v>
      </c>
      <c r="AP11">
        <v>0</v>
      </c>
      <c r="AQ11">
        <v>37.75</v>
      </c>
      <c r="AR11">
        <v>0.25</v>
      </c>
      <c r="AS11">
        <v>18.5</v>
      </c>
      <c r="AT11">
        <v>0</v>
      </c>
      <c r="AU11">
        <v>0.75</v>
      </c>
      <c r="AV11">
        <v>2</v>
      </c>
      <c r="AW11">
        <v>0</v>
      </c>
      <c r="AX11">
        <v>1.25</v>
      </c>
      <c r="AY11">
        <v>0</v>
      </c>
      <c r="AZ11">
        <v>0</v>
      </c>
      <c r="BA11">
        <v>1.75</v>
      </c>
      <c r="BB11">
        <v>0</v>
      </c>
      <c r="BC11">
        <v>0.5</v>
      </c>
      <c r="BD11">
        <v>0.75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O11" s="2">
        <v>40</v>
      </c>
      <c r="BP11" t="s">
        <v>16</v>
      </c>
      <c r="BQ11" t="s">
        <v>439</v>
      </c>
      <c r="BR11">
        <v>22.75</v>
      </c>
      <c r="BS11">
        <v>17.625</v>
      </c>
      <c r="BT11">
        <v>2.6666666666666665</v>
      </c>
      <c r="BU11" s="2">
        <v>40</v>
      </c>
      <c r="BV11">
        <f t="shared" si="0"/>
        <v>1</v>
      </c>
      <c r="BW11">
        <f t="shared" si="1"/>
        <v>0.5</v>
      </c>
      <c r="BX11">
        <f t="shared" si="2"/>
        <v>0.5</v>
      </c>
      <c r="BY11">
        <f t="shared" si="3"/>
        <v>0</v>
      </c>
      <c r="BZ11">
        <f t="shared" si="4"/>
        <v>8.75</v>
      </c>
      <c r="CA11">
        <f t="shared" si="5"/>
        <v>0</v>
      </c>
      <c r="CB11">
        <f t="shared" si="6"/>
        <v>36.5</v>
      </c>
      <c r="CC11">
        <f t="shared" si="7"/>
        <v>1.5</v>
      </c>
      <c r="CD11">
        <f t="shared" si="8"/>
        <v>1.25</v>
      </c>
      <c r="CE11">
        <f t="shared" si="9"/>
        <v>0.75</v>
      </c>
      <c r="CF11">
        <f t="shared" si="10"/>
        <v>5.75</v>
      </c>
      <c r="CG11">
        <f t="shared" si="11"/>
        <v>265</v>
      </c>
      <c r="CH11">
        <f t="shared" si="12"/>
        <v>22.25</v>
      </c>
      <c r="CI11">
        <f t="shared" si="13"/>
        <v>0.5</v>
      </c>
      <c r="CJ11">
        <f t="shared" si="14"/>
        <v>0</v>
      </c>
      <c r="CK11">
        <f t="shared" si="15"/>
        <v>6.25</v>
      </c>
      <c r="CL11">
        <f t="shared" si="16"/>
        <v>0</v>
      </c>
      <c r="CM11">
        <f t="shared" si="17"/>
        <v>0</v>
      </c>
      <c r="CN11">
        <f t="shared" si="18"/>
        <v>0</v>
      </c>
      <c r="CO11">
        <f t="shared" si="19"/>
        <v>37.75</v>
      </c>
      <c r="CP11">
        <f t="shared" si="20"/>
        <v>0.25</v>
      </c>
      <c r="CQ11">
        <f t="shared" si="21"/>
        <v>18.5</v>
      </c>
      <c r="CR11">
        <f t="shared" si="22"/>
        <v>0</v>
      </c>
      <c r="CS11">
        <f t="shared" si="23"/>
        <v>2.75</v>
      </c>
      <c r="CT11">
        <f t="shared" si="24"/>
        <v>1.25</v>
      </c>
      <c r="CU11">
        <f t="shared" si="25"/>
        <v>1.75</v>
      </c>
      <c r="CV11">
        <f t="shared" si="26"/>
        <v>0</v>
      </c>
      <c r="CW11">
        <f t="shared" si="27"/>
        <v>0.5</v>
      </c>
      <c r="CX11">
        <f t="shared" si="28"/>
        <v>0.75</v>
      </c>
      <c r="CY11">
        <f t="shared" si="29"/>
        <v>0</v>
      </c>
      <c r="CZ11">
        <f t="shared" si="30"/>
        <v>0</v>
      </c>
      <c r="DA11">
        <f t="shared" si="31"/>
        <v>0</v>
      </c>
      <c r="DB11">
        <f t="shared" si="32"/>
        <v>0</v>
      </c>
      <c r="DC11">
        <f t="shared" si="33"/>
        <v>0</v>
      </c>
      <c r="DD11">
        <f t="shared" si="34"/>
        <v>0</v>
      </c>
      <c r="DE11">
        <f t="shared" si="35"/>
        <v>0</v>
      </c>
      <c r="DF11">
        <f t="shared" si="36"/>
        <v>0</v>
      </c>
    </row>
    <row r="12" spans="1:110" x14ac:dyDescent="0.25">
      <c r="B12" s="2">
        <v>47</v>
      </c>
      <c r="C12" t="s">
        <v>0</v>
      </c>
      <c r="D12" t="s">
        <v>439</v>
      </c>
      <c r="E12">
        <v>18.3125</v>
      </c>
      <c r="F12">
        <v>14.25</v>
      </c>
      <c r="G12">
        <v>3.5208333333333335</v>
      </c>
      <c r="H12" s="2">
        <v>47</v>
      </c>
      <c r="I12" s="8">
        <v>1.5</v>
      </c>
      <c r="J12">
        <v>0.5</v>
      </c>
      <c r="K12">
        <v>0</v>
      </c>
      <c r="L12">
        <v>0.25</v>
      </c>
      <c r="M12">
        <v>0</v>
      </c>
      <c r="N12">
        <v>0.25</v>
      </c>
      <c r="O12">
        <v>0</v>
      </c>
      <c r="P12">
        <v>5.25</v>
      </c>
      <c r="Q12">
        <v>4</v>
      </c>
      <c r="R12">
        <v>0</v>
      </c>
      <c r="S12">
        <v>3.25</v>
      </c>
      <c r="T12">
        <v>0</v>
      </c>
      <c r="U12">
        <v>0</v>
      </c>
      <c r="V12">
        <v>0.75</v>
      </c>
      <c r="W12">
        <v>4.75</v>
      </c>
      <c r="X12">
        <v>9.75</v>
      </c>
      <c r="Y12">
        <v>6.25</v>
      </c>
      <c r="Z12">
        <v>1.5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1.75</v>
      </c>
      <c r="AH12">
        <v>0</v>
      </c>
      <c r="AI12">
        <v>193.25</v>
      </c>
      <c r="AJ12">
        <v>9.5</v>
      </c>
      <c r="AK12">
        <v>0</v>
      </c>
      <c r="AL12">
        <v>0</v>
      </c>
      <c r="AM12">
        <v>3.5</v>
      </c>
      <c r="AN12">
        <v>0</v>
      </c>
      <c r="AO12">
        <v>0</v>
      </c>
      <c r="AP12">
        <v>0</v>
      </c>
      <c r="AQ12">
        <v>37.5</v>
      </c>
      <c r="AR12">
        <v>1</v>
      </c>
      <c r="AS12">
        <v>9.5</v>
      </c>
      <c r="AT12">
        <v>0</v>
      </c>
      <c r="AU12">
        <v>0</v>
      </c>
      <c r="AV12">
        <v>1</v>
      </c>
      <c r="AW12">
        <v>0.25</v>
      </c>
      <c r="AX12">
        <v>1.75</v>
      </c>
      <c r="AY12">
        <v>0</v>
      </c>
      <c r="AZ12">
        <v>0</v>
      </c>
      <c r="BA12">
        <v>0.5</v>
      </c>
      <c r="BB12">
        <v>0</v>
      </c>
      <c r="BC12">
        <v>0.75</v>
      </c>
      <c r="BD12">
        <v>0.25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O12" s="2">
        <v>47</v>
      </c>
      <c r="BP12" t="s">
        <v>0</v>
      </c>
      <c r="BQ12" t="s">
        <v>439</v>
      </c>
      <c r="BR12">
        <v>18.3125</v>
      </c>
      <c r="BS12">
        <v>14.25</v>
      </c>
      <c r="BT12">
        <v>3.5208333333333335</v>
      </c>
      <c r="BU12" s="2">
        <v>47</v>
      </c>
      <c r="BV12">
        <f t="shared" si="0"/>
        <v>1.5</v>
      </c>
      <c r="BW12">
        <f t="shared" si="1"/>
        <v>0.5</v>
      </c>
      <c r="BX12">
        <f t="shared" si="2"/>
        <v>0.5</v>
      </c>
      <c r="BY12">
        <f t="shared" si="3"/>
        <v>0</v>
      </c>
      <c r="BZ12">
        <f t="shared" si="4"/>
        <v>9.25</v>
      </c>
      <c r="CA12">
        <f t="shared" si="5"/>
        <v>3.25</v>
      </c>
      <c r="CB12">
        <f t="shared" si="6"/>
        <v>15.25</v>
      </c>
      <c r="CC12">
        <f t="shared" si="7"/>
        <v>7.75</v>
      </c>
      <c r="CD12">
        <f t="shared" si="8"/>
        <v>0</v>
      </c>
      <c r="CE12">
        <f t="shared" si="9"/>
        <v>0</v>
      </c>
      <c r="CF12">
        <f t="shared" si="10"/>
        <v>4.75</v>
      </c>
      <c r="CG12">
        <f t="shared" si="11"/>
        <v>193.25</v>
      </c>
      <c r="CH12">
        <f t="shared" si="12"/>
        <v>9.5</v>
      </c>
      <c r="CI12">
        <f t="shared" si="13"/>
        <v>0</v>
      </c>
      <c r="CJ12">
        <f t="shared" si="14"/>
        <v>0</v>
      </c>
      <c r="CK12">
        <f t="shared" si="15"/>
        <v>3.5</v>
      </c>
      <c r="CL12">
        <f t="shared" si="16"/>
        <v>0</v>
      </c>
      <c r="CM12">
        <f t="shared" si="17"/>
        <v>0</v>
      </c>
      <c r="CN12">
        <f t="shared" si="18"/>
        <v>0</v>
      </c>
      <c r="CO12">
        <f t="shared" si="19"/>
        <v>37.5</v>
      </c>
      <c r="CP12">
        <f t="shared" si="20"/>
        <v>1</v>
      </c>
      <c r="CQ12">
        <f t="shared" si="21"/>
        <v>9.5</v>
      </c>
      <c r="CR12">
        <f t="shared" si="22"/>
        <v>0</v>
      </c>
      <c r="CS12">
        <f t="shared" si="23"/>
        <v>1.25</v>
      </c>
      <c r="CT12">
        <f t="shared" si="24"/>
        <v>1.75</v>
      </c>
      <c r="CU12">
        <f t="shared" si="25"/>
        <v>0.5</v>
      </c>
      <c r="CV12">
        <f t="shared" si="26"/>
        <v>0</v>
      </c>
      <c r="CW12">
        <f t="shared" si="27"/>
        <v>0.75</v>
      </c>
      <c r="CX12">
        <f t="shared" si="28"/>
        <v>0.25</v>
      </c>
      <c r="CY12">
        <f t="shared" si="29"/>
        <v>0</v>
      </c>
      <c r="CZ12">
        <f t="shared" si="30"/>
        <v>0</v>
      </c>
      <c r="DA12">
        <f t="shared" si="31"/>
        <v>0</v>
      </c>
      <c r="DB12">
        <f t="shared" si="32"/>
        <v>0</v>
      </c>
      <c r="DC12">
        <f t="shared" si="33"/>
        <v>0</v>
      </c>
      <c r="DD12">
        <f t="shared" si="34"/>
        <v>0</v>
      </c>
      <c r="DE12">
        <f t="shared" si="35"/>
        <v>0</v>
      </c>
      <c r="DF12">
        <f t="shared" si="36"/>
        <v>0</v>
      </c>
    </row>
    <row r="13" spans="1:110" x14ac:dyDescent="0.25">
      <c r="B13" s="2">
        <v>49</v>
      </c>
      <c r="C13" t="s">
        <v>16</v>
      </c>
      <c r="D13" t="s">
        <v>439</v>
      </c>
      <c r="E13">
        <v>22.291666666666668</v>
      </c>
      <c r="F13">
        <v>21.322916666666668</v>
      </c>
      <c r="G13">
        <v>2.65625</v>
      </c>
      <c r="H13" s="2">
        <v>49</v>
      </c>
      <c r="I13" s="8">
        <v>1.25</v>
      </c>
      <c r="J13">
        <v>1</v>
      </c>
      <c r="K13">
        <v>6</v>
      </c>
      <c r="L13">
        <v>0.5</v>
      </c>
      <c r="M13">
        <v>0</v>
      </c>
      <c r="N13">
        <v>0.5</v>
      </c>
      <c r="O13">
        <v>0</v>
      </c>
      <c r="P13">
        <v>6.25</v>
      </c>
      <c r="Q13">
        <v>2</v>
      </c>
      <c r="R13">
        <v>0</v>
      </c>
      <c r="S13">
        <v>0</v>
      </c>
      <c r="T13">
        <v>0</v>
      </c>
      <c r="U13">
        <v>0</v>
      </c>
      <c r="V13">
        <v>0.25</v>
      </c>
      <c r="W13">
        <v>16.75</v>
      </c>
      <c r="X13">
        <v>10.75</v>
      </c>
      <c r="Y13">
        <v>0</v>
      </c>
      <c r="Z13">
        <v>2</v>
      </c>
      <c r="AA13">
        <v>0</v>
      </c>
      <c r="AB13">
        <v>0.75</v>
      </c>
      <c r="AC13">
        <v>0</v>
      </c>
      <c r="AD13">
        <v>0.25</v>
      </c>
      <c r="AE13">
        <v>0</v>
      </c>
      <c r="AF13">
        <v>0</v>
      </c>
      <c r="AG13">
        <v>1.75</v>
      </c>
      <c r="AH13">
        <v>0</v>
      </c>
      <c r="AI13">
        <v>610.5</v>
      </c>
      <c r="AJ13">
        <v>15.25</v>
      </c>
      <c r="AK13">
        <v>0</v>
      </c>
      <c r="AL13">
        <v>0</v>
      </c>
      <c r="AM13">
        <v>6</v>
      </c>
      <c r="AN13">
        <v>0.25</v>
      </c>
      <c r="AO13">
        <v>0.5</v>
      </c>
      <c r="AP13">
        <v>0</v>
      </c>
      <c r="AQ13">
        <v>84.5</v>
      </c>
      <c r="AR13">
        <v>1.25</v>
      </c>
      <c r="AS13">
        <v>9.5</v>
      </c>
      <c r="AT13">
        <v>0</v>
      </c>
      <c r="AU13">
        <v>3.75</v>
      </c>
      <c r="AV13">
        <v>5.25</v>
      </c>
      <c r="AW13">
        <v>1.25</v>
      </c>
      <c r="AX13">
        <v>0</v>
      </c>
      <c r="AY13">
        <v>0</v>
      </c>
      <c r="AZ13">
        <v>0</v>
      </c>
      <c r="BA13">
        <v>0.75</v>
      </c>
      <c r="BB13">
        <v>0</v>
      </c>
      <c r="BC13">
        <v>1.25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0.25</v>
      </c>
      <c r="BJ13">
        <v>0</v>
      </c>
      <c r="BK13">
        <v>0</v>
      </c>
      <c r="BL13">
        <v>0.25</v>
      </c>
      <c r="BO13" s="2">
        <v>49</v>
      </c>
      <c r="BP13" t="s">
        <v>16</v>
      </c>
      <c r="BQ13" t="s">
        <v>439</v>
      </c>
      <c r="BR13">
        <v>22.291666666666668</v>
      </c>
      <c r="BS13">
        <v>21.322916666666668</v>
      </c>
      <c r="BT13">
        <v>2.65625</v>
      </c>
      <c r="BU13" s="2">
        <v>49</v>
      </c>
      <c r="BV13">
        <f t="shared" si="0"/>
        <v>1.25</v>
      </c>
      <c r="BW13">
        <f t="shared" si="1"/>
        <v>1</v>
      </c>
      <c r="BX13">
        <f t="shared" si="2"/>
        <v>7</v>
      </c>
      <c r="BY13">
        <f t="shared" si="3"/>
        <v>0</v>
      </c>
      <c r="BZ13">
        <f t="shared" si="4"/>
        <v>8.25</v>
      </c>
      <c r="CA13">
        <f t="shared" si="5"/>
        <v>0</v>
      </c>
      <c r="CB13">
        <f t="shared" si="6"/>
        <v>27.75</v>
      </c>
      <c r="CC13">
        <f t="shared" si="7"/>
        <v>2</v>
      </c>
      <c r="CD13">
        <f t="shared" si="8"/>
        <v>0.75</v>
      </c>
      <c r="CE13">
        <f t="shared" si="9"/>
        <v>0.25</v>
      </c>
      <c r="CF13">
        <f t="shared" si="10"/>
        <v>1.75</v>
      </c>
      <c r="CG13">
        <f t="shared" si="11"/>
        <v>610.5</v>
      </c>
      <c r="CH13">
        <f t="shared" si="12"/>
        <v>15.25</v>
      </c>
      <c r="CI13">
        <f t="shared" si="13"/>
        <v>0</v>
      </c>
      <c r="CJ13">
        <f t="shared" si="14"/>
        <v>0</v>
      </c>
      <c r="CK13">
        <f t="shared" si="15"/>
        <v>6</v>
      </c>
      <c r="CL13">
        <f t="shared" si="16"/>
        <v>0.25</v>
      </c>
      <c r="CM13">
        <f t="shared" si="17"/>
        <v>0.5</v>
      </c>
      <c r="CN13">
        <f t="shared" si="18"/>
        <v>0</v>
      </c>
      <c r="CO13">
        <f t="shared" si="19"/>
        <v>84.5</v>
      </c>
      <c r="CP13">
        <f t="shared" si="20"/>
        <v>1.25</v>
      </c>
      <c r="CQ13">
        <f t="shared" si="21"/>
        <v>9.5</v>
      </c>
      <c r="CR13">
        <f t="shared" si="22"/>
        <v>0</v>
      </c>
      <c r="CS13">
        <f t="shared" si="23"/>
        <v>10.25</v>
      </c>
      <c r="CT13">
        <f t="shared" si="24"/>
        <v>0</v>
      </c>
      <c r="CU13">
        <f t="shared" si="25"/>
        <v>0.75</v>
      </c>
      <c r="CV13">
        <f t="shared" si="26"/>
        <v>0</v>
      </c>
      <c r="CW13">
        <f t="shared" si="27"/>
        <v>1.25</v>
      </c>
      <c r="CX13">
        <f t="shared" si="28"/>
        <v>1</v>
      </c>
      <c r="CY13">
        <f t="shared" si="29"/>
        <v>0</v>
      </c>
      <c r="CZ13">
        <f t="shared" si="30"/>
        <v>0</v>
      </c>
      <c r="DA13">
        <f t="shared" si="31"/>
        <v>0</v>
      </c>
      <c r="DB13">
        <f t="shared" si="32"/>
        <v>1</v>
      </c>
      <c r="DC13">
        <f t="shared" si="33"/>
        <v>0.25</v>
      </c>
      <c r="DD13">
        <f t="shared" si="34"/>
        <v>0</v>
      </c>
      <c r="DE13">
        <f t="shared" si="35"/>
        <v>0</v>
      </c>
      <c r="DF13">
        <f t="shared" si="36"/>
        <v>0.25</v>
      </c>
    </row>
    <row r="14" spans="1:110" x14ac:dyDescent="0.25">
      <c r="B14" s="2">
        <v>51</v>
      </c>
      <c r="C14" t="s">
        <v>0</v>
      </c>
      <c r="D14" t="s">
        <v>439</v>
      </c>
      <c r="E14">
        <v>23.104166666666668</v>
      </c>
      <c r="F14">
        <v>17.96875</v>
      </c>
      <c r="G14">
        <v>3.1666666666666665</v>
      </c>
      <c r="H14" s="2">
        <v>51</v>
      </c>
      <c r="I14" s="8">
        <v>2.25</v>
      </c>
      <c r="J14">
        <v>0.25</v>
      </c>
      <c r="K14">
        <v>0</v>
      </c>
      <c r="L14">
        <v>0</v>
      </c>
      <c r="M14">
        <v>0</v>
      </c>
      <c r="N14">
        <v>0</v>
      </c>
      <c r="O14">
        <v>0</v>
      </c>
      <c r="P14">
        <v>4.25</v>
      </c>
      <c r="Q14">
        <v>5</v>
      </c>
      <c r="R14">
        <v>0.25</v>
      </c>
      <c r="S14">
        <v>0</v>
      </c>
      <c r="T14">
        <v>0</v>
      </c>
      <c r="U14">
        <v>0</v>
      </c>
      <c r="V14">
        <v>1.25</v>
      </c>
      <c r="W14">
        <v>18.25</v>
      </c>
      <c r="X14">
        <v>17</v>
      </c>
      <c r="Y14">
        <v>8.25</v>
      </c>
      <c r="Z14">
        <v>6</v>
      </c>
      <c r="AA14">
        <v>0</v>
      </c>
      <c r="AB14">
        <v>1</v>
      </c>
      <c r="AC14">
        <v>0</v>
      </c>
      <c r="AD14">
        <v>0.25</v>
      </c>
      <c r="AE14">
        <v>0.25</v>
      </c>
      <c r="AF14">
        <v>0</v>
      </c>
      <c r="AG14">
        <v>2</v>
      </c>
      <c r="AH14">
        <v>0</v>
      </c>
      <c r="AI14">
        <v>88.25</v>
      </c>
      <c r="AJ14">
        <v>12.75</v>
      </c>
      <c r="AK14">
        <v>0</v>
      </c>
      <c r="AL14">
        <v>0.25</v>
      </c>
      <c r="AM14">
        <v>3.25</v>
      </c>
      <c r="AN14">
        <v>0.5</v>
      </c>
      <c r="AO14">
        <v>0</v>
      </c>
      <c r="AP14">
        <v>0</v>
      </c>
      <c r="AQ14">
        <v>38</v>
      </c>
      <c r="AR14">
        <v>3.5</v>
      </c>
      <c r="AS14">
        <v>15.25</v>
      </c>
      <c r="AT14">
        <v>0</v>
      </c>
      <c r="AU14">
        <v>2</v>
      </c>
      <c r="AV14">
        <v>1.25</v>
      </c>
      <c r="AW14">
        <v>1.25</v>
      </c>
      <c r="AX14">
        <v>0.5</v>
      </c>
      <c r="AY14">
        <v>0</v>
      </c>
      <c r="AZ14">
        <v>0.25</v>
      </c>
      <c r="BA14">
        <v>1.5</v>
      </c>
      <c r="BB14">
        <v>0.75</v>
      </c>
      <c r="BC14">
        <v>0</v>
      </c>
      <c r="BD14">
        <v>0</v>
      </c>
      <c r="BE14">
        <v>0</v>
      </c>
      <c r="BF14">
        <v>0.25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O14" s="2">
        <v>51</v>
      </c>
      <c r="BP14" t="s">
        <v>0</v>
      </c>
      <c r="BQ14" t="s">
        <v>439</v>
      </c>
      <c r="BR14">
        <v>23.104166666666668</v>
      </c>
      <c r="BS14">
        <v>17.96875</v>
      </c>
      <c r="BT14">
        <v>3.1666666666666665</v>
      </c>
      <c r="BU14" s="2">
        <v>51</v>
      </c>
      <c r="BV14">
        <f t="shared" si="0"/>
        <v>2.25</v>
      </c>
      <c r="BW14">
        <f t="shared" si="1"/>
        <v>0.25</v>
      </c>
      <c r="BX14">
        <f t="shared" si="2"/>
        <v>0</v>
      </c>
      <c r="BY14">
        <f t="shared" si="3"/>
        <v>0</v>
      </c>
      <c r="BZ14">
        <f t="shared" si="4"/>
        <v>9.5</v>
      </c>
      <c r="CA14">
        <f t="shared" si="5"/>
        <v>0</v>
      </c>
      <c r="CB14">
        <f t="shared" si="6"/>
        <v>36.5</v>
      </c>
      <c r="CC14">
        <f t="shared" si="7"/>
        <v>14.25</v>
      </c>
      <c r="CD14">
        <f t="shared" si="8"/>
        <v>1</v>
      </c>
      <c r="CE14">
        <f t="shared" si="9"/>
        <v>0.5</v>
      </c>
      <c r="CF14">
        <f t="shared" si="10"/>
        <v>2</v>
      </c>
      <c r="CG14">
        <f t="shared" si="11"/>
        <v>88.25</v>
      </c>
      <c r="CH14">
        <f t="shared" si="12"/>
        <v>12.75</v>
      </c>
      <c r="CI14">
        <f t="shared" si="13"/>
        <v>0</v>
      </c>
      <c r="CJ14">
        <f t="shared" si="14"/>
        <v>0.25</v>
      </c>
      <c r="CK14">
        <f t="shared" si="15"/>
        <v>3.25</v>
      </c>
      <c r="CL14">
        <f t="shared" si="16"/>
        <v>0.5</v>
      </c>
      <c r="CM14">
        <f t="shared" si="17"/>
        <v>0</v>
      </c>
      <c r="CN14">
        <f t="shared" si="18"/>
        <v>0</v>
      </c>
      <c r="CO14">
        <f t="shared" si="19"/>
        <v>38</v>
      </c>
      <c r="CP14">
        <f t="shared" si="20"/>
        <v>3.5</v>
      </c>
      <c r="CQ14">
        <f t="shared" si="21"/>
        <v>15.25</v>
      </c>
      <c r="CR14">
        <f t="shared" si="22"/>
        <v>0</v>
      </c>
      <c r="CS14">
        <f t="shared" si="23"/>
        <v>4.5</v>
      </c>
      <c r="CT14">
        <f t="shared" si="24"/>
        <v>0.75</v>
      </c>
      <c r="CU14">
        <f t="shared" si="25"/>
        <v>1.5</v>
      </c>
      <c r="CV14">
        <f t="shared" si="26"/>
        <v>0.75</v>
      </c>
      <c r="CW14">
        <f t="shared" si="27"/>
        <v>0</v>
      </c>
      <c r="CX14">
        <f t="shared" si="28"/>
        <v>0</v>
      </c>
      <c r="CY14">
        <f t="shared" si="29"/>
        <v>0</v>
      </c>
      <c r="CZ14">
        <f t="shared" si="30"/>
        <v>0.25</v>
      </c>
      <c r="DA14">
        <f t="shared" si="31"/>
        <v>0</v>
      </c>
      <c r="DB14">
        <f t="shared" si="32"/>
        <v>0</v>
      </c>
      <c r="DC14">
        <f t="shared" si="33"/>
        <v>0</v>
      </c>
      <c r="DD14">
        <f t="shared" si="34"/>
        <v>0</v>
      </c>
      <c r="DE14">
        <f t="shared" si="35"/>
        <v>0</v>
      </c>
      <c r="DF14">
        <f t="shared" si="36"/>
        <v>0</v>
      </c>
    </row>
    <row r="15" spans="1:110" x14ac:dyDescent="0.25">
      <c r="B15" s="2">
        <v>54</v>
      </c>
      <c r="C15" t="s">
        <v>0</v>
      </c>
      <c r="D15" t="s">
        <v>439</v>
      </c>
      <c r="E15">
        <v>18.628472222222221</v>
      </c>
      <c r="F15">
        <v>12.986111111111109</v>
      </c>
      <c r="G15">
        <v>3.0381944444444446</v>
      </c>
      <c r="H15" s="2">
        <v>54</v>
      </c>
      <c r="I15" s="8">
        <v>1.3333333333333333</v>
      </c>
      <c r="J15">
        <v>0</v>
      </c>
      <c r="K15">
        <v>0</v>
      </c>
      <c r="L15">
        <v>0.33333333333333331</v>
      </c>
      <c r="M15">
        <v>0</v>
      </c>
      <c r="N15">
        <v>0</v>
      </c>
      <c r="O15">
        <v>0</v>
      </c>
      <c r="P15">
        <v>3.5833333333333335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10.916666666666668</v>
      </c>
      <c r="X15">
        <v>4.166666666666667</v>
      </c>
      <c r="Y15">
        <v>0</v>
      </c>
      <c r="Z15">
        <v>0.5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110.66666666666666</v>
      </c>
      <c r="AJ15">
        <v>16</v>
      </c>
      <c r="AK15">
        <v>0.25</v>
      </c>
      <c r="AL15">
        <v>0.25</v>
      </c>
      <c r="AM15">
        <v>3</v>
      </c>
      <c r="AN15">
        <v>0.5</v>
      </c>
      <c r="AO15">
        <v>0</v>
      </c>
      <c r="AP15">
        <v>0</v>
      </c>
      <c r="AQ15">
        <v>21.166666666666668</v>
      </c>
      <c r="AR15">
        <v>1.3333333333333333</v>
      </c>
      <c r="AS15">
        <v>4.166666666666667</v>
      </c>
      <c r="AT15">
        <v>0</v>
      </c>
      <c r="AU15">
        <v>2.6666666666666665</v>
      </c>
      <c r="AV15">
        <v>3.5</v>
      </c>
      <c r="AW15">
        <v>0</v>
      </c>
      <c r="AX15">
        <v>1.6666666666666665</v>
      </c>
      <c r="AY15">
        <v>0.33333333333333331</v>
      </c>
      <c r="AZ15">
        <v>0</v>
      </c>
      <c r="BA15">
        <v>1.5</v>
      </c>
      <c r="BB15">
        <v>0</v>
      </c>
      <c r="BC15">
        <v>0.5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O15" s="2">
        <v>54</v>
      </c>
      <c r="BP15" t="s">
        <v>0</v>
      </c>
      <c r="BQ15" t="s">
        <v>439</v>
      </c>
      <c r="BR15">
        <v>18.628472222222221</v>
      </c>
      <c r="BS15">
        <v>12.986111111111109</v>
      </c>
      <c r="BT15">
        <v>3.0381944444444446</v>
      </c>
      <c r="BU15" s="2">
        <v>54</v>
      </c>
      <c r="BV15">
        <f t="shared" si="0"/>
        <v>1.3333333333333333</v>
      </c>
      <c r="BW15">
        <f t="shared" si="1"/>
        <v>0</v>
      </c>
      <c r="BX15">
        <f t="shared" si="2"/>
        <v>0.33333333333333331</v>
      </c>
      <c r="BY15">
        <f t="shared" si="3"/>
        <v>0</v>
      </c>
      <c r="BZ15">
        <f t="shared" si="4"/>
        <v>7.5833333333333339</v>
      </c>
      <c r="CA15">
        <f t="shared" si="5"/>
        <v>0</v>
      </c>
      <c r="CB15">
        <f t="shared" si="6"/>
        <v>15.083333333333336</v>
      </c>
      <c r="CC15">
        <f t="shared" si="7"/>
        <v>0.5</v>
      </c>
      <c r="CD15">
        <f t="shared" si="8"/>
        <v>0</v>
      </c>
      <c r="CE15">
        <f t="shared" si="9"/>
        <v>0</v>
      </c>
      <c r="CF15">
        <f t="shared" si="10"/>
        <v>0</v>
      </c>
      <c r="CG15">
        <f t="shared" si="11"/>
        <v>110.66666666666666</v>
      </c>
      <c r="CH15">
        <f t="shared" si="12"/>
        <v>16</v>
      </c>
      <c r="CI15">
        <f t="shared" si="13"/>
        <v>0.25</v>
      </c>
      <c r="CJ15">
        <f t="shared" si="14"/>
        <v>0.25</v>
      </c>
      <c r="CK15">
        <f t="shared" si="15"/>
        <v>3</v>
      </c>
      <c r="CL15">
        <f t="shared" si="16"/>
        <v>0.5</v>
      </c>
      <c r="CM15">
        <f t="shared" si="17"/>
        <v>0</v>
      </c>
      <c r="CN15">
        <f t="shared" si="18"/>
        <v>0</v>
      </c>
      <c r="CO15">
        <f t="shared" si="19"/>
        <v>21.166666666666668</v>
      </c>
      <c r="CP15">
        <f t="shared" si="20"/>
        <v>1.3333333333333333</v>
      </c>
      <c r="CQ15">
        <f t="shared" si="21"/>
        <v>4.166666666666667</v>
      </c>
      <c r="CR15">
        <f t="shared" si="22"/>
        <v>0</v>
      </c>
      <c r="CS15">
        <f t="shared" si="23"/>
        <v>6.1666666666666661</v>
      </c>
      <c r="CT15">
        <f t="shared" si="24"/>
        <v>1.9999999999999998</v>
      </c>
      <c r="CU15">
        <f t="shared" si="25"/>
        <v>1.5</v>
      </c>
      <c r="CV15">
        <f t="shared" si="26"/>
        <v>0</v>
      </c>
      <c r="CW15">
        <f t="shared" si="27"/>
        <v>0.5</v>
      </c>
      <c r="CX15">
        <f t="shared" si="28"/>
        <v>0</v>
      </c>
      <c r="CY15">
        <f t="shared" si="29"/>
        <v>0</v>
      </c>
      <c r="CZ15">
        <f t="shared" si="30"/>
        <v>0</v>
      </c>
      <c r="DA15">
        <f t="shared" si="31"/>
        <v>0</v>
      </c>
      <c r="DB15">
        <f t="shared" si="32"/>
        <v>0</v>
      </c>
      <c r="DC15">
        <f t="shared" si="33"/>
        <v>0</v>
      </c>
      <c r="DD15">
        <f t="shared" si="34"/>
        <v>0</v>
      </c>
      <c r="DE15">
        <f t="shared" si="35"/>
        <v>0</v>
      </c>
      <c r="DF15">
        <f t="shared" si="36"/>
        <v>0</v>
      </c>
    </row>
    <row r="16" spans="1:110" x14ac:dyDescent="0.25">
      <c r="B16" s="2">
        <v>59</v>
      </c>
      <c r="C16" t="s">
        <v>583</v>
      </c>
      <c r="D16" t="s">
        <v>439</v>
      </c>
      <c r="E16">
        <v>22.96875</v>
      </c>
      <c r="F16">
        <v>18.447916666666668</v>
      </c>
      <c r="G16">
        <v>3.3229166666666665</v>
      </c>
      <c r="H16" s="2">
        <v>59</v>
      </c>
      <c r="I16" s="8">
        <v>1.75</v>
      </c>
      <c r="J16">
        <v>0.25</v>
      </c>
      <c r="K16">
        <v>0</v>
      </c>
      <c r="L16">
        <v>0</v>
      </c>
      <c r="M16">
        <v>0</v>
      </c>
      <c r="N16">
        <v>0.25</v>
      </c>
      <c r="O16">
        <v>0</v>
      </c>
      <c r="P16">
        <v>3.5</v>
      </c>
      <c r="Q16">
        <v>2</v>
      </c>
      <c r="R16">
        <v>0</v>
      </c>
      <c r="S16">
        <v>0</v>
      </c>
      <c r="T16">
        <v>0</v>
      </c>
      <c r="U16">
        <v>0</v>
      </c>
      <c r="V16">
        <v>1</v>
      </c>
      <c r="W16">
        <v>11.75</v>
      </c>
      <c r="X16">
        <v>8.75</v>
      </c>
      <c r="Y16">
        <v>0</v>
      </c>
      <c r="Z16">
        <v>0.5</v>
      </c>
      <c r="AA16">
        <v>0</v>
      </c>
      <c r="AB16">
        <v>0.25</v>
      </c>
      <c r="AC16">
        <v>0.25</v>
      </c>
      <c r="AD16">
        <v>0.25</v>
      </c>
      <c r="AE16">
        <v>0</v>
      </c>
      <c r="AF16">
        <v>4</v>
      </c>
      <c r="AG16">
        <v>1.75</v>
      </c>
      <c r="AH16">
        <v>0</v>
      </c>
      <c r="AI16">
        <v>230.25</v>
      </c>
      <c r="AJ16">
        <v>15.5</v>
      </c>
      <c r="AK16">
        <v>0.25</v>
      </c>
      <c r="AL16">
        <v>0</v>
      </c>
      <c r="AM16">
        <v>3.5</v>
      </c>
      <c r="AN16">
        <v>0</v>
      </c>
      <c r="AO16">
        <v>0.25</v>
      </c>
      <c r="AP16">
        <v>0</v>
      </c>
      <c r="AQ16">
        <v>58.25</v>
      </c>
      <c r="AR16">
        <v>3</v>
      </c>
      <c r="AS16">
        <v>8.75</v>
      </c>
      <c r="AT16">
        <v>0</v>
      </c>
      <c r="AU16">
        <v>0</v>
      </c>
      <c r="AV16">
        <v>5</v>
      </c>
      <c r="AW16">
        <v>0.25</v>
      </c>
      <c r="AX16">
        <v>0.25</v>
      </c>
      <c r="AY16">
        <v>0.25</v>
      </c>
      <c r="AZ16">
        <v>0</v>
      </c>
      <c r="BA16">
        <v>0.25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0.25</v>
      </c>
      <c r="BL16">
        <v>0</v>
      </c>
      <c r="BO16" s="2">
        <v>59</v>
      </c>
      <c r="BP16" t="s">
        <v>583</v>
      </c>
      <c r="BQ16" t="s">
        <v>439</v>
      </c>
      <c r="BR16">
        <v>22.96875</v>
      </c>
      <c r="BS16">
        <v>18.447916666666668</v>
      </c>
      <c r="BT16">
        <v>3.3229166666666665</v>
      </c>
      <c r="BU16" s="2">
        <v>59</v>
      </c>
      <c r="BV16">
        <f t="shared" si="0"/>
        <v>1.75</v>
      </c>
      <c r="BW16">
        <f t="shared" si="1"/>
        <v>0.25</v>
      </c>
      <c r="BX16">
        <f t="shared" si="2"/>
        <v>0.25</v>
      </c>
      <c r="BY16">
        <f t="shared" si="3"/>
        <v>0</v>
      </c>
      <c r="BZ16">
        <f t="shared" si="4"/>
        <v>5.5</v>
      </c>
      <c r="CA16">
        <f t="shared" si="5"/>
        <v>0</v>
      </c>
      <c r="CB16">
        <f t="shared" si="6"/>
        <v>21.5</v>
      </c>
      <c r="CC16">
        <f t="shared" si="7"/>
        <v>0.5</v>
      </c>
      <c r="CD16">
        <f t="shared" si="8"/>
        <v>0.5</v>
      </c>
      <c r="CE16">
        <f t="shared" si="9"/>
        <v>0.25</v>
      </c>
      <c r="CF16">
        <f t="shared" si="10"/>
        <v>5.75</v>
      </c>
      <c r="CG16">
        <f t="shared" si="11"/>
        <v>230.25</v>
      </c>
      <c r="CH16">
        <f t="shared" si="12"/>
        <v>15.5</v>
      </c>
      <c r="CI16">
        <f t="shared" si="13"/>
        <v>0.25</v>
      </c>
      <c r="CJ16">
        <f t="shared" si="14"/>
        <v>0</v>
      </c>
      <c r="CK16">
        <f t="shared" si="15"/>
        <v>3.5</v>
      </c>
      <c r="CL16">
        <f t="shared" si="16"/>
        <v>0</v>
      </c>
      <c r="CM16">
        <f t="shared" si="17"/>
        <v>0.25</v>
      </c>
      <c r="CN16">
        <f t="shared" si="18"/>
        <v>0</v>
      </c>
      <c r="CO16">
        <f t="shared" si="19"/>
        <v>58.25</v>
      </c>
      <c r="CP16">
        <f t="shared" si="20"/>
        <v>3</v>
      </c>
      <c r="CQ16">
        <f t="shared" si="21"/>
        <v>8.75</v>
      </c>
      <c r="CR16">
        <f t="shared" si="22"/>
        <v>0</v>
      </c>
      <c r="CS16">
        <f t="shared" si="23"/>
        <v>5.25</v>
      </c>
      <c r="CT16">
        <f t="shared" si="24"/>
        <v>0.5</v>
      </c>
      <c r="CU16">
        <f t="shared" si="25"/>
        <v>0.25</v>
      </c>
      <c r="CV16">
        <f t="shared" si="26"/>
        <v>0</v>
      </c>
      <c r="CW16">
        <f t="shared" si="27"/>
        <v>0</v>
      </c>
      <c r="CX16">
        <f t="shared" si="28"/>
        <v>0</v>
      </c>
      <c r="CY16">
        <f t="shared" si="29"/>
        <v>0</v>
      </c>
      <c r="CZ16">
        <f t="shared" si="30"/>
        <v>0</v>
      </c>
      <c r="DA16">
        <f t="shared" si="31"/>
        <v>0</v>
      </c>
      <c r="DB16">
        <f t="shared" si="32"/>
        <v>0</v>
      </c>
      <c r="DC16">
        <f t="shared" si="33"/>
        <v>0</v>
      </c>
      <c r="DD16">
        <f t="shared" si="34"/>
        <v>0</v>
      </c>
      <c r="DE16">
        <f t="shared" si="35"/>
        <v>0.25</v>
      </c>
      <c r="DF16">
        <f t="shared" si="36"/>
        <v>0</v>
      </c>
    </row>
    <row r="17" spans="2:110" x14ac:dyDescent="0.25">
      <c r="B17" s="2">
        <v>79</v>
      </c>
      <c r="C17" t="s">
        <v>583</v>
      </c>
      <c r="D17" t="s">
        <v>439</v>
      </c>
      <c r="E17">
        <v>24.927083333333332</v>
      </c>
      <c r="F17">
        <v>16.28125</v>
      </c>
      <c r="G17">
        <v>2.4479166666666665</v>
      </c>
      <c r="H17" s="2">
        <v>79</v>
      </c>
      <c r="I17" s="8">
        <v>0.75</v>
      </c>
      <c r="J17">
        <v>0.25</v>
      </c>
      <c r="K17">
        <v>0</v>
      </c>
      <c r="L17">
        <v>0.25</v>
      </c>
      <c r="M17">
        <v>0</v>
      </c>
      <c r="N17">
        <v>0.25</v>
      </c>
      <c r="O17">
        <v>0</v>
      </c>
      <c r="P17">
        <v>3.5</v>
      </c>
      <c r="Q17">
        <v>4.5</v>
      </c>
      <c r="R17">
        <v>0.25</v>
      </c>
      <c r="S17">
        <v>0</v>
      </c>
      <c r="T17">
        <v>0</v>
      </c>
      <c r="U17">
        <v>0</v>
      </c>
      <c r="V17">
        <v>0</v>
      </c>
      <c r="W17">
        <v>13</v>
      </c>
      <c r="X17">
        <v>16.25</v>
      </c>
      <c r="Y17">
        <v>32.5</v>
      </c>
      <c r="Z17">
        <v>14.25</v>
      </c>
      <c r="AA17">
        <v>0</v>
      </c>
      <c r="AB17">
        <v>1</v>
      </c>
      <c r="AC17">
        <v>0.25</v>
      </c>
      <c r="AD17">
        <v>0</v>
      </c>
      <c r="AE17">
        <v>0</v>
      </c>
      <c r="AF17">
        <v>2.25</v>
      </c>
      <c r="AG17">
        <v>5.25</v>
      </c>
      <c r="AH17">
        <v>0</v>
      </c>
      <c r="AI17">
        <v>727.25</v>
      </c>
      <c r="AJ17">
        <v>35.5</v>
      </c>
      <c r="AK17">
        <v>0</v>
      </c>
      <c r="AL17">
        <v>0.25</v>
      </c>
      <c r="AM17">
        <v>5.75</v>
      </c>
      <c r="AN17">
        <v>0.25</v>
      </c>
      <c r="AO17">
        <v>1.5</v>
      </c>
      <c r="AP17">
        <v>0</v>
      </c>
      <c r="AQ17">
        <v>89.25</v>
      </c>
      <c r="AR17">
        <v>7.25</v>
      </c>
      <c r="AS17">
        <v>14.5</v>
      </c>
      <c r="AT17">
        <v>0</v>
      </c>
      <c r="AU17">
        <v>2.5</v>
      </c>
      <c r="AV17">
        <v>4.5</v>
      </c>
      <c r="AW17">
        <v>0.75</v>
      </c>
      <c r="AX17">
        <v>0.5</v>
      </c>
      <c r="AY17">
        <v>0</v>
      </c>
      <c r="AZ17">
        <v>0</v>
      </c>
      <c r="BA17">
        <v>2.25</v>
      </c>
      <c r="BB17">
        <v>0.25</v>
      </c>
      <c r="BC17">
        <v>3.5</v>
      </c>
      <c r="BD17">
        <v>0.25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O17" s="2">
        <v>79</v>
      </c>
      <c r="BP17" t="s">
        <v>583</v>
      </c>
      <c r="BQ17" t="s">
        <v>439</v>
      </c>
      <c r="BR17">
        <v>24.927083333333332</v>
      </c>
      <c r="BS17">
        <v>16.28125</v>
      </c>
      <c r="BT17">
        <v>2.4479166666666665</v>
      </c>
      <c r="BU17" s="2">
        <v>79</v>
      </c>
      <c r="BV17">
        <f t="shared" si="0"/>
        <v>0.75</v>
      </c>
      <c r="BW17">
        <f t="shared" si="1"/>
        <v>0.25</v>
      </c>
      <c r="BX17">
        <f t="shared" si="2"/>
        <v>0.5</v>
      </c>
      <c r="BY17">
        <f t="shared" si="3"/>
        <v>0</v>
      </c>
      <c r="BZ17">
        <f t="shared" si="4"/>
        <v>8.25</v>
      </c>
      <c r="CA17">
        <f t="shared" si="5"/>
        <v>0</v>
      </c>
      <c r="CB17">
        <f t="shared" si="6"/>
        <v>29.25</v>
      </c>
      <c r="CC17">
        <f t="shared" si="7"/>
        <v>46.75</v>
      </c>
      <c r="CD17">
        <f t="shared" si="8"/>
        <v>1.25</v>
      </c>
      <c r="CE17">
        <f t="shared" si="9"/>
        <v>0</v>
      </c>
      <c r="CF17">
        <f t="shared" si="10"/>
        <v>7.5</v>
      </c>
      <c r="CG17">
        <f t="shared" si="11"/>
        <v>727.25</v>
      </c>
      <c r="CH17">
        <f t="shared" si="12"/>
        <v>35.5</v>
      </c>
      <c r="CI17">
        <f t="shared" si="13"/>
        <v>0</v>
      </c>
      <c r="CJ17">
        <f t="shared" si="14"/>
        <v>0.25</v>
      </c>
      <c r="CK17">
        <f t="shared" si="15"/>
        <v>5.75</v>
      </c>
      <c r="CL17">
        <f t="shared" si="16"/>
        <v>0.25</v>
      </c>
      <c r="CM17">
        <f t="shared" si="17"/>
        <v>1.5</v>
      </c>
      <c r="CN17">
        <f t="shared" si="18"/>
        <v>0</v>
      </c>
      <c r="CO17">
        <f t="shared" si="19"/>
        <v>89.25</v>
      </c>
      <c r="CP17">
        <f t="shared" si="20"/>
        <v>7.25</v>
      </c>
      <c r="CQ17">
        <f t="shared" si="21"/>
        <v>14.5</v>
      </c>
      <c r="CR17">
        <f t="shared" si="22"/>
        <v>0</v>
      </c>
      <c r="CS17">
        <f t="shared" si="23"/>
        <v>7.75</v>
      </c>
      <c r="CT17">
        <f t="shared" si="24"/>
        <v>0.5</v>
      </c>
      <c r="CU17">
        <f t="shared" si="25"/>
        <v>2.25</v>
      </c>
      <c r="CV17">
        <f t="shared" si="26"/>
        <v>0.25</v>
      </c>
      <c r="CW17">
        <f t="shared" si="27"/>
        <v>3.5</v>
      </c>
      <c r="CX17">
        <f t="shared" si="28"/>
        <v>0.25</v>
      </c>
      <c r="CY17">
        <f t="shared" si="29"/>
        <v>0</v>
      </c>
      <c r="CZ17">
        <f t="shared" si="30"/>
        <v>0</v>
      </c>
      <c r="DA17">
        <f t="shared" si="31"/>
        <v>0</v>
      </c>
      <c r="DB17">
        <f t="shared" si="32"/>
        <v>0</v>
      </c>
      <c r="DC17">
        <f t="shared" si="33"/>
        <v>0</v>
      </c>
      <c r="DD17">
        <f t="shared" si="34"/>
        <v>0</v>
      </c>
      <c r="DE17">
        <f t="shared" si="35"/>
        <v>0</v>
      </c>
      <c r="DF17">
        <f t="shared" si="36"/>
        <v>0</v>
      </c>
    </row>
    <row r="18" spans="2:110" x14ac:dyDescent="0.25">
      <c r="B18" s="2">
        <v>82</v>
      </c>
      <c r="C18" t="s">
        <v>16</v>
      </c>
      <c r="D18" t="s">
        <v>439</v>
      </c>
      <c r="E18">
        <v>24.791666666666668</v>
      </c>
      <c r="F18">
        <v>18.364583333333332</v>
      </c>
      <c r="G18">
        <v>3.0416666666666665</v>
      </c>
      <c r="H18" s="2">
        <v>82</v>
      </c>
      <c r="I18" s="8">
        <v>0</v>
      </c>
      <c r="J18">
        <v>0</v>
      </c>
      <c r="K18">
        <v>0</v>
      </c>
      <c r="L18">
        <v>0.5</v>
      </c>
      <c r="M18">
        <v>0</v>
      </c>
      <c r="N18">
        <v>0.25</v>
      </c>
      <c r="O18">
        <v>0.75</v>
      </c>
      <c r="P18">
        <v>3.25</v>
      </c>
      <c r="Q18">
        <v>2.75</v>
      </c>
      <c r="R18">
        <v>0.75</v>
      </c>
      <c r="S18">
        <v>0</v>
      </c>
      <c r="T18">
        <v>0</v>
      </c>
      <c r="U18">
        <v>0</v>
      </c>
      <c r="V18">
        <v>0.25</v>
      </c>
      <c r="W18">
        <v>11.25</v>
      </c>
      <c r="X18">
        <v>13.5</v>
      </c>
      <c r="Y18">
        <v>14.5</v>
      </c>
      <c r="Z18">
        <v>2.75</v>
      </c>
      <c r="AA18">
        <v>0</v>
      </c>
      <c r="AB18">
        <v>0.75</v>
      </c>
      <c r="AC18">
        <v>0</v>
      </c>
      <c r="AD18">
        <v>0</v>
      </c>
      <c r="AE18">
        <v>0.5</v>
      </c>
      <c r="AF18">
        <v>0</v>
      </c>
      <c r="AG18">
        <v>1.25</v>
      </c>
      <c r="AH18">
        <v>0</v>
      </c>
      <c r="AI18">
        <v>444</v>
      </c>
      <c r="AJ18">
        <v>24.25</v>
      </c>
      <c r="AK18">
        <v>0.25</v>
      </c>
      <c r="AL18">
        <v>0</v>
      </c>
      <c r="AM18">
        <v>7</v>
      </c>
      <c r="AN18">
        <v>0.25</v>
      </c>
      <c r="AO18">
        <v>0</v>
      </c>
      <c r="AP18">
        <v>0</v>
      </c>
      <c r="AQ18">
        <v>69</v>
      </c>
      <c r="AR18">
        <v>2.75</v>
      </c>
      <c r="AS18">
        <v>12.25</v>
      </c>
      <c r="AT18">
        <v>0</v>
      </c>
      <c r="AU18">
        <v>4.25</v>
      </c>
      <c r="AV18">
        <v>2.25</v>
      </c>
      <c r="AW18">
        <v>0.5</v>
      </c>
      <c r="AX18">
        <v>3.75</v>
      </c>
      <c r="AY18">
        <v>0.25</v>
      </c>
      <c r="AZ18">
        <v>0.25</v>
      </c>
      <c r="BA18">
        <v>0</v>
      </c>
      <c r="BB18">
        <v>0.75</v>
      </c>
      <c r="BC18">
        <v>0.5</v>
      </c>
      <c r="BD18">
        <v>0.25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0.25</v>
      </c>
      <c r="BK18">
        <v>0</v>
      </c>
      <c r="BL18">
        <v>0.25</v>
      </c>
      <c r="BO18" s="2">
        <v>82</v>
      </c>
      <c r="BP18" t="s">
        <v>16</v>
      </c>
      <c r="BQ18" t="s">
        <v>439</v>
      </c>
      <c r="BR18">
        <v>24.791666666666668</v>
      </c>
      <c r="BS18">
        <v>18.364583333333332</v>
      </c>
      <c r="BT18">
        <v>3.0416666666666665</v>
      </c>
      <c r="BU18" s="2">
        <v>82</v>
      </c>
      <c r="BV18">
        <f t="shared" si="0"/>
        <v>0</v>
      </c>
      <c r="BW18">
        <f t="shared" si="1"/>
        <v>0</v>
      </c>
      <c r="BX18">
        <f t="shared" si="2"/>
        <v>0.75</v>
      </c>
      <c r="BY18">
        <f t="shared" si="3"/>
        <v>0.75</v>
      </c>
      <c r="BZ18">
        <f t="shared" si="4"/>
        <v>6.75</v>
      </c>
      <c r="CA18">
        <f t="shared" si="5"/>
        <v>0</v>
      </c>
      <c r="CB18">
        <f t="shared" si="6"/>
        <v>25</v>
      </c>
      <c r="CC18">
        <f t="shared" si="7"/>
        <v>17.25</v>
      </c>
      <c r="CD18">
        <f t="shared" si="8"/>
        <v>0.75</v>
      </c>
      <c r="CE18">
        <f t="shared" si="9"/>
        <v>0.5</v>
      </c>
      <c r="CF18">
        <f t="shared" si="10"/>
        <v>1.25</v>
      </c>
      <c r="CG18">
        <f t="shared" si="11"/>
        <v>444</v>
      </c>
      <c r="CH18">
        <f t="shared" si="12"/>
        <v>24.25</v>
      </c>
      <c r="CI18">
        <f t="shared" si="13"/>
        <v>0.25</v>
      </c>
      <c r="CJ18">
        <f t="shared" si="14"/>
        <v>0</v>
      </c>
      <c r="CK18">
        <f t="shared" si="15"/>
        <v>7</v>
      </c>
      <c r="CL18">
        <f t="shared" si="16"/>
        <v>0.25</v>
      </c>
      <c r="CM18">
        <f t="shared" si="17"/>
        <v>0</v>
      </c>
      <c r="CN18">
        <f t="shared" si="18"/>
        <v>0</v>
      </c>
      <c r="CO18">
        <f t="shared" si="19"/>
        <v>69</v>
      </c>
      <c r="CP18">
        <f t="shared" si="20"/>
        <v>2.75</v>
      </c>
      <c r="CQ18">
        <f t="shared" si="21"/>
        <v>12.25</v>
      </c>
      <c r="CR18">
        <f t="shared" si="22"/>
        <v>0</v>
      </c>
      <c r="CS18">
        <f t="shared" si="23"/>
        <v>7</v>
      </c>
      <c r="CT18">
        <f t="shared" si="24"/>
        <v>4.25</v>
      </c>
      <c r="CU18">
        <f t="shared" si="25"/>
        <v>0</v>
      </c>
      <c r="CV18">
        <f t="shared" si="26"/>
        <v>0.75</v>
      </c>
      <c r="CW18">
        <f t="shared" si="27"/>
        <v>0.5</v>
      </c>
      <c r="CX18">
        <f t="shared" si="28"/>
        <v>0.25</v>
      </c>
      <c r="CY18">
        <f t="shared" si="29"/>
        <v>0</v>
      </c>
      <c r="CZ18">
        <f t="shared" si="30"/>
        <v>0</v>
      </c>
      <c r="DA18">
        <f t="shared" si="31"/>
        <v>0</v>
      </c>
      <c r="DB18">
        <f t="shared" si="32"/>
        <v>0</v>
      </c>
      <c r="DC18">
        <f t="shared" si="33"/>
        <v>0</v>
      </c>
      <c r="DD18">
        <f t="shared" si="34"/>
        <v>0.25</v>
      </c>
      <c r="DE18">
        <f t="shared" si="35"/>
        <v>0</v>
      </c>
      <c r="DF18">
        <f t="shared" si="36"/>
        <v>0.25</v>
      </c>
    </row>
    <row r="19" spans="2:110" x14ac:dyDescent="0.25">
      <c r="B19" s="2">
        <v>88</v>
      </c>
      <c r="C19" t="s">
        <v>583</v>
      </c>
      <c r="D19" t="s">
        <v>439</v>
      </c>
      <c r="E19">
        <v>23.583333333333332</v>
      </c>
      <c r="F19">
        <v>17.229166666666668</v>
      </c>
      <c r="G19">
        <v>2.8854166666666665</v>
      </c>
      <c r="H19" s="2">
        <v>88</v>
      </c>
      <c r="I19" s="8">
        <v>0.25</v>
      </c>
      <c r="J19">
        <v>0</v>
      </c>
      <c r="K19">
        <v>2</v>
      </c>
      <c r="L19">
        <v>0</v>
      </c>
      <c r="M19">
        <v>0</v>
      </c>
      <c r="N19">
        <v>0.75</v>
      </c>
      <c r="O19">
        <v>0</v>
      </c>
      <c r="P19">
        <v>3.5</v>
      </c>
      <c r="Q19">
        <v>1.5</v>
      </c>
      <c r="R19">
        <v>0</v>
      </c>
      <c r="S19">
        <v>0</v>
      </c>
      <c r="T19">
        <v>0</v>
      </c>
      <c r="U19">
        <v>0</v>
      </c>
      <c r="V19">
        <v>0</v>
      </c>
      <c r="W19">
        <v>8</v>
      </c>
      <c r="X19">
        <v>7.5</v>
      </c>
      <c r="Y19">
        <v>7.25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0.25</v>
      </c>
      <c r="AF19">
        <v>0</v>
      </c>
      <c r="AG19">
        <v>2</v>
      </c>
      <c r="AH19">
        <v>0</v>
      </c>
      <c r="AI19">
        <v>572.25</v>
      </c>
      <c r="AJ19">
        <v>27</v>
      </c>
      <c r="AK19">
        <v>0</v>
      </c>
      <c r="AL19">
        <v>0</v>
      </c>
      <c r="AM19">
        <v>3.25</v>
      </c>
      <c r="AN19">
        <v>0</v>
      </c>
      <c r="AO19">
        <v>0.25</v>
      </c>
      <c r="AP19">
        <v>0</v>
      </c>
      <c r="AQ19">
        <v>63.5</v>
      </c>
      <c r="AR19">
        <v>1.5</v>
      </c>
      <c r="AS19">
        <v>6.25</v>
      </c>
      <c r="AT19">
        <v>0</v>
      </c>
      <c r="AU19">
        <v>3.75</v>
      </c>
      <c r="AV19">
        <v>5.5</v>
      </c>
      <c r="AW19">
        <v>0</v>
      </c>
      <c r="AX19">
        <v>0.75</v>
      </c>
      <c r="AY19">
        <v>0</v>
      </c>
      <c r="AZ19">
        <v>0</v>
      </c>
      <c r="BA19">
        <v>1.25</v>
      </c>
      <c r="BB19">
        <v>1.25</v>
      </c>
      <c r="BC19">
        <v>0.5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O19" s="2">
        <v>88</v>
      </c>
      <c r="BP19" t="s">
        <v>583</v>
      </c>
      <c r="BQ19" t="s">
        <v>439</v>
      </c>
      <c r="BR19">
        <v>23.583333333333332</v>
      </c>
      <c r="BS19">
        <v>17.229166666666668</v>
      </c>
      <c r="BT19">
        <v>2.8854166666666665</v>
      </c>
      <c r="BU19" s="2">
        <v>88</v>
      </c>
      <c r="BV19">
        <f t="shared" si="0"/>
        <v>0.25</v>
      </c>
      <c r="BW19">
        <f t="shared" si="1"/>
        <v>0</v>
      </c>
      <c r="BX19">
        <f t="shared" si="2"/>
        <v>2.75</v>
      </c>
      <c r="BY19">
        <f t="shared" si="3"/>
        <v>0</v>
      </c>
      <c r="BZ19">
        <f t="shared" si="4"/>
        <v>5</v>
      </c>
      <c r="CA19">
        <f t="shared" si="5"/>
        <v>0</v>
      </c>
      <c r="CB19">
        <f t="shared" si="6"/>
        <v>15.5</v>
      </c>
      <c r="CC19">
        <f t="shared" si="7"/>
        <v>10.25</v>
      </c>
      <c r="CD19">
        <f t="shared" si="8"/>
        <v>0</v>
      </c>
      <c r="CE19">
        <f t="shared" si="9"/>
        <v>0.25</v>
      </c>
      <c r="CF19">
        <f t="shared" si="10"/>
        <v>2</v>
      </c>
      <c r="CG19">
        <f t="shared" si="11"/>
        <v>572.25</v>
      </c>
      <c r="CH19">
        <f t="shared" si="12"/>
        <v>27</v>
      </c>
      <c r="CI19">
        <f t="shared" si="13"/>
        <v>0</v>
      </c>
      <c r="CJ19">
        <f t="shared" si="14"/>
        <v>0</v>
      </c>
      <c r="CK19">
        <f t="shared" si="15"/>
        <v>3.25</v>
      </c>
      <c r="CL19">
        <f t="shared" si="16"/>
        <v>0</v>
      </c>
      <c r="CM19">
        <f t="shared" si="17"/>
        <v>0.25</v>
      </c>
      <c r="CN19">
        <f t="shared" si="18"/>
        <v>0</v>
      </c>
      <c r="CO19">
        <f t="shared" si="19"/>
        <v>63.5</v>
      </c>
      <c r="CP19">
        <f t="shared" si="20"/>
        <v>1.5</v>
      </c>
      <c r="CQ19">
        <f t="shared" si="21"/>
        <v>6.25</v>
      </c>
      <c r="CR19">
        <f t="shared" si="22"/>
        <v>0</v>
      </c>
      <c r="CS19">
        <f t="shared" si="23"/>
        <v>9.25</v>
      </c>
      <c r="CT19">
        <f t="shared" si="24"/>
        <v>0.75</v>
      </c>
      <c r="CU19">
        <f t="shared" si="25"/>
        <v>1.25</v>
      </c>
      <c r="CV19">
        <f t="shared" si="26"/>
        <v>1.25</v>
      </c>
      <c r="CW19">
        <f t="shared" si="27"/>
        <v>0.5</v>
      </c>
      <c r="CX19">
        <f t="shared" si="28"/>
        <v>0</v>
      </c>
      <c r="CY19">
        <f t="shared" si="29"/>
        <v>0</v>
      </c>
      <c r="CZ19">
        <f t="shared" si="30"/>
        <v>0</v>
      </c>
      <c r="DA19">
        <f t="shared" si="31"/>
        <v>0</v>
      </c>
      <c r="DB19">
        <f t="shared" si="32"/>
        <v>0</v>
      </c>
      <c r="DC19">
        <f t="shared" si="33"/>
        <v>0</v>
      </c>
      <c r="DD19">
        <f t="shared" si="34"/>
        <v>0</v>
      </c>
      <c r="DE19">
        <f t="shared" si="35"/>
        <v>0</v>
      </c>
      <c r="DF19">
        <f t="shared" si="36"/>
        <v>0</v>
      </c>
    </row>
    <row r="20" spans="2:110" x14ac:dyDescent="0.25">
      <c r="B20" s="2">
        <v>91</v>
      </c>
      <c r="C20" t="s">
        <v>583</v>
      </c>
      <c r="D20" t="s">
        <v>439</v>
      </c>
      <c r="E20">
        <v>24.229166666666668</v>
      </c>
      <c r="F20">
        <v>16.270833333333332</v>
      </c>
      <c r="G20">
        <v>3.0729166666666665</v>
      </c>
      <c r="H20" s="2">
        <v>91</v>
      </c>
      <c r="I20" s="8">
        <v>0.75</v>
      </c>
      <c r="J20">
        <v>0</v>
      </c>
      <c r="K20">
        <v>0</v>
      </c>
      <c r="L20">
        <v>0.5</v>
      </c>
      <c r="M20">
        <v>0</v>
      </c>
      <c r="N20">
        <v>0.25</v>
      </c>
      <c r="O20">
        <v>0</v>
      </c>
      <c r="P20">
        <v>8</v>
      </c>
      <c r="Q20">
        <v>6.75</v>
      </c>
      <c r="R20">
        <v>0</v>
      </c>
      <c r="S20">
        <v>0</v>
      </c>
      <c r="T20">
        <v>0</v>
      </c>
      <c r="U20">
        <v>0</v>
      </c>
      <c r="V20">
        <v>0</v>
      </c>
      <c r="W20">
        <v>7.5</v>
      </c>
      <c r="X20">
        <v>5.5</v>
      </c>
      <c r="Y20">
        <v>0</v>
      </c>
      <c r="Z20">
        <v>3.75</v>
      </c>
      <c r="AA20">
        <v>0</v>
      </c>
      <c r="AB20">
        <v>1.5</v>
      </c>
      <c r="AC20">
        <v>0</v>
      </c>
      <c r="AD20">
        <v>0</v>
      </c>
      <c r="AE20">
        <v>0</v>
      </c>
      <c r="AF20">
        <v>0</v>
      </c>
      <c r="AG20">
        <v>1.25</v>
      </c>
      <c r="AH20">
        <v>0</v>
      </c>
      <c r="AI20">
        <v>364.5</v>
      </c>
      <c r="AJ20">
        <v>24.5</v>
      </c>
      <c r="AK20">
        <v>0.25</v>
      </c>
      <c r="AL20">
        <v>0.5</v>
      </c>
      <c r="AM20">
        <v>2.25</v>
      </c>
      <c r="AN20">
        <v>0</v>
      </c>
      <c r="AO20">
        <v>10.5</v>
      </c>
      <c r="AP20">
        <v>0</v>
      </c>
      <c r="AQ20">
        <v>52.75</v>
      </c>
      <c r="AR20">
        <v>3</v>
      </c>
      <c r="AS20">
        <v>4.75</v>
      </c>
      <c r="AT20">
        <v>0</v>
      </c>
      <c r="AU20">
        <v>0.75</v>
      </c>
      <c r="AV20">
        <v>2</v>
      </c>
      <c r="AW20">
        <v>0.25</v>
      </c>
      <c r="AX20">
        <v>0.5</v>
      </c>
      <c r="AY20">
        <v>0.25</v>
      </c>
      <c r="AZ20">
        <v>0</v>
      </c>
      <c r="BA20">
        <v>2.25</v>
      </c>
      <c r="BB20">
        <v>0.25</v>
      </c>
      <c r="BC20">
        <v>0.5</v>
      </c>
      <c r="BD20">
        <v>0</v>
      </c>
      <c r="BE20">
        <v>0</v>
      </c>
      <c r="BF20">
        <v>0.5</v>
      </c>
      <c r="BG20">
        <v>0.5</v>
      </c>
      <c r="BH20">
        <v>0.25</v>
      </c>
      <c r="BI20">
        <v>0.25</v>
      </c>
      <c r="BJ20">
        <v>0</v>
      </c>
      <c r="BK20">
        <v>0</v>
      </c>
      <c r="BL20">
        <v>0</v>
      </c>
      <c r="BO20" s="2">
        <v>91</v>
      </c>
      <c r="BP20" t="s">
        <v>583</v>
      </c>
      <c r="BQ20" t="s">
        <v>439</v>
      </c>
      <c r="BR20">
        <v>24.229166666666668</v>
      </c>
      <c r="BS20">
        <v>16.270833333333332</v>
      </c>
      <c r="BT20">
        <v>3.0729166666666665</v>
      </c>
      <c r="BU20" s="2">
        <v>91</v>
      </c>
      <c r="BV20">
        <f t="shared" si="0"/>
        <v>0.75</v>
      </c>
      <c r="BW20">
        <f t="shared" si="1"/>
        <v>0</v>
      </c>
      <c r="BX20">
        <f t="shared" si="2"/>
        <v>0.75</v>
      </c>
      <c r="BY20">
        <f t="shared" si="3"/>
        <v>0</v>
      </c>
      <c r="BZ20">
        <f t="shared" si="4"/>
        <v>14.75</v>
      </c>
      <c r="CA20">
        <f t="shared" si="5"/>
        <v>0</v>
      </c>
      <c r="CB20">
        <f t="shared" si="6"/>
        <v>13</v>
      </c>
      <c r="CC20">
        <f t="shared" si="7"/>
        <v>3.75</v>
      </c>
      <c r="CD20">
        <f t="shared" si="8"/>
        <v>1.5</v>
      </c>
      <c r="CE20">
        <f t="shared" si="9"/>
        <v>0</v>
      </c>
      <c r="CF20">
        <f t="shared" si="10"/>
        <v>1.25</v>
      </c>
      <c r="CG20">
        <f t="shared" si="11"/>
        <v>364.5</v>
      </c>
      <c r="CH20">
        <f t="shared" si="12"/>
        <v>24.5</v>
      </c>
      <c r="CI20">
        <f t="shared" si="13"/>
        <v>0.25</v>
      </c>
      <c r="CJ20">
        <f t="shared" si="14"/>
        <v>0.5</v>
      </c>
      <c r="CK20">
        <f t="shared" si="15"/>
        <v>2.25</v>
      </c>
      <c r="CL20">
        <f t="shared" si="16"/>
        <v>0</v>
      </c>
      <c r="CM20">
        <f t="shared" si="17"/>
        <v>10.5</v>
      </c>
      <c r="CN20">
        <f t="shared" si="18"/>
        <v>0</v>
      </c>
      <c r="CO20">
        <f t="shared" si="19"/>
        <v>52.75</v>
      </c>
      <c r="CP20">
        <f t="shared" si="20"/>
        <v>3</v>
      </c>
      <c r="CQ20">
        <f t="shared" si="21"/>
        <v>4.75</v>
      </c>
      <c r="CR20">
        <f t="shared" si="22"/>
        <v>0</v>
      </c>
      <c r="CS20">
        <f t="shared" si="23"/>
        <v>3</v>
      </c>
      <c r="CT20">
        <f t="shared" si="24"/>
        <v>0.75</v>
      </c>
      <c r="CU20">
        <f t="shared" si="25"/>
        <v>2.25</v>
      </c>
      <c r="CV20">
        <f t="shared" si="26"/>
        <v>0.25</v>
      </c>
      <c r="CW20">
        <f t="shared" si="27"/>
        <v>0.5</v>
      </c>
      <c r="CX20">
        <f t="shared" si="28"/>
        <v>0</v>
      </c>
      <c r="CY20">
        <f t="shared" si="29"/>
        <v>0</v>
      </c>
      <c r="CZ20">
        <f t="shared" si="30"/>
        <v>0.5</v>
      </c>
      <c r="DA20">
        <f t="shared" si="31"/>
        <v>0.5</v>
      </c>
      <c r="DB20">
        <f t="shared" si="32"/>
        <v>0.25</v>
      </c>
      <c r="DC20">
        <f t="shared" si="33"/>
        <v>0.25</v>
      </c>
      <c r="DD20">
        <f t="shared" si="34"/>
        <v>0</v>
      </c>
      <c r="DE20">
        <f t="shared" si="35"/>
        <v>0</v>
      </c>
      <c r="DF20">
        <f t="shared" si="36"/>
        <v>0</v>
      </c>
    </row>
    <row r="21" spans="2:110" x14ac:dyDescent="0.25">
      <c r="B21" s="2">
        <v>94</v>
      </c>
      <c r="C21" t="s">
        <v>583</v>
      </c>
      <c r="D21" t="s">
        <v>439</v>
      </c>
      <c r="E21">
        <v>24.46875</v>
      </c>
      <c r="F21">
        <v>18.53125</v>
      </c>
      <c r="G21">
        <v>3.3020833333333335</v>
      </c>
      <c r="H21" s="2">
        <v>94</v>
      </c>
      <c r="I21" s="8">
        <v>1.75</v>
      </c>
      <c r="J21">
        <v>0.5</v>
      </c>
      <c r="K21">
        <v>0</v>
      </c>
      <c r="L21">
        <v>0</v>
      </c>
      <c r="M21">
        <v>0</v>
      </c>
      <c r="N21">
        <v>0.25</v>
      </c>
      <c r="O21">
        <v>0</v>
      </c>
      <c r="P21">
        <v>2</v>
      </c>
      <c r="Q21">
        <v>1.5</v>
      </c>
      <c r="R21">
        <v>0.25</v>
      </c>
      <c r="S21">
        <v>0</v>
      </c>
      <c r="T21">
        <v>0</v>
      </c>
      <c r="U21">
        <v>0</v>
      </c>
      <c r="V21">
        <v>0</v>
      </c>
      <c r="W21">
        <v>8.25</v>
      </c>
      <c r="X21">
        <v>16.25</v>
      </c>
      <c r="Y21">
        <v>21.5</v>
      </c>
      <c r="Z21">
        <v>3.25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4.5</v>
      </c>
      <c r="AG21">
        <v>4.5</v>
      </c>
      <c r="AH21">
        <v>0</v>
      </c>
      <c r="AI21">
        <v>418.25</v>
      </c>
      <c r="AJ21">
        <v>9.5</v>
      </c>
      <c r="AK21">
        <v>0</v>
      </c>
      <c r="AL21">
        <v>0</v>
      </c>
      <c r="AM21">
        <v>6</v>
      </c>
      <c r="AN21">
        <v>0</v>
      </c>
      <c r="AO21">
        <v>0</v>
      </c>
      <c r="AP21">
        <v>0</v>
      </c>
      <c r="AQ21">
        <v>66.25</v>
      </c>
      <c r="AR21">
        <v>1</v>
      </c>
      <c r="AS21">
        <v>14.75</v>
      </c>
      <c r="AT21">
        <v>4.25</v>
      </c>
      <c r="AU21">
        <v>2.5</v>
      </c>
      <c r="AV21">
        <v>7.5</v>
      </c>
      <c r="AW21">
        <v>2</v>
      </c>
      <c r="AX21">
        <v>0</v>
      </c>
      <c r="AY21">
        <v>0.25</v>
      </c>
      <c r="AZ21">
        <v>0</v>
      </c>
      <c r="BA21">
        <v>1.25</v>
      </c>
      <c r="BB21">
        <v>0</v>
      </c>
      <c r="BC21">
        <v>0.75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O21" s="2">
        <v>94</v>
      </c>
      <c r="BP21" t="s">
        <v>583</v>
      </c>
      <c r="BQ21" t="s">
        <v>439</v>
      </c>
      <c r="BR21">
        <v>24.46875</v>
      </c>
      <c r="BS21">
        <v>18.53125</v>
      </c>
      <c r="BT21">
        <v>3.3020833333333335</v>
      </c>
      <c r="BU21" s="2">
        <v>94</v>
      </c>
      <c r="BV21">
        <f t="shared" si="0"/>
        <v>1.75</v>
      </c>
      <c r="BW21">
        <f t="shared" si="1"/>
        <v>0.5</v>
      </c>
      <c r="BX21">
        <f t="shared" si="2"/>
        <v>0.25</v>
      </c>
      <c r="BY21">
        <f t="shared" si="3"/>
        <v>0</v>
      </c>
      <c r="BZ21">
        <f t="shared" si="4"/>
        <v>3.75</v>
      </c>
      <c r="CA21">
        <f t="shared" si="5"/>
        <v>0</v>
      </c>
      <c r="CB21">
        <f t="shared" si="6"/>
        <v>24.5</v>
      </c>
      <c r="CC21">
        <f t="shared" si="7"/>
        <v>24.75</v>
      </c>
      <c r="CD21">
        <f t="shared" si="8"/>
        <v>0</v>
      </c>
      <c r="CE21">
        <f t="shared" si="9"/>
        <v>0</v>
      </c>
      <c r="CF21">
        <f t="shared" si="10"/>
        <v>9</v>
      </c>
      <c r="CG21">
        <f t="shared" ref="CG21:CR28" si="37">AI21</f>
        <v>418.25</v>
      </c>
      <c r="CH21">
        <f t="shared" si="37"/>
        <v>9.5</v>
      </c>
      <c r="CI21">
        <f t="shared" si="37"/>
        <v>0</v>
      </c>
      <c r="CJ21">
        <f t="shared" si="37"/>
        <v>0</v>
      </c>
      <c r="CK21">
        <f t="shared" si="37"/>
        <v>6</v>
      </c>
      <c r="CL21">
        <f t="shared" si="37"/>
        <v>0</v>
      </c>
      <c r="CM21">
        <f t="shared" si="37"/>
        <v>0</v>
      </c>
      <c r="CN21">
        <f t="shared" si="37"/>
        <v>0</v>
      </c>
      <c r="CO21">
        <f t="shared" si="37"/>
        <v>66.25</v>
      </c>
      <c r="CP21">
        <f t="shared" si="37"/>
        <v>1</v>
      </c>
      <c r="CQ21">
        <f t="shared" si="37"/>
        <v>14.75</v>
      </c>
      <c r="CR21">
        <f t="shared" si="37"/>
        <v>4.25</v>
      </c>
      <c r="CS21">
        <f t="shared" si="23"/>
        <v>12</v>
      </c>
      <c r="CT21">
        <f t="shared" si="24"/>
        <v>0.25</v>
      </c>
      <c r="CU21">
        <f t="shared" ref="CU21:DF28" si="38">BA21</f>
        <v>1.25</v>
      </c>
      <c r="CV21">
        <f t="shared" si="38"/>
        <v>0</v>
      </c>
      <c r="CW21">
        <f t="shared" si="38"/>
        <v>0.75</v>
      </c>
      <c r="CX21">
        <f t="shared" si="38"/>
        <v>0</v>
      </c>
      <c r="CY21">
        <f t="shared" si="38"/>
        <v>0</v>
      </c>
      <c r="CZ21">
        <f t="shared" si="38"/>
        <v>0</v>
      </c>
      <c r="DA21">
        <f t="shared" si="38"/>
        <v>0</v>
      </c>
      <c r="DB21">
        <f t="shared" si="38"/>
        <v>0</v>
      </c>
      <c r="DC21">
        <f t="shared" si="38"/>
        <v>0</v>
      </c>
      <c r="DD21">
        <f t="shared" si="38"/>
        <v>0</v>
      </c>
      <c r="DE21">
        <f t="shared" si="38"/>
        <v>0</v>
      </c>
      <c r="DF21">
        <f t="shared" si="38"/>
        <v>0</v>
      </c>
    </row>
    <row r="22" spans="2:110" x14ac:dyDescent="0.25">
      <c r="B22" s="2">
        <v>98</v>
      </c>
      <c r="C22" t="s">
        <v>16</v>
      </c>
      <c r="D22" t="s">
        <v>439</v>
      </c>
      <c r="E22">
        <v>26.78125</v>
      </c>
      <c r="F22">
        <v>18.041666666666668</v>
      </c>
      <c r="G22">
        <v>2.6145833333333335</v>
      </c>
      <c r="H22" s="2">
        <v>98</v>
      </c>
      <c r="I22" s="8">
        <v>0.75</v>
      </c>
      <c r="J22">
        <v>0.25</v>
      </c>
      <c r="K22">
        <v>3</v>
      </c>
      <c r="L22">
        <v>0.25</v>
      </c>
      <c r="M22">
        <v>0</v>
      </c>
      <c r="N22">
        <v>0</v>
      </c>
      <c r="O22">
        <v>0</v>
      </c>
      <c r="P22">
        <v>2.75</v>
      </c>
      <c r="Q22">
        <v>2.5</v>
      </c>
      <c r="R22">
        <v>0</v>
      </c>
      <c r="S22">
        <v>0</v>
      </c>
      <c r="T22">
        <v>0</v>
      </c>
      <c r="U22">
        <v>0</v>
      </c>
      <c r="V22">
        <v>0</v>
      </c>
      <c r="W22">
        <v>9.5</v>
      </c>
      <c r="X22">
        <v>15.75</v>
      </c>
      <c r="Y22">
        <v>7.25</v>
      </c>
      <c r="Z22">
        <v>15.5</v>
      </c>
      <c r="AA22">
        <v>0</v>
      </c>
      <c r="AB22">
        <v>0.5</v>
      </c>
      <c r="AC22">
        <v>0</v>
      </c>
      <c r="AD22">
        <v>0.25</v>
      </c>
      <c r="AE22">
        <v>0</v>
      </c>
      <c r="AF22">
        <v>0</v>
      </c>
      <c r="AG22">
        <v>2.5</v>
      </c>
      <c r="AH22">
        <v>0</v>
      </c>
      <c r="AI22">
        <v>722.25</v>
      </c>
      <c r="AJ22">
        <v>22.25</v>
      </c>
      <c r="AK22">
        <v>0.25</v>
      </c>
      <c r="AL22">
        <v>0</v>
      </c>
      <c r="AM22">
        <v>7.25</v>
      </c>
      <c r="AN22">
        <v>0.25</v>
      </c>
      <c r="AO22">
        <v>0.5</v>
      </c>
      <c r="AP22">
        <v>0</v>
      </c>
      <c r="AQ22">
        <v>106.75</v>
      </c>
      <c r="AR22">
        <v>2.75</v>
      </c>
      <c r="AS22">
        <v>14.25</v>
      </c>
      <c r="AT22">
        <v>15.25</v>
      </c>
      <c r="AU22">
        <v>3.75</v>
      </c>
      <c r="AV22">
        <v>3.25</v>
      </c>
      <c r="AW22">
        <v>1.5</v>
      </c>
      <c r="AX22">
        <v>0.5</v>
      </c>
      <c r="AY22">
        <v>0</v>
      </c>
      <c r="AZ22">
        <v>0</v>
      </c>
      <c r="BA22">
        <v>0.75</v>
      </c>
      <c r="BB22">
        <v>1.5</v>
      </c>
      <c r="BC22">
        <v>0.75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O22" s="2">
        <v>98</v>
      </c>
      <c r="BP22" t="s">
        <v>16</v>
      </c>
      <c r="BQ22" t="s">
        <v>439</v>
      </c>
      <c r="BR22">
        <v>26.78125</v>
      </c>
      <c r="BS22">
        <v>18.041666666666668</v>
      </c>
      <c r="BT22">
        <v>2.6145833333333335</v>
      </c>
      <c r="BU22" s="2">
        <v>98</v>
      </c>
      <c r="BV22">
        <f t="shared" si="0"/>
        <v>0.75</v>
      </c>
      <c r="BW22">
        <f t="shared" si="1"/>
        <v>0.25</v>
      </c>
      <c r="BX22">
        <f t="shared" si="2"/>
        <v>3.25</v>
      </c>
      <c r="BY22">
        <f t="shared" si="3"/>
        <v>0</v>
      </c>
      <c r="BZ22">
        <f t="shared" si="4"/>
        <v>5.25</v>
      </c>
      <c r="CA22">
        <f t="shared" si="5"/>
        <v>0</v>
      </c>
      <c r="CB22">
        <f t="shared" si="6"/>
        <v>25.25</v>
      </c>
      <c r="CC22">
        <f t="shared" si="7"/>
        <v>22.75</v>
      </c>
      <c r="CD22">
        <f t="shared" si="8"/>
        <v>0.5</v>
      </c>
      <c r="CE22">
        <f t="shared" si="9"/>
        <v>0.25</v>
      </c>
      <c r="CF22">
        <f t="shared" si="10"/>
        <v>2.5</v>
      </c>
      <c r="CG22">
        <f t="shared" si="37"/>
        <v>722.25</v>
      </c>
      <c r="CH22">
        <f t="shared" si="37"/>
        <v>22.25</v>
      </c>
      <c r="CI22">
        <f t="shared" si="37"/>
        <v>0.25</v>
      </c>
      <c r="CJ22">
        <f t="shared" si="37"/>
        <v>0</v>
      </c>
      <c r="CK22">
        <f t="shared" si="37"/>
        <v>7.25</v>
      </c>
      <c r="CL22">
        <f t="shared" si="37"/>
        <v>0.25</v>
      </c>
      <c r="CM22">
        <f t="shared" si="37"/>
        <v>0.5</v>
      </c>
      <c r="CN22">
        <f t="shared" si="37"/>
        <v>0</v>
      </c>
      <c r="CO22">
        <f t="shared" si="37"/>
        <v>106.75</v>
      </c>
      <c r="CP22">
        <f t="shared" si="37"/>
        <v>2.75</v>
      </c>
      <c r="CQ22">
        <f t="shared" si="37"/>
        <v>14.25</v>
      </c>
      <c r="CR22">
        <f t="shared" si="37"/>
        <v>15.25</v>
      </c>
      <c r="CS22">
        <f t="shared" si="23"/>
        <v>8.5</v>
      </c>
      <c r="CT22">
        <f t="shared" si="24"/>
        <v>0.5</v>
      </c>
      <c r="CU22">
        <f t="shared" si="38"/>
        <v>0.75</v>
      </c>
      <c r="CV22">
        <f t="shared" si="38"/>
        <v>1.5</v>
      </c>
      <c r="CW22">
        <f t="shared" si="38"/>
        <v>0.75</v>
      </c>
      <c r="CX22">
        <f t="shared" si="38"/>
        <v>0</v>
      </c>
      <c r="CY22">
        <f t="shared" si="38"/>
        <v>0</v>
      </c>
      <c r="CZ22">
        <f t="shared" si="38"/>
        <v>0</v>
      </c>
      <c r="DA22">
        <f t="shared" si="38"/>
        <v>0</v>
      </c>
      <c r="DB22">
        <f t="shared" si="38"/>
        <v>0</v>
      </c>
      <c r="DC22">
        <f t="shared" si="38"/>
        <v>0</v>
      </c>
      <c r="DD22">
        <f t="shared" si="38"/>
        <v>0</v>
      </c>
      <c r="DE22">
        <f t="shared" si="38"/>
        <v>0</v>
      </c>
      <c r="DF22">
        <f t="shared" si="38"/>
        <v>0</v>
      </c>
    </row>
    <row r="23" spans="2:110" x14ac:dyDescent="0.25">
      <c r="B23" s="2">
        <v>100</v>
      </c>
      <c r="C23" t="s">
        <v>583</v>
      </c>
      <c r="D23" t="s">
        <v>439</v>
      </c>
      <c r="E23">
        <v>27.28125</v>
      </c>
      <c r="F23">
        <v>17.947916666666668</v>
      </c>
      <c r="G23">
        <v>2.65625</v>
      </c>
      <c r="H23" s="2">
        <v>100</v>
      </c>
      <c r="I23" s="8">
        <v>0.25</v>
      </c>
      <c r="J23">
        <v>0</v>
      </c>
      <c r="K23">
        <v>1.5</v>
      </c>
      <c r="L23">
        <v>0.25</v>
      </c>
      <c r="M23">
        <v>0</v>
      </c>
      <c r="N23">
        <v>0.25</v>
      </c>
      <c r="O23">
        <v>0</v>
      </c>
      <c r="P23">
        <v>5</v>
      </c>
      <c r="Q23">
        <v>1.75</v>
      </c>
      <c r="R23">
        <v>0.5</v>
      </c>
      <c r="S23">
        <v>0</v>
      </c>
      <c r="T23">
        <v>0</v>
      </c>
      <c r="U23">
        <v>0</v>
      </c>
      <c r="V23">
        <v>0.75</v>
      </c>
      <c r="W23">
        <v>12</v>
      </c>
      <c r="X23">
        <v>18.75</v>
      </c>
      <c r="Y23">
        <v>0</v>
      </c>
      <c r="Z23">
        <v>4.25</v>
      </c>
      <c r="AA23">
        <v>0</v>
      </c>
      <c r="AB23">
        <v>0.5</v>
      </c>
      <c r="AC23">
        <v>0</v>
      </c>
      <c r="AD23">
        <v>0.5</v>
      </c>
      <c r="AE23">
        <v>0</v>
      </c>
      <c r="AF23">
        <v>0</v>
      </c>
      <c r="AG23">
        <v>1.5</v>
      </c>
      <c r="AH23">
        <v>0</v>
      </c>
      <c r="AI23">
        <v>750.5</v>
      </c>
      <c r="AJ23">
        <v>20.5</v>
      </c>
      <c r="AK23">
        <v>0</v>
      </c>
      <c r="AL23">
        <v>0</v>
      </c>
      <c r="AM23">
        <v>3.5</v>
      </c>
      <c r="AN23">
        <v>0</v>
      </c>
      <c r="AO23">
        <v>2</v>
      </c>
      <c r="AP23">
        <v>0</v>
      </c>
      <c r="AQ23">
        <v>76.75</v>
      </c>
      <c r="AR23">
        <v>3</v>
      </c>
      <c r="AS23">
        <v>16.25</v>
      </c>
      <c r="AT23">
        <v>0</v>
      </c>
      <c r="AU23">
        <v>2</v>
      </c>
      <c r="AV23">
        <v>5.75</v>
      </c>
      <c r="AW23">
        <v>0.5</v>
      </c>
      <c r="AX23">
        <v>1</v>
      </c>
      <c r="AY23">
        <v>0</v>
      </c>
      <c r="AZ23">
        <v>0</v>
      </c>
      <c r="BA23">
        <v>2.5</v>
      </c>
      <c r="BB23">
        <v>0</v>
      </c>
      <c r="BC23">
        <v>2.75</v>
      </c>
      <c r="BD23">
        <v>0</v>
      </c>
      <c r="BE23">
        <v>0</v>
      </c>
      <c r="BF23">
        <v>0</v>
      </c>
      <c r="BG23">
        <v>0.5</v>
      </c>
      <c r="BH23">
        <v>0</v>
      </c>
      <c r="BI23">
        <v>0</v>
      </c>
      <c r="BJ23">
        <v>0</v>
      </c>
      <c r="BK23">
        <v>0</v>
      </c>
      <c r="BL23">
        <v>0</v>
      </c>
      <c r="BO23" s="2">
        <v>100</v>
      </c>
      <c r="BP23" t="s">
        <v>583</v>
      </c>
      <c r="BQ23" t="s">
        <v>439</v>
      </c>
      <c r="BR23">
        <v>27.28125</v>
      </c>
      <c r="BS23">
        <v>17.947916666666668</v>
      </c>
      <c r="BT23">
        <v>2.65625</v>
      </c>
      <c r="BU23" s="2">
        <v>100</v>
      </c>
      <c r="BV23">
        <f t="shared" si="0"/>
        <v>0.25</v>
      </c>
      <c r="BW23">
        <f t="shared" si="1"/>
        <v>0</v>
      </c>
      <c r="BX23">
        <f t="shared" si="2"/>
        <v>2</v>
      </c>
      <c r="BY23">
        <f t="shared" si="3"/>
        <v>0</v>
      </c>
      <c r="BZ23">
        <f t="shared" si="4"/>
        <v>7.25</v>
      </c>
      <c r="CA23">
        <f t="shared" si="5"/>
        <v>0</v>
      </c>
      <c r="CB23">
        <f t="shared" si="6"/>
        <v>31.5</v>
      </c>
      <c r="CC23">
        <f t="shared" si="7"/>
        <v>4.25</v>
      </c>
      <c r="CD23">
        <f t="shared" si="8"/>
        <v>0.5</v>
      </c>
      <c r="CE23">
        <f t="shared" si="9"/>
        <v>0.5</v>
      </c>
      <c r="CF23">
        <f t="shared" si="10"/>
        <v>1.5</v>
      </c>
      <c r="CG23">
        <f t="shared" si="37"/>
        <v>750.5</v>
      </c>
      <c r="CH23">
        <f t="shared" si="37"/>
        <v>20.5</v>
      </c>
      <c r="CI23">
        <f t="shared" si="37"/>
        <v>0</v>
      </c>
      <c r="CJ23">
        <f t="shared" si="37"/>
        <v>0</v>
      </c>
      <c r="CK23">
        <f t="shared" si="37"/>
        <v>3.5</v>
      </c>
      <c r="CL23">
        <f t="shared" si="37"/>
        <v>0</v>
      </c>
      <c r="CM23">
        <f t="shared" si="37"/>
        <v>2</v>
      </c>
      <c r="CN23">
        <f t="shared" si="37"/>
        <v>0</v>
      </c>
      <c r="CO23">
        <f t="shared" si="37"/>
        <v>76.75</v>
      </c>
      <c r="CP23">
        <f t="shared" si="37"/>
        <v>3</v>
      </c>
      <c r="CQ23">
        <f t="shared" si="37"/>
        <v>16.25</v>
      </c>
      <c r="CR23">
        <f t="shared" si="37"/>
        <v>0</v>
      </c>
      <c r="CS23">
        <f t="shared" si="23"/>
        <v>8.25</v>
      </c>
      <c r="CT23">
        <f t="shared" si="24"/>
        <v>1</v>
      </c>
      <c r="CU23">
        <f t="shared" si="38"/>
        <v>2.5</v>
      </c>
      <c r="CV23">
        <f t="shared" si="38"/>
        <v>0</v>
      </c>
      <c r="CW23">
        <f t="shared" si="38"/>
        <v>2.75</v>
      </c>
      <c r="CX23">
        <f t="shared" si="38"/>
        <v>0</v>
      </c>
      <c r="CY23">
        <f t="shared" si="38"/>
        <v>0</v>
      </c>
      <c r="CZ23">
        <f t="shared" si="38"/>
        <v>0</v>
      </c>
      <c r="DA23">
        <f t="shared" si="38"/>
        <v>0.5</v>
      </c>
      <c r="DB23">
        <f t="shared" si="38"/>
        <v>0</v>
      </c>
      <c r="DC23">
        <f t="shared" si="38"/>
        <v>0</v>
      </c>
      <c r="DD23">
        <f t="shared" si="38"/>
        <v>0</v>
      </c>
      <c r="DE23">
        <f t="shared" si="38"/>
        <v>0</v>
      </c>
      <c r="DF23">
        <f t="shared" si="38"/>
        <v>0</v>
      </c>
    </row>
    <row r="24" spans="2:110" x14ac:dyDescent="0.25">
      <c r="B24" s="2">
        <v>122</v>
      </c>
      <c r="C24" t="s">
        <v>0</v>
      </c>
      <c r="D24" t="s">
        <v>439</v>
      </c>
      <c r="E24">
        <v>27.09375</v>
      </c>
      <c r="F24">
        <v>23.59375</v>
      </c>
      <c r="G24">
        <v>2.4270833333333335</v>
      </c>
      <c r="H24" s="2">
        <v>122</v>
      </c>
      <c r="I24" s="8">
        <v>0.25</v>
      </c>
      <c r="J24">
        <v>0</v>
      </c>
      <c r="K24">
        <v>0</v>
      </c>
      <c r="L24">
        <v>0.75</v>
      </c>
      <c r="M24">
        <v>0</v>
      </c>
      <c r="N24">
        <v>0.25</v>
      </c>
      <c r="O24">
        <v>0</v>
      </c>
      <c r="P24">
        <v>3.5</v>
      </c>
      <c r="Q24">
        <v>3.25</v>
      </c>
      <c r="R24">
        <v>0.5</v>
      </c>
      <c r="S24">
        <v>0</v>
      </c>
      <c r="T24">
        <v>0</v>
      </c>
      <c r="U24">
        <v>0</v>
      </c>
      <c r="V24">
        <v>0</v>
      </c>
      <c r="W24">
        <v>11.5</v>
      </c>
      <c r="X24">
        <v>12.5</v>
      </c>
      <c r="Y24">
        <v>23</v>
      </c>
      <c r="Z24">
        <v>1.75</v>
      </c>
      <c r="AA24">
        <v>0</v>
      </c>
      <c r="AB24">
        <v>0</v>
      </c>
      <c r="AC24">
        <v>0.25</v>
      </c>
      <c r="AD24">
        <v>0.75</v>
      </c>
      <c r="AE24">
        <v>0.25</v>
      </c>
      <c r="AF24">
        <v>0</v>
      </c>
      <c r="AG24">
        <v>4.25</v>
      </c>
      <c r="AH24">
        <v>0</v>
      </c>
      <c r="AI24">
        <v>1311.5</v>
      </c>
      <c r="AJ24">
        <v>21.25</v>
      </c>
      <c r="AK24">
        <v>0</v>
      </c>
      <c r="AL24">
        <v>0</v>
      </c>
      <c r="AM24">
        <v>6</v>
      </c>
      <c r="AN24">
        <v>0.75</v>
      </c>
      <c r="AO24">
        <v>4.25</v>
      </c>
      <c r="AP24">
        <v>0</v>
      </c>
      <c r="AQ24">
        <v>198.5</v>
      </c>
      <c r="AR24">
        <v>2</v>
      </c>
      <c r="AS24">
        <v>11.25</v>
      </c>
      <c r="AT24">
        <v>0</v>
      </c>
      <c r="AU24">
        <v>0</v>
      </c>
      <c r="AV24">
        <v>8.25</v>
      </c>
      <c r="AW24">
        <v>1</v>
      </c>
      <c r="AX24">
        <v>0</v>
      </c>
      <c r="AY24">
        <v>0</v>
      </c>
      <c r="AZ24">
        <v>0</v>
      </c>
      <c r="BA24">
        <v>0.75</v>
      </c>
      <c r="BB24">
        <v>0.5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O24" s="2">
        <v>122</v>
      </c>
      <c r="BP24" t="s">
        <v>0</v>
      </c>
      <c r="BQ24" t="s">
        <v>439</v>
      </c>
      <c r="BR24">
        <v>27.09375</v>
      </c>
      <c r="BS24">
        <v>23.59375</v>
      </c>
      <c r="BT24">
        <v>2.4270833333333335</v>
      </c>
      <c r="BU24" s="2">
        <v>122</v>
      </c>
      <c r="BV24">
        <f t="shared" si="0"/>
        <v>0.25</v>
      </c>
      <c r="BW24">
        <f t="shared" si="1"/>
        <v>0</v>
      </c>
      <c r="BX24">
        <f t="shared" si="2"/>
        <v>1</v>
      </c>
      <c r="BY24">
        <f t="shared" si="3"/>
        <v>0</v>
      </c>
      <c r="BZ24">
        <f t="shared" si="4"/>
        <v>7.25</v>
      </c>
      <c r="CA24">
        <f t="shared" si="5"/>
        <v>0</v>
      </c>
      <c r="CB24">
        <f t="shared" si="6"/>
        <v>24</v>
      </c>
      <c r="CC24">
        <f t="shared" si="7"/>
        <v>24.75</v>
      </c>
      <c r="CD24">
        <f t="shared" si="8"/>
        <v>0.25</v>
      </c>
      <c r="CE24">
        <f t="shared" si="9"/>
        <v>1</v>
      </c>
      <c r="CF24">
        <f t="shared" si="10"/>
        <v>4.25</v>
      </c>
      <c r="CG24">
        <f t="shared" si="37"/>
        <v>1311.5</v>
      </c>
      <c r="CH24">
        <f t="shared" si="37"/>
        <v>21.25</v>
      </c>
      <c r="CI24">
        <f t="shared" si="37"/>
        <v>0</v>
      </c>
      <c r="CJ24">
        <f t="shared" si="37"/>
        <v>0</v>
      </c>
      <c r="CK24">
        <f t="shared" si="37"/>
        <v>6</v>
      </c>
      <c r="CL24">
        <f t="shared" si="37"/>
        <v>0.75</v>
      </c>
      <c r="CM24">
        <f t="shared" si="37"/>
        <v>4.25</v>
      </c>
      <c r="CN24">
        <f t="shared" si="37"/>
        <v>0</v>
      </c>
      <c r="CO24">
        <f t="shared" si="37"/>
        <v>198.5</v>
      </c>
      <c r="CP24">
        <f t="shared" si="37"/>
        <v>2</v>
      </c>
      <c r="CQ24">
        <f t="shared" si="37"/>
        <v>11.25</v>
      </c>
      <c r="CR24">
        <f t="shared" si="37"/>
        <v>0</v>
      </c>
      <c r="CS24">
        <f t="shared" si="23"/>
        <v>9.25</v>
      </c>
      <c r="CT24">
        <f t="shared" si="24"/>
        <v>0</v>
      </c>
      <c r="CU24">
        <f t="shared" si="38"/>
        <v>0.75</v>
      </c>
      <c r="CV24">
        <f t="shared" si="38"/>
        <v>0.5</v>
      </c>
      <c r="CW24">
        <f t="shared" si="38"/>
        <v>0</v>
      </c>
      <c r="CX24">
        <f t="shared" si="38"/>
        <v>0</v>
      </c>
      <c r="CY24">
        <f t="shared" si="38"/>
        <v>0</v>
      </c>
      <c r="CZ24">
        <f t="shared" si="38"/>
        <v>0</v>
      </c>
      <c r="DA24">
        <f t="shared" si="38"/>
        <v>0</v>
      </c>
      <c r="DB24">
        <f t="shared" si="38"/>
        <v>0</v>
      </c>
      <c r="DC24">
        <f t="shared" si="38"/>
        <v>0</v>
      </c>
      <c r="DD24">
        <f t="shared" si="38"/>
        <v>0</v>
      </c>
      <c r="DE24">
        <f t="shared" si="38"/>
        <v>0</v>
      </c>
      <c r="DF24">
        <f t="shared" si="38"/>
        <v>0</v>
      </c>
    </row>
    <row r="25" spans="2:110" x14ac:dyDescent="0.25">
      <c r="B25" s="2">
        <v>123</v>
      </c>
      <c r="C25" t="s">
        <v>16</v>
      </c>
      <c r="D25" t="s">
        <v>439</v>
      </c>
      <c r="E25">
        <v>25.538194444444446</v>
      </c>
      <c r="F25">
        <v>20.503472222222225</v>
      </c>
      <c r="G25">
        <v>2.3368055555555554</v>
      </c>
      <c r="H25" s="2">
        <v>123</v>
      </c>
      <c r="I25" s="8">
        <v>1.3333333333333333</v>
      </c>
      <c r="J25">
        <v>0</v>
      </c>
      <c r="K25">
        <v>0</v>
      </c>
      <c r="L25">
        <v>0.25</v>
      </c>
      <c r="M25">
        <v>0</v>
      </c>
      <c r="N25">
        <v>0</v>
      </c>
      <c r="O25">
        <v>0</v>
      </c>
      <c r="P25">
        <v>2.75</v>
      </c>
      <c r="Q25">
        <v>1.6666666666666665</v>
      </c>
      <c r="R25">
        <v>0</v>
      </c>
      <c r="S25">
        <v>0</v>
      </c>
      <c r="T25">
        <v>0</v>
      </c>
      <c r="U25">
        <v>0</v>
      </c>
      <c r="V25">
        <v>0</v>
      </c>
      <c r="W25">
        <v>9.25</v>
      </c>
      <c r="X25">
        <v>17.5</v>
      </c>
      <c r="Y25">
        <v>23.333333333333336</v>
      </c>
      <c r="Z25">
        <v>5.9166666666666661</v>
      </c>
      <c r="AA25">
        <v>0</v>
      </c>
      <c r="AB25">
        <v>0.5</v>
      </c>
      <c r="AC25">
        <v>0</v>
      </c>
      <c r="AD25">
        <v>0.58333333333333326</v>
      </c>
      <c r="AE25">
        <v>0</v>
      </c>
      <c r="AF25">
        <v>1.6666666666666667</v>
      </c>
      <c r="AG25">
        <v>2.3333333333333335</v>
      </c>
      <c r="AH25">
        <v>0</v>
      </c>
      <c r="AI25">
        <v>589.66666666666663</v>
      </c>
      <c r="AJ25">
        <v>31.833333333333332</v>
      </c>
      <c r="AK25">
        <v>0</v>
      </c>
      <c r="AL25">
        <v>0.33333333333333331</v>
      </c>
      <c r="AM25">
        <v>5</v>
      </c>
      <c r="AN25">
        <v>0</v>
      </c>
      <c r="AO25">
        <v>1.9999999999999998</v>
      </c>
      <c r="AP25">
        <v>0</v>
      </c>
      <c r="AQ25">
        <v>53.666666666666664</v>
      </c>
      <c r="AR25">
        <v>5.666666666666667</v>
      </c>
      <c r="AS25">
        <v>14.333333333333332</v>
      </c>
      <c r="AT25">
        <v>0</v>
      </c>
      <c r="AU25">
        <v>0</v>
      </c>
      <c r="AV25">
        <v>5.666666666666667</v>
      </c>
      <c r="AW25">
        <v>0.66666666666666663</v>
      </c>
      <c r="AX25">
        <v>1.6666666666666667</v>
      </c>
      <c r="AY25">
        <v>0</v>
      </c>
      <c r="AZ25">
        <v>0</v>
      </c>
      <c r="BA25">
        <v>1.6666666666666667</v>
      </c>
      <c r="BB25">
        <v>0.66666666666666663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O25" s="2">
        <v>123</v>
      </c>
      <c r="BP25" t="s">
        <v>16</v>
      </c>
      <c r="BQ25" t="s">
        <v>439</v>
      </c>
      <c r="BR25">
        <v>25.538194444444446</v>
      </c>
      <c r="BS25">
        <v>20.503472222222225</v>
      </c>
      <c r="BT25">
        <v>2.3368055555555554</v>
      </c>
      <c r="BU25" s="2">
        <v>123</v>
      </c>
      <c r="BV25">
        <f t="shared" si="0"/>
        <v>1.3333333333333333</v>
      </c>
      <c r="BW25">
        <f t="shared" si="1"/>
        <v>0</v>
      </c>
      <c r="BX25">
        <f t="shared" si="2"/>
        <v>0.25</v>
      </c>
      <c r="BY25">
        <f t="shared" si="3"/>
        <v>0</v>
      </c>
      <c r="BZ25">
        <f t="shared" si="4"/>
        <v>4.4166666666666661</v>
      </c>
      <c r="CA25">
        <f t="shared" si="5"/>
        <v>0</v>
      </c>
      <c r="CB25">
        <f t="shared" si="6"/>
        <v>26.75</v>
      </c>
      <c r="CC25">
        <f t="shared" si="7"/>
        <v>29.25</v>
      </c>
      <c r="CD25">
        <f t="shared" si="8"/>
        <v>0.5</v>
      </c>
      <c r="CE25">
        <f t="shared" si="9"/>
        <v>0.58333333333333326</v>
      </c>
      <c r="CF25">
        <f t="shared" si="10"/>
        <v>4</v>
      </c>
      <c r="CG25">
        <f t="shared" si="37"/>
        <v>589.66666666666663</v>
      </c>
      <c r="CH25">
        <f t="shared" si="37"/>
        <v>31.833333333333332</v>
      </c>
      <c r="CI25">
        <f t="shared" si="37"/>
        <v>0</v>
      </c>
      <c r="CJ25">
        <f t="shared" si="37"/>
        <v>0.33333333333333331</v>
      </c>
      <c r="CK25">
        <f t="shared" si="37"/>
        <v>5</v>
      </c>
      <c r="CL25">
        <f t="shared" si="37"/>
        <v>0</v>
      </c>
      <c r="CM25">
        <f t="shared" si="37"/>
        <v>1.9999999999999998</v>
      </c>
      <c r="CN25">
        <f t="shared" si="37"/>
        <v>0</v>
      </c>
      <c r="CO25">
        <f t="shared" si="37"/>
        <v>53.666666666666664</v>
      </c>
      <c r="CP25">
        <f t="shared" si="37"/>
        <v>5.666666666666667</v>
      </c>
      <c r="CQ25">
        <f t="shared" si="37"/>
        <v>14.333333333333332</v>
      </c>
      <c r="CR25">
        <f t="shared" si="37"/>
        <v>0</v>
      </c>
      <c r="CS25">
        <f t="shared" si="23"/>
        <v>6.3333333333333339</v>
      </c>
      <c r="CT25">
        <f t="shared" si="24"/>
        <v>1.6666666666666667</v>
      </c>
      <c r="CU25">
        <f t="shared" si="38"/>
        <v>1.6666666666666667</v>
      </c>
      <c r="CV25">
        <f t="shared" si="38"/>
        <v>0.66666666666666663</v>
      </c>
      <c r="CW25">
        <f t="shared" si="38"/>
        <v>0</v>
      </c>
      <c r="CX25">
        <f t="shared" si="38"/>
        <v>0</v>
      </c>
      <c r="CY25">
        <f t="shared" si="38"/>
        <v>0</v>
      </c>
      <c r="CZ25">
        <f t="shared" si="38"/>
        <v>0</v>
      </c>
      <c r="DA25">
        <f t="shared" si="38"/>
        <v>0</v>
      </c>
      <c r="DB25">
        <f t="shared" si="38"/>
        <v>0</v>
      </c>
      <c r="DC25">
        <f t="shared" si="38"/>
        <v>0</v>
      </c>
      <c r="DD25">
        <f t="shared" si="38"/>
        <v>0</v>
      </c>
      <c r="DE25">
        <f t="shared" si="38"/>
        <v>0</v>
      </c>
      <c r="DF25">
        <f t="shared" si="38"/>
        <v>0</v>
      </c>
    </row>
    <row r="26" spans="2:110" x14ac:dyDescent="0.25">
      <c r="B26" s="2">
        <v>126</v>
      </c>
      <c r="C26" t="s">
        <v>583</v>
      </c>
      <c r="D26" t="s">
        <v>439</v>
      </c>
      <c r="E26">
        <v>23.645833333333332</v>
      </c>
      <c r="F26">
        <v>23.65625</v>
      </c>
      <c r="G26">
        <v>2.375</v>
      </c>
      <c r="H26" s="2">
        <v>126</v>
      </c>
      <c r="I26" s="8">
        <v>2</v>
      </c>
      <c r="J26">
        <v>0.25</v>
      </c>
      <c r="K26">
        <v>0</v>
      </c>
      <c r="L26">
        <v>0.5</v>
      </c>
      <c r="M26">
        <v>0</v>
      </c>
      <c r="N26">
        <v>0.25</v>
      </c>
      <c r="O26">
        <v>0</v>
      </c>
      <c r="P26">
        <v>3.75</v>
      </c>
      <c r="Q26">
        <v>3.75</v>
      </c>
      <c r="R26">
        <v>0</v>
      </c>
      <c r="S26">
        <v>0</v>
      </c>
      <c r="T26">
        <v>0</v>
      </c>
      <c r="U26">
        <v>0</v>
      </c>
      <c r="V26">
        <v>0</v>
      </c>
      <c r="W26">
        <v>10.5</v>
      </c>
      <c r="X26">
        <v>14.5</v>
      </c>
      <c r="Y26">
        <v>2.5</v>
      </c>
      <c r="Z26">
        <v>7</v>
      </c>
      <c r="AA26">
        <v>0</v>
      </c>
      <c r="AB26">
        <v>0.25</v>
      </c>
      <c r="AC26">
        <v>0</v>
      </c>
      <c r="AD26">
        <v>0.5</v>
      </c>
      <c r="AE26">
        <v>0.5</v>
      </c>
      <c r="AF26">
        <v>0</v>
      </c>
      <c r="AG26">
        <v>2.75</v>
      </c>
      <c r="AH26">
        <v>0</v>
      </c>
      <c r="AI26">
        <v>252.5</v>
      </c>
      <c r="AJ26">
        <v>22</v>
      </c>
      <c r="AK26">
        <v>0</v>
      </c>
      <c r="AL26">
        <v>0.5</v>
      </c>
      <c r="AM26">
        <v>6.5</v>
      </c>
      <c r="AN26">
        <v>0</v>
      </c>
      <c r="AO26">
        <v>0</v>
      </c>
      <c r="AP26">
        <v>0</v>
      </c>
      <c r="AQ26">
        <v>47.25</v>
      </c>
      <c r="AR26">
        <v>4.25</v>
      </c>
      <c r="AS26">
        <v>13.25</v>
      </c>
      <c r="AT26">
        <v>0</v>
      </c>
      <c r="AU26">
        <v>4</v>
      </c>
      <c r="AV26">
        <v>3.25</v>
      </c>
      <c r="AW26">
        <v>1.5</v>
      </c>
      <c r="AX26">
        <v>0.75</v>
      </c>
      <c r="AY26">
        <v>0</v>
      </c>
      <c r="AZ26">
        <v>0</v>
      </c>
      <c r="BA26">
        <v>2.25</v>
      </c>
      <c r="BB26">
        <v>0.25</v>
      </c>
      <c r="BC26">
        <v>0.25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0.5</v>
      </c>
      <c r="BJ26">
        <v>0</v>
      </c>
      <c r="BK26">
        <v>0.25</v>
      </c>
      <c r="BL26">
        <v>0</v>
      </c>
      <c r="BO26" s="2">
        <v>126</v>
      </c>
      <c r="BP26" t="s">
        <v>583</v>
      </c>
      <c r="BQ26" t="s">
        <v>439</v>
      </c>
      <c r="BR26">
        <v>23.645833333333332</v>
      </c>
      <c r="BS26">
        <v>23.65625</v>
      </c>
      <c r="BT26">
        <v>2.375</v>
      </c>
      <c r="BU26" s="2">
        <v>126</v>
      </c>
      <c r="BV26">
        <f t="shared" si="0"/>
        <v>2</v>
      </c>
      <c r="BW26">
        <f t="shared" si="1"/>
        <v>0.25</v>
      </c>
      <c r="BX26">
        <f t="shared" si="2"/>
        <v>0.75</v>
      </c>
      <c r="BY26">
        <f t="shared" si="3"/>
        <v>0</v>
      </c>
      <c r="BZ26">
        <f t="shared" si="4"/>
        <v>7.5</v>
      </c>
      <c r="CA26">
        <f t="shared" si="5"/>
        <v>0</v>
      </c>
      <c r="CB26">
        <f t="shared" si="6"/>
        <v>25</v>
      </c>
      <c r="CC26">
        <f t="shared" si="7"/>
        <v>9.5</v>
      </c>
      <c r="CD26">
        <f t="shared" si="8"/>
        <v>0.25</v>
      </c>
      <c r="CE26">
        <f t="shared" si="9"/>
        <v>1</v>
      </c>
      <c r="CF26">
        <f t="shared" si="10"/>
        <v>2.75</v>
      </c>
      <c r="CG26">
        <f t="shared" si="37"/>
        <v>252.5</v>
      </c>
      <c r="CH26">
        <f t="shared" si="37"/>
        <v>22</v>
      </c>
      <c r="CI26">
        <f t="shared" si="37"/>
        <v>0</v>
      </c>
      <c r="CJ26">
        <f t="shared" si="37"/>
        <v>0.5</v>
      </c>
      <c r="CK26">
        <f t="shared" si="37"/>
        <v>6.5</v>
      </c>
      <c r="CL26">
        <f t="shared" si="37"/>
        <v>0</v>
      </c>
      <c r="CM26">
        <f t="shared" si="37"/>
        <v>0</v>
      </c>
      <c r="CN26">
        <f t="shared" si="37"/>
        <v>0</v>
      </c>
      <c r="CO26">
        <f t="shared" si="37"/>
        <v>47.25</v>
      </c>
      <c r="CP26">
        <f t="shared" si="37"/>
        <v>4.25</v>
      </c>
      <c r="CQ26">
        <f t="shared" si="37"/>
        <v>13.25</v>
      </c>
      <c r="CR26">
        <f t="shared" si="37"/>
        <v>0</v>
      </c>
      <c r="CS26">
        <f t="shared" si="23"/>
        <v>8.75</v>
      </c>
      <c r="CT26">
        <f t="shared" si="24"/>
        <v>0.75</v>
      </c>
      <c r="CU26">
        <f t="shared" si="38"/>
        <v>2.25</v>
      </c>
      <c r="CV26">
        <f t="shared" si="38"/>
        <v>0.25</v>
      </c>
      <c r="CW26">
        <f t="shared" si="38"/>
        <v>0.25</v>
      </c>
      <c r="CX26">
        <f t="shared" si="38"/>
        <v>0</v>
      </c>
      <c r="CY26">
        <f t="shared" si="38"/>
        <v>0</v>
      </c>
      <c r="CZ26">
        <f t="shared" si="38"/>
        <v>0</v>
      </c>
      <c r="DA26">
        <f t="shared" si="38"/>
        <v>0</v>
      </c>
      <c r="DB26">
        <f t="shared" si="38"/>
        <v>0</v>
      </c>
      <c r="DC26">
        <f t="shared" si="38"/>
        <v>0.5</v>
      </c>
      <c r="DD26">
        <f t="shared" si="38"/>
        <v>0</v>
      </c>
      <c r="DE26">
        <f t="shared" si="38"/>
        <v>0.25</v>
      </c>
      <c r="DF26">
        <f t="shared" si="38"/>
        <v>0</v>
      </c>
    </row>
    <row r="27" spans="2:110" x14ac:dyDescent="0.25">
      <c r="B27" s="2">
        <v>141</v>
      </c>
      <c r="C27" t="s">
        <v>0</v>
      </c>
      <c r="D27" t="s">
        <v>439</v>
      </c>
      <c r="E27">
        <v>20.243055555555557</v>
      </c>
      <c r="F27">
        <v>15.670138888888888</v>
      </c>
      <c r="G27">
        <v>3.7569444444444442</v>
      </c>
      <c r="H27" s="2">
        <v>141</v>
      </c>
      <c r="I27" s="8">
        <v>1</v>
      </c>
      <c r="J27">
        <v>0</v>
      </c>
      <c r="K27">
        <v>0</v>
      </c>
      <c r="L27">
        <v>0.5</v>
      </c>
      <c r="M27">
        <v>0</v>
      </c>
      <c r="N27">
        <v>0</v>
      </c>
      <c r="O27">
        <v>0</v>
      </c>
      <c r="P27">
        <v>4.083333333333333</v>
      </c>
      <c r="Q27">
        <v>3.1666666666666665</v>
      </c>
      <c r="R27">
        <v>0</v>
      </c>
      <c r="S27">
        <v>0</v>
      </c>
      <c r="T27">
        <v>0</v>
      </c>
      <c r="U27">
        <v>0</v>
      </c>
      <c r="V27">
        <v>0</v>
      </c>
      <c r="W27">
        <v>3.25</v>
      </c>
      <c r="X27">
        <v>2.5</v>
      </c>
      <c r="Y27">
        <v>24</v>
      </c>
      <c r="Z27">
        <v>6.75</v>
      </c>
      <c r="AA27">
        <v>0</v>
      </c>
      <c r="AB27">
        <v>0.5</v>
      </c>
      <c r="AC27">
        <v>0</v>
      </c>
      <c r="AD27">
        <v>0.25</v>
      </c>
      <c r="AE27">
        <v>0</v>
      </c>
      <c r="AF27">
        <v>0</v>
      </c>
      <c r="AG27">
        <v>0.66666666666666663</v>
      </c>
      <c r="AH27">
        <v>0</v>
      </c>
      <c r="AI27">
        <v>329.41666666666663</v>
      </c>
      <c r="AJ27">
        <v>7.75</v>
      </c>
      <c r="AK27">
        <v>0</v>
      </c>
      <c r="AL27">
        <v>0</v>
      </c>
      <c r="AM27">
        <v>4.4166666666666661</v>
      </c>
      <c r="AN27">
        <v>0</v>
      </c>
      <c r="AO27">
        <v>0</v>
      </c>
      <c r="AP27">
        <v>0</v>
      </c>
      <c r="AQ27">
        <v>86.833333333333329</v>
      </c>
      <c r="AR27">
        <v>0.5</v>
      </c>
      <c r="AS27">
        <v>2.25</v>
      </c>
      <c r="AT27">
        <v>0</v>
      </c>
      <c r="AU27">
        <v>2.9166666666666665</v>
      </c>
      <c r="AV27">
        <v>1.9166666666666665</v>
      </c>
      <c r="AW27">
        <v>0.25</v>
      </c>
      <c r="AX27">
        <v>0.91666666666666663</v>
      </c>
      <c r="AY27">
        <v>0.25</v>
      </c>
      <c r="AZ27">
        <v>0</v>
      </c>
      <c r="BA27">
        <v>0.25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0.25</v>
      </c>
      <c r="BJ27">
        <v>0</v>
      </c>
      <c r="BK27">
        <v>0</v>
      </c>
      <c r="BL27">
        <v>0</v>
      </c>
      <c r="BO27" s="2">
        <v>141</v>
      </c>
      <c r="BP27" t="s">
        <v>0</v>
      </c>
      <c r="BQ27" t="s">
        <v>439</v>
      </c>
      <c r="BR27">
        <v>20.243055555555557</v>
      </c>
      <c r="BS27">
        <v>15.670138888888888</v>
      </c>
      <c r="BT27">
        <v>3.7569444444444442</v>
      </c>
      <c r="BU27" s="2">
        <v>141</v>
      </c>
      <c r="BV27">
        <f t="shared" si="0"/>
        <v>1</v>
      </c>
      <c r="BW27">
        <f t="shared" si="1"/>
        <v>0</v>
      </c>
      <c r="BX27">
        <f t="shared" si="2"/>
        <v>0.5</v>
      </c>
      <c r="BY27">
        <f t="shared" si="3"/>
        <v>0</v>
      </c>
      <c r="BZ27">
        <f t="shared" si="4"/>
        <v>7.25</v>
      </c>
      <c r="CA27">
        <f t="shared" si="5"/>
        <v>0</v>
      </c>
      <c r="CB27">
        <f t="shared" si="6"/>
        <v>5.75</v>
      </c>
      <c r="CC27">
        <f t="shared" si="7"/>
        <v>30.75</v>
      </c>
      <c r="CD27">
        <f t="shared" si="8"/>
        <v>0.5</v>
      </c>
      <c r="CE27">
        <f t="shared" si="9"/>
        <v>0.25</v>
      </c>
      <c r="CF27">
        <f t="shared" si="10"/>
        <v>0.66666666666666663</v>
      </c>
      <c r="CG27">
        <f t="shared" si="37"/>
        <v>329.41666666666663</v>
      </c>
      <c r="CH27">
        <f t="shared" si="37"/>
        <v>7.75</v>
      </c>
      <c r="CI27">
        <f t="shared" si="37"/>
        <v>0</v>
      </c>
      <c r="CJ27">
        <f t="shared" si="37"/>
        <v>0</v>
      </c>
      <c r="CK27">
        <f t="shared" si="37"/>
        <v>4.4166666666666661</v>
      </c>
      <c r="CL27">
        <f t="shared" si="37"/>
        <v>0</v>
      </c>
      <c r="CM27">
        <f t="shared" si="37"/>
        <v>0</v>
      </c>
      <c r="CN27">
        <f t="shared" si="37"/>
        <v>0</v>
      </c>
      <c r="CO27">
        <f t="shared" si="37"/>
        <v>86.833333333333329</v>
      </c>
      <c r="CP27">
        <f t="shared" si="37"/>
        <v>0.5</v>
      </c>
      <c r="CQ27">
        <f t="shared" si="37"/>
        <v>2.25</v>
      </c>
      <c r="CR27">
        <f t="shared" si="37"/>
        <v>0</v>
      </c>
      <c r="CS27">
        <f t="shared" si="23"/>
        <v>5.083333333333333</v>
      </c>
      <c r="CT27">
        <f t="shared" si="24"/>
        <v>1.1666666666666665</v>
      </c>
      <c r="CU27">
        <f t="shared" si="38"/>
        <v>0.25</v>
      </c>
      <c r="CV27">
        <f t="shared" si="38"/>
        <v>0</v>
      </c>
      <c r="CW27">
        <f t="shared" si="38"/>
        <v>0</v>
      </c>
      <c r="CX27">
        <f t="shared" si="38"/>
        <v>0</v>
      </c>
      <c r="CY27">
        <f t="shared" si="38"/>
        <v>0</v>
      </c>
      <c r="CZ27">
        <f t="shared" si="38"/>
        <v>0</v>
      </c>
      <c r="DA27">
        <f t="shared" si="38"/>
        <v>0</v>
      </c>
      <c r="DB27">
        <f t="shared" si="38"/>
        <v>0</v>
      </c>
      <c r="DC27">
        <f t="shared" si="38"/>
        <v>0.25</v>
      </c>
      <c r="DD27">
        <f t="shared" si="38"/>
        <v>0</v>
      </c>
      <c r="DE27">
        <f t="shared" si="38"/>
        <v>0</v>
      </c>
      <c r="DF27">
        <f t="shared" si="38"/>
        <v>0</v>
      </c>
    </row>
    <row r="28" spans="2:110" x14ac:dyDescent="0.25">
      <c r="B28" s="2">
        <v>142</v>
      </c>
      <c r="C28" t="s">
        <v>0</v>
      </c>
      <c r="D28" t="s">
        <v>439</v>
      </c>
      <c r="E28">
        <v>21.5</v>
      </c>
      <c r="F28">
        <v>16.552083333333332</v>
      </c>
      <c r="G28">
        <v>4.260416666666667</v>
      </c>
      <c r="H28" s="2">
        <v>142</v>
      </c>
      <c r="I28" s="8">
        <v>0.5</v>
      </c>
      <c r="J28">
        <v>0</v>
      </c>
      <c r="K28">
        <v>0</v>
      </c>
      <c r="L28">
        <v>0</v>
      </c>
      <c r="M28">
        <v>0</v>
      </c>
      <c r="N28">
        <v>0.5</v>
      </c>
      <c r="O28">
        <v>0</v>
      </c>
      <c r="P28">
        <v>5.75</v>
      </c>
      <c r="Q28">
        <v>4.75</v>
      </c>
      <c r="R28">
        <v>0.25</v>
      </c>
      <c r="S28">
        <v>0</v>
      </c>
      <c r="T28">
        <v>0</v>
      </c>
      <c r="U28">
        <v>0</v>
      </c>
      <c r="V28">
        <v>0.5</v>
      </c>
      <c r="W28">
        <v>6.25</v>
      </c>
      <c r="X28">
        <v>2.5</v>
      </c>
      <c r="Y28">
        <v>0</v>
      </c>
      <c r="Z28">
        <v>1.5</v>
      </c>
      <c r="AA28">
        <v>0</v>
      </c>
      <c r="AB28">
        <v>0.25</v>
      </c>
      <c r="AC28">
        <v>0</v>
      </c>
      <c r="AD28">
        <v>0</v>
      </c>
      <c r="AE28">
        <v>0</v>
      </c>
      <c r="AF28">
        <v>0</v>
      </c>
      <c r="AG28">
        <v>4.75</v>
      </c>
      <c r="AH28">
        <v>0</v>
      </c>
      <c r="AI28">
        <v>346</v>
      </c>
      <c r="AJ28">
        <v>19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42</v>
      </c>
      <c r="AR28">
        <v>1.75</v>
      </c>
      <c r="AS28">
        <v>1.75</v>
      </c>
      <c r="AT28">
        <v>0</v>
      </c>
      <c r="AU28">
        <v>1</v>
      </c>
      <c r="AV28">
        <v>4.75</v>
      </c>
      <c r="AW28">
        <v>0.5</v>
      </c>
      <c r="AX28">
        <v>0</v>
      </c>
      <c r="AY28">
        <v>0</v>
      </c>
      <c r="AZ28">
        <v>0.25</v>
      </c>
      <c r="BA28">
        <v>0.25</v>
      </c>
      <c r="BB28">
        <v>0</v>
      </c>
      <c r="BC28">
        <v>0</v>
      </c>
      <c r="BD28">
        <v>1.25</v>
      </c>
      <c r="BE28">
        <v>0</v>
      </c>
      <c r="BF28">
        <v>0</v>
      </c>
      <c r="BG28">
        <v>0</v>
      </c>
      <c r="BH28">
        <v>0</v>
      </c>
      <c r="BI28">
        <v>0.5</v>
      </c>
      <c r="BJ28">
        <v>0</v>
      </c>
      <c r="BK28">
        <v>0</v>
      </c>
      <c r="BL28">
        <v>0</v>
      </c>
      <c r="BO28" s="2">
        <v>142</v>
      </c>
      <c r="BP28" t="s">
        <v>0</v>
      </c>
      <c r="BQ28" t="s">
        <v>439</v>
      </c>
      <c r="BR28">
        <v>21.5</v>
      </c>
      <c r="BS28">
        <v>16.552083333333332</v>
      </c>
      <c r="BT28">
        <v>4.260416666666667</v>
      </c>
      <c r="BU28" s="2">
        <v>142</v>
      </c>
      <c r="BV28">
        <f t="shared" si="0"/>
        <v>0.5</v>
      </c>
      <c r="BW28">
        <f t="shared" si="1"/>
        <v>0</v>
      </c>
      <c r="BX28">
        <f t="shared" si="2"/>
        <v>0.5</v>
      </c>
      <c r="BY28">
        <f t="shared" si="3"/>
        <v>0</v>
      </c>
      <c r="BZ28">
        <f t="shared" si="4"/>
        <v>10.75</v>
      </c>
      <c r="CA28">
        <f t="shared" si="5"/>
        <v>0</v>
      </c>
      <c r="CB28">
        <f t="shared" si="6"/>
        <v>9.25</v>
      </c>
      <c r="CC28">
        <f t="shared" si="7"/>
        <v>1.5</v>
      </c>
      <c r="CD28">
        <f t="shared" si="8"/>
        <v>0.25</v>
      </c>
      <c r="CE28">
        <f t="shared" si="9"/>
        <v>0</v>
      </c>
      <c r="CF28">
        <f t="shared" si="10"/>
        <v>4.75</v>
      </c>
      <c r="CG28">
        <f t="shared" si="37"/>
        <v>346</v>
      </c>
      <c r="CH28">
        <f t="shared" si="37"/>
        <v>19</v>
      </c>
      <c r="CI28">
        <f t="shared" si="37"/>
        <v>0</v>
      </c>
      <c r="CJ28">
        <f t="shared" si="37"/>
        <v>0</v>
      </c>
      <c r="CK28">
        <f t="shared" si="37"/>
        <v>2</v>
      </c>
      <c r="CL28">
        <f t="shared" si="37"/>
        <v>0</v>
      </c>
      <c r="CM28">
        <f t="shared" si="37"/>
        <v>0</v>
      </c>
      <c r="CN28">
        <f t="shared" si="37"/>
        <v>0</v>
      </c>
      <c r="CO28">
        <f t="shared" si="37"/>
        <v>42</v>
      </c>
      <c r="CP28">
        <f t="shared" si="37"/>
        <v>1.75</v>
      </c>
      <c r="CQ28">
        <f t="shared" si="37"/>
        <v>1.75</v>
      </c>
      <c r="CR28">
        <f t="shared" si="37"/>
        <v>0</v>
      </c>
      <c r="CS28">
        <f t="shared" si="23"/>
        <v>6.25</v>
      </c>
      <c r="CT28">
        <f t="shared" si="24"/>
        <v>0.25</v>
      </c>
      <c r="CU28">
        <f t="shared" si="38"/>
        <v>0.25</v>
      </c>
      <c r="CV28">
        <f t="shared" si="38"/>
        <v>0</v>
      </c>
      <c r="CW28">
        <f t="shared" si="38"/>
        <v>0</v>
      </c>
      <c r="CX28">
        <f t="shared" si="38"/>
        <v>1.25</v>
      </c>
      <c r="CY28">
        <f t="shared" si="38"/>
        <v>0</v>
      </c>
      <c r="CZ28">
        <f t="shared" si="38"/>
        <v>0</v>
      </c>
      <c r="DA28">
        <f t="shared" si="38"/>
        <v>0</v>
      </c>
      <c r="DB28">
        <f t="shared" si="38"/>
        <v>0</v>
      </c>
      <c r="DC28">
        <f t="shared" si="38"/>
        <v>0.5</v>
      </c>
      <c r="DD28">
        <f t="shared" si="38"/>
        <v>0</v>
      </c>
      <c r="DE28">
        <f t="shared" si="38"/>
        <v>0</v>
      </c>
      <c r="DF28">
        <f t="shared" si="38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Q77"/>
  <sheetViews>
    <sheetView workbookViewId="0">
      <selection activeCell="F80" sqref="F80"/>
    </sheetView>
  </sheetViews>
  <sheetFormatPr defaultRowHeight="15" x14ac:dyDescent="0.25"/>
  <cols>
    <col min="231" max="275" width="12" customWidth="1"/>
  </cols>
  <sheetData>
    <row r="1" spans="1:277" x14ac:dyDescent="0.25">
      <c r="A1" s="51" t="s">
        <v>198</v>
      </c>
      <c r="E1" s="52" t="s">
        <v>199</v>
      </c>
      <c r="J1" s="53" t="s">
        <v>200</v>
      </c>
      <c r="EP1" s="54"/>
      <c r="HW1" s="55"/>
    </row>
    <row r="2" spans="1:277" x14ac:dyDescent="0.25">
      <c r="A2" s="55"/>
      <c r="J2" s="55" t="s">
        <v>201</v>
      </c>
      <c r="EP2" s="54"/>
    </row>
    <row r="3" spans="1:277" x14ac:dyDescent="0.25">
      <c r="I3" s="51" t="s">
        <v>202</v>
      </c>
      <c r="EP3" s="54" t="s">
        <v>203</v>
      </c>
      <c r="HO3" s="56" t="s">
        <v>204</v>
      </c>
    </row>
    <row r="4" spans="1:277" x14ac:dyDescent="0.25">
      <c r="B4" s="55" t="s">
        <v>205</v>
      </c>
      <c r="I4" s="55" t="s">
        <v>206</v>
      </c>
      <c r="J4" s="11"/>
      <c r="K4" s="11"/>
      <c r="L4" s="11"/>
      <c r="M4" s="11"/>
      <c r="N4" s="11"/>
      <c r="EP4" s="57" t="s">
        <v>205</v>
      </c>
      <c r="EX4" s="51" t="s">
        <v>207</v>
      </c>
      <c r="HO4" s="58" t="s">
        <v>205</v>
      </c>
      <c r="HV4" s="55" t="s">
        <v>206</v>
      </c>
      <c r="HW4" s="59" t="s">
        <v>208</v>
      </c>
      <c r="HX4" s="59" t="s">
        <v>208</v>
      </c>
      <c r="HY4" s="60" t="s">
        <v>209</v>
      </c>
      <c r="HZ4" s="59" t="s">
        <v>208</v>
      </c>
      <c r="IA4" s="59" t="s">
        <v>208</v>
      </c>
      <c r="IB4" s="60" t="s">
        <v>209</v>
      </c>
      <c r="IC4" s="59" t="s">
        <v>208</v>
      </c>
      <c r="ID4" s="1" t="s">
        <v>210</v>
      </c>
      <c r="IE4" s="59" t="s">
        <v>208</v>
      </c>
      <c r="IF4" s="59" t="s">
        <v>208</v>
      </c>
      <c r="IG4" s="59" t="s">
        <v>208</v>
      </c>
      <c r="IH4" s="61" t="s">
        <v>211</v>
      </c>
      <c r="II4" s="59" t="s">
        <v>208</v>
      </c>
      <c r="IJ4" s="61" t="s">
        <v>211</v>
      </c>
      <c r="IK4" s="59" t="s">
        <v>208</v>
      </c>
      <c r="IL4" s="59" t="s">
        <v>208</v>
      </c>
      <c r="IM4" s="59" t="s">
        <v>208</v>
      </c>
      <c r="IN4" s="59" t="s">
        <v>208</v>
      </c>
      <c r="IO4" s="59" t="s">
        <v>208</v>
      </c>
      <c r="IP4" s="61" t="s">
        <v>211</v>
      </c>
      <c r="IQ4" s="59" t="s">
        <v>208</v>
      </c>
      <c r="IR4" s="61" t="s">
        <v>211</v>
      </c>
      <c r="IS4" s="59" t="s">
        <v>208</v>
      </c>
      <c r="IT4" s="61" t="s">
        <v>211</v>
      </c>
      <c r="IU4" s="59" t="s">
        <v>208</v>
      </c>
      <c r="IV4" s="60" t="s">
        <v>209</v>
      </c>
      <c r="IW4" s="59" t="s">
        <v>208</v>
      </c>
      <c r="IX4" s="59" t="s">
        <v>208</v>
      </c>
      <c r="IY4" s="60" t="s">
        <v>209</v>
      </c>
      <c r="IZ4" s="60" t="s">
        <v>209</v>
      </c>
      <c r="JA4" s="60" t="s">
        <v>209</v>
      </c>
      <c r="JB4" s="60" t="s">
        <v>209</v>
      </c>
      <c r="JC4" s="59" t="s">
        <v>208</v>
      </c>
      <c r="JD4" s="59" t="s">
        <v>208</v>
      </c>
      <c r="JE4" s="55" t="s">
        <v>210</v>
      </c>
      <c r="JF4" s="59" t="s">
        <v>208</v>
      </c>
      <c r="JG4" s="59" t="s">
        <v>208</v>
      </c>
      <c r="JH4" s="59" t="s">
        <v>208</v>
      </c>
      <c r="JI4" s="61" t="s">
        <v>211</v>
      </c>
      <c r="JJ4" s="61" t="s">
        <v>211</v>
      </c>
      <c r="JK4" s="61" t="s">
        <v>211</v>
      </c>
      <c r="JL4" s="61" t="s">
        <v>211</v>
      </c>
      <c r="JM4" s="61" t="s">
        <v>211</v>
      </c>
      <c r="JN4" s="61" t="s">
        <v>211</v>
      </c>
      <c r="JO4" s="59" t="s">
        <v>208</v>
      </c>
    </row>
    <row r="5" spans="1:277" ht="75" x14ac:dyDescent="0.25">
      <c r="B5" s="62" t="s">
        <v>212</v>
      </c>
      <c r="C5" s="63" t="s">
        <v>213</v>
      </c>
      <c r="D5" s="63" t="s">
        <v>214</v>
      </c>
      <c r="E5" s="63" t="s">
        <v>215</v>
      </c>
      <c r="F5" s="63" t="s">
        <v>216</v>
      </c>
      <c r="G5" s="63" t="s">
        <v>217</v>
      </c>
      <c r="H5" s="63" t="s">
        <v>218</v>
      </c>
      <c r="I5" s="62" t="s">
        <v>212</v>
      </c>
      <c r="J5" s="63" t="s">
        <v>219</v>
      </c>
      <c r="K5" s="63" t="s">
        <v>220</v>
      </c>
      <c r="L5" s="63" t="s">
        <v>221</v>
      </c>
      <c r="M5" s="63" t="s">
        <v>222</v>
      </c>
      <c r="N5" s="63" t="s">
        <v>223</v>
      </c>
      <c r="O5" s="63" t="s">
        <v>224</v>
      </c>
      <c r="P5" s="63" t="s">
        <v>225</v>
      </c>
      <c r="Q5" s="63" t="s">
        <v>226</v>
      </c>
      <c r="R5" s="63" t="s">
        <v>227</v>
      </c>
      <c r="S5" s="63" t="s">
        <v>228</v>
      </c>
      <c r="T5" s="63" t="s">
        <v>229</v>
      </c>
      <c r="U5" s="63" t="s">
        <v>230</v>
      </c>
      <c r="V5" s="63" t="s">
        <v>231</v>
      </c>
      <c r="W5" s="63" t="s">
        <v>232</v>
      </c>
      <c r="X5" s="63" t="s">
        <v>233</v>
      </c>
      <c r="Y5" s="63" t="s">
        <v>234</v>
      </c>
      <c r="Z5" s="63" t="s">
        <v>235</v>
      </c>
      <c r="AA5" s="63" t="s">
        <v>236</v>
      </c>
      <c r="AB5" s="63" t="s">
        <v>237</v>
      </c>
      <c r="AC5" s="63" t="s">
        <v>238</v>
      </c>
      <c r="AD5" s="63" t="s">
        <v>239</v>
      </c>
      <c r="AE5" s="63" t="s">
        <v>240</v>
      </c>
      <c r="AF5" s="63" t="s">
        <v>241</v>
      </c>
      <c r="AG5" s="63" t="s">
        <v>242</v>
      </c>
      <c r="AH5" s="63" t="s">
        <v>243</v>
      </c>
      <c r="AI5" s="63" t="s">
        <v>244</v>
      </c>
      <c r="AJ5" s="63" t="s">
        <v>245</v>
      </c>
      <c r="AK5" s="63" t="s">
        <v>246</v>
      </c>
      <c r="AL5" s="63" t="s">
        <v>247</v>
      </c>
      <c r="AM5" s="63" t="s">
        <v>248</v>
      </c>
      <c r="AN5" s="63" t="s">
        <v>249</v>
      </c>
      <c r="AO5" s="63" t="s">
        <v>250</v>
      </c>
      <c r="AP5" s="63" t="s">
        <v>251</v>
      </c>
      <c r="AQ5" s="63" t="s">
        <v>252</v>
      </c>
      <c r="AR5" s="63" t="s">
        <v>253</v>
      </c>
      <c r="AS5" s="63" t="s">
        <v>254</v>
      </c>
      <c r="AT5" s="63" t="s">
        <v>255</v>
      </c>
      <c r="AU5" s="63" t="s">
        <v>256</v>
      </c>
      <c r="AV5" s="63" t="s">
        <v>257</v>
      </c>
      <c r="AW5" s="63" t="s">
        <v>258</v>
      </c>
      <c r="AX5" s="63" t="s">
        <v>259</v>
      </c>
      <c r="AY5" s="63" t="s">
        <v>260</v>
      </c>
      <c r="AZ5" s="63" t="s">
        <v>261</v>
      </c>
      <c r="BA5" s="63" t="s">
        <v>262</v>
      </c>
      <c r="BB5" s="63" t="s">
        <v>263</v>
      </c>
      <c r="BC5" s="63" t="s">
        <v>264</v>
      </c>
      <c r="BD5" s="63" t="s">
        <v>265</v>
      </c>
      <c r="BE5" s="63" t="s">
        <v>266</v>
      </c>
      <c r="BF5" s="63" t="s">
        <v>267</v>
      </c>
      <c r="BG5" s="63" t="s">
        <v>268</v>
      </c>
      <c r="BH5" s="63" t="s">
        <v>269</v>
      </c>
      <c r="BI5" s="63" t="s">
        <v>270</v>
      </c>
      <c r="BJ5" s="63" t="s">
        <v>271</v>
      </c>
      <c r="BK5" s="63" t="s">
        <v>272</v>
      </c>
      <c r="BL5" s="63" t="s">
        <v>273</v>
      </c>
      <c r="BM5" s="63" t="s">
        <v>274</v>
      </c>
      <c r="BN5" s="63" t="s">
        <v>275</v>
      </c>
      <c r="BO5" s="63" t="s">
        <v>276</v>
      </c>
      <c r="BP5" s="63" t="s">
        <v>277</v>
      </c>
      <c r="BQ5" s="63" t="s">
        <v>278</v>
      </c>
      <c r="BR5" s="63" t="s">
        <v>279</v>
      </c>
      <c r="BS5" s="63" t="s">
        <v>280</v>
      </c>
      <c r="BT5" s="63" t="s">
        <v>281</v>
      </c>
      <c r="BU5" s="63" t="s">
        <v>282</v>
      </c>
      <c r="BV5" s="63" t="s">
        <v>283</v>
      </c>
      <c r="BW5" s="63" t="s">
        <v>284</v>
      </c>
      <c r="BX5" s="63" t="s">
        <v>285</v>
      </c>
      <c r="BY5" s="63" t="s">
        <v>286</v>
      </c>
      <c r="BZ5" s="63" t="s">
        <v>287</v>
      </c>
      <c r="CA5" s="63" t="s">
        <v>288</v>
      </c>
      <c r="CB5" s="63" t="s">
        <v>289</v>
      </c>
      <c r="CC5" s="63" t="s">
        <v>290</v>
      </c>
      <c r="CD5" s="63" t="s">
        <v>291</v>
      </c>
      <c r="CE5" s="63" t="s">
        <v>292</v>
      </c>
      <c r="CF5" s="63" t="s">
        <v>293</v>
      </c>
      <c r="CG5" s="63" t="s">
        <v>294</v>
      </c>
      <c r="CH5" s="63" t="s">
        <v>295</v>
      </c>
      <c r="CI5" s="63" t="s">
        <v>296</v>
      </c>
      <c r="CJ5" s="63" t="s">
        <v>297</v>
      </c>
      <c r="CK5" s="63" t="s">
        <v>298</v>
      </c>
      <c r="CL5" s="63" t="s">
        <v>299</v>
      </c>
      <c r="CM5" s="63" t="s">
        <v>300</v>
      </c>
      <c r="CN5" s="63" t="s">
        <v>301</v>
      </c>
      <c r="CO5" s="63" t="s">
        <v>302</v>
      </c>
      <c r="CP5" s="63" t="s">
        <v>303</v>
      </c>
      <c r="CQ5" s="63" t="s">
        <v>304</v>
      </c>
      <c r="CR5" s="63" t="s">
        <v>305</v>
      </c>
      <c r="CS5" s="63" t="s">
        <v>306</v>
      </c>
      <c r="CT5" s="63" t="s">
        <v>307</v>
      </c>
      <c r="CU5" s="63" t="s">
        <v>308</v>
      </c>
      <c r="CV5" s="63" t="s">
        <v>309</v>
      </c>
      <c r="CW5" s="63" t="s">
        <v>310</v>
      </c>
      <c r="CX5" s="63" t="s">
        <v>311</v>
      </c>
      <c r="CY5" s="63" t="s">
        <v>312</v>
      </c>
      <c r="CZ5" s="63" t="s">
        <v>313</v>
      </c>
      <c r="DA5" s="63" t="s">
        <v>314</v>
      </c>
      <c r="DB5" s="63" t="s">
        <v>315</v>
      </c>
      <c r="DC5" s="63" t="s">
        <v>316</v>
      </c>
      <c r="DD5" s="63" t="s">
        <v>317</v>
      </c>
      <c r="DE5" s="63" t="s">
        <v>318</v>
      </c>
      <c r="DF5" s="63" t="s">
        <v>319</v>
      </c>
      <c r="DG5" s="63" t="s">
        <v>320</v>
      </c>
      <c r="DH5" s="63" t="s">
        <v>321</v>
      </c>
      <c r="DI5" s="63" t="s">
        <v>322</v>
      </c>
      <c r="DJ5" s="63" t="s">
        <v>323</v>
      </c>
      <c r="DK5" s="63" t="s">
        <v>324</v>
      </c>
      <c r="DL5" s="63" t="s">
        <v>325</v>
      </c>
      <c r="DM5" s="63" t="s">
        <v>326</v>
      </c>
      <c r="DN5" s="63" t="s">
        <v>327</v>
      </c>
      <c r="DO5" s="63" t="s">
        <v>328</v>
      </c>
      <c r="DP5" s="63" t="s">
        <v>329</v>
      </c>
      <c r="DQ5" s="63" t="s">
        <v>330</v>
      </c>
      <c r="DR5" s="63" t="s">
        <v>331</v>
      </c>
      <c r="DS5" s="63" t="s">
        <v>332</v>
      </c>
      <c r="DT5" s="63" t="s">
        <v>333</v>
      </c>
      <c r="DU5" s="63" t="s">
        <v>334</v>
      </c>
      <c r="DV5" s="63" t="s">
        <v>335</v>
      </c>
      <c r="DW5" s="63" t="s">
        <v>336</v>
      </c>
      <c r="DX5" s="63" t="s">
        <v>337</v>
      </c>
      <c r="DY5" s="63" t="s">
        <v>338</v>
      </c>
      <c r="DZ5" s="63" t="s">
        <v>339</v>
      </c>
      <c r="EA5" s="63" t="s">
        <v>340</v>
      </c>
      <c r="EB5" s="63" t="s">
        <v>341</v>
      </c>
      <c r="EC5" s="63" t="s">
        <v>342</v>
      </c>
      <c r="ED5" s="63" t="s">
        <v>343</v>
      </c>
      <c r="EE5" s="63" t="s">
        <v>344</v>
      </c>
      <c r="EF5" s="63" t="s">
        <v>345</v>
      </c>
      <c r="EG5" s="63" t="s">
        <v>346</v>
      </c>
      <c r="EH5" s="63" t="s">
        <v>347</v>
      </c>
      <c r="EI5" s="63" t="s">
        <v>348</v>
      </c>
      <c r="EJ5" s="63" t="s">
        <v>349</v>
      </c>
      <c r="EK5" s="63" t="s">
        <v>350</v>
      </c>
      <c r="EL5" s="63" t="s">
        <v>351</v>
      </c>
      <c r="EM5" s="63"/>
      <c r="EN5" s="63"/>
      <c r="EO5" s="63"/>
      <c r="EP5" s="64" t="s">
        <v>212</v>
      </c>
      <c r="EQ5" s="63" t="s">
        <v>213</v>
      </c>
      <c r="ER5" s="63" t="s">
        <v>214</v>
      </c>
      <c r="ES5" s="63" t="s">
        <v>215</v>
      </c>
      <c r="ET5" s="63" t="s">
        <v>216</v>
      </c>
      <c r="EU5" s="63" t="s">
        <v>217</v>
      </c>
      <c r="EV5" s="63" t="s">
        <v>218</v>
      </c>
      <c r="EW5" s="64" t="s">
        <v>212</v>
      </c>
      <c r="EX5" s="65" t="s">
        <v>352</v>
      </c>
      <c r="EY5" s="65" t="s">
        <v>353</v>
      </c>
      <c r="EZ5" s="65" t="s">
        <v>354</v>
      </c>
      <c r="FA5" s="65" t="s">
        <v>355</v>
      </c>
      <c r="FB5" s="65" t="s">
        <v>356</v>
      </c>
      <c r="FC5" s="65" t="s">
        <v>357</v>
      </c>
      <c r="FD5" s="65" t="s">
        <v>358</v>
      </c>
      <c r="FE5" s="65" t="s">
        <v>359</v>
      </c>
      <c r="FF5" s="65" t="s">
        <v>360</v>
      </c>
      <c r="FG5" s="65" t="s">
        <v>361</v>
      </c>
      <c r="FH5" s="65" t="s">
        <v>362</v>
      </c>
      <c r="FI5" s="65" t="s">
        <v>363</v>
      </c>
      <c r="FJ5" s="65" t="s">
        <v>364</v>
      </c>
      <c r="FK5" s="65" t="s">
        <v>365</v>
      </c>
      <c r="FL5" s="65" t="s">
        <v>366</v>
      </c>
      <c r="FM5" s="65" t="s">
        <v>367</v>
      </c>
      <c r="FN5" s="65" t="s">
        <v>368</v>
      </c>
      <c r="FO5" s="65" t="s">
        <v>369</v>
      </c>
      <c r="FP5" s="65" t="s">
        <v>370</v>
      </c>
      <c r="FQ5" s="65" t="s">
        <v>371</v>
      </c>
      <c r="FR5" s="65" t="s">
        <v>372</v>
      </c>
      <c r="FS5" s="65" t="s">
        <v>373</v>
      </c>
      <c r="FT5" s="65" t="s">
        <v>374</v>
      </c>
      <c r="FU5" s="65" t="s">
        <v>375</v>
      </c>
      <c r="FV5" s="65" t="s">
        <v>376</v>
      </c>
      <c r="FW5" s="65" t="s">
        <v>377</v>
      </c>
      <c r="FX5" s="65" t="s">
        <v>378</v>
      </c>
      <c r="FY5" s="65" t="s">
        <v>379</v>
      </c>
      <c r="FZ5" s="65" t="s">
        <v>380</v>
      </c>
      <c r="GA5" s="65" t="s">
        <v>381</v>
      </c>
      <c r="GB5" s="65" t="s">
        <v>382</v>
      </c>
      <c r="GC5" s="65" t="s">
        <v>383</v>
      </c>
      <c r="GD5" s="65" t="s">
        <v>384</v>
      </c>
      <c r="GE5" s="65" t="s">
        <v>385</v>
      </c>
      <c r="GF5" s="65" t="s">
        <v>386</v>
      </c>
      <c r="GG5" s="65" t="s">
        <v>387</v>
      </c>
      <c r="GH5" s="65" t="s">
        <v>388</v>
      </c>
      <c r="GI5" s="65" t="s">
        <v>389</v>
      </c>
      <c r="GJ5" s="65" t="s">
        <v>390</v>
      </c>
      <c r="GK5" s="65" t="s">
        <v>391</v>
      </c>
      <c r="GL5" s="65" t="s">
        <v>299</v>
      </c>
      <c r="GM5" s="65" t="s">
        <v>392</v>
      </c>
      <c r="GN5" s="65" t="s">
        <v>393</v>
      </c>
      <c r="GO5" s="65" t="s">
        <v>394</v>
      </c>
      <c r="GP5" s="65" t="s">
        <v>395</v>
      </c>
      <c r="GQ5" s="65" t="s">
        <v>396</v>
      </c>
      <c r="GR5" s="65" t="s">
        <v>397</v>
      </c>
      <c r="GS5" s="65" t="s">
        <v>398</v>
      </c>
      <c r="GT5" s="65" t="s">
        <v>399</v>
      </c>
      <c r="GU5" s="65" t="s">
        <v>400</v>
      </c>
      <c r="GV5" s="65" t="s">
        <v>401</v>
      </c>
      <c r="GW5" s="65" t="s">
        <v>402</v>
      </c>
      <c r="GX5" s="65" t="s">
        <v>403</v>
      </c>
      <c r="GY5" s="65" t="s">
        <v>404</v>
      </c>
      <c r="GZ5" s="65" t="s">
        <v>405</v>
      </c>
      <c r="HA5" s="65" t="s">
        <v>406</v>
      </c>
      <c r="HB5" s="65" t="s">
        <v>407</v>
      </c>
      <c r="HC5" s="65" t="s">
        <v>408</v>
      </c>
      <c r="HD5" s="65" t="s">
        <v>409</v>
      </c>
      <c r="HE5" s="65" t="s">
        <v>410</v>
      </c>
      <c r="HF5" s="66" t="s">
        <v>411</v>
      </c>
      <c r="HG5" s="65" t="s">
        <v>412</v>
      </c>
      <c r="HH5" s="65" t="s">
        <v>413</v>
      </c>
      <c r="HI5" s="65" t="s">
        <v>414</v>
      </c>
      <c r="HJ5" s="65" t="s">
        <v>415</v>
      </c>
      <c r="HK5" s="65" t="s">
        <v>416</v>
      </c>
      <c r="HL5" s="65" t="s">
        <v>417</v>
      </c>
      <c r="HM5" s="65" t="s">
        <v>418</v>
      </c>
      <c r="HO5" s="67" t="s">
        <v>212</v>
      </c>
      <c r="HP5" s="63" t="s">
        <v>213</v>
      </c>
      <c r="HQ5" s="63" t="s">
        <v>214</v>
      </c>
      <c r="HR5" s="63" t="s">
        <v>215</v>
      </c>
      <c r="HS5" s="63" t="s">
        <v>216</v>
      </c>
      <c r="HT5" s="63" t="s">
        <v>217</v>
      </c>
      <c r="HU5" s="63" t="s">
        <v>218</v>
      </c>
      <c r="HV5" s="62" t="s">
        <v>212</v>
      </c>
      <c r="HW5" s="65" t="s">
        <v>419</v>
      </c>
      <c r="HX5" s="66" t="s">
        <v>420</v>
      </c>
      <c r="HY5" s="65" t="s">
        <v>421</v>
      </c>
      <c r="HZ5" s="65" t="s">
        <v>422</v>
      </c>
      <c r="IA5" s="65" t="s">
        <v>423</v>
      </c>
      <c r="IB5" s="65" t="s">
        <v>424</v>
      </c>
      <c r="IC5" s="65" t="s">
        <v>425</v>
      </c>
      <c r="ID5" s="65" t="s">
        <v>426</v>
      </c>
      <c r="IE5" s="65" t="s">
        <v>427</v>
      </c>
      <c r="IF5" s="65" t="s">
        <v>428</v>
      </c>
      <c r="IG5" s="65" t="s">
        <v>429</v>
      </c>
      <c r="IH5" s="65" t="s">
        <v>430</v>
      </c>
      <c r="II5" s="65" t="s">
        <v>431</v>
      </c>
      <c r="IJ5" s="65" t="s">
        <v>432</v>
      </c>
      <c r="IK5" s="65" t="s">
        <v>433</v>
      </c>
      <c r="IL5" s="65" t="s">
        <v>434</v>
      </c>
      <c r="IM5" s="65" t="s">
        <v>435</v>
      </c>
      <c r="IN5" s="65" t="s">
        <v>436</v>
      </c>
      <c r="IO5" s="65" t="s">
        <v>389</v>
      </c>
      <c r="IP5" s="65" t="s">
        <v>390</v>
      </c>
      <c r="IQ5" s="65" t="s">
        <v>391</v>
      </c>
      <c r="IR5" s="65" t="s">
        <v>299</v>
      </c>
      <c r="IS5" s="65" t="s">
        <v>392</v>
      </c>
      <c r="IT5" s="65" t="s">
        <v>393</v>
      </c>
      <c r="IU5" s="65" t="s">
        <v>394</v>
      </c>
      <c r="IV5" s="65" t="s">
        <v>395</v>
      </c>
      <c r="IW5" s="65" t="s">
        <v>396</v>
      </c>
      <c r="IX5" s="65" t="s">
        <v>397</v>
      </c>
      <c r="IY5" s="65" t="s">
        <v>437</v>
      </c>
      <c r="IZ5" s="65" t="s">
        <v>438</v>
      </c>
      <c r="JA5" s="65" t="s">
        <v>404</v>
      </c>
      <c r="JB5" s="65" t="s">
        <v>405</v>
      </c>
      <c r="JC5" s="65" t="s">
        <v>406</v>
      </c>
      <c r="JD5" s="65" t="s">
        <v>407</v>
      </c>
      <c r="JE5" s="65" t="s">
        <v>408</v>
      </c>
      <c r="JF5" s="65" t="s">
        <v>409</v>
      </c>
      <c r="JG5" s="65" t="s">
        <v>410</v>
      </c>
      <c r="JH5" s="66" t="s">
        <v>411</v>
      </c>
      <c r="JI5" s="65" t="s">
        <v>412</v>
      </c>
      <c r="JJ5" s="65" t="s">
        <v>413</v>
      </c>
      <c r="JK5" s="65" t="s">
        <v>414</v>
      </c>
      <c r="JL5" s="65" t="s">
        <v>415</v>
      </c>
      <c r="JM5" s="65" t="s">
        <v>416</v>
      </c>
      <c r="JN5" s="65" t="s">
        <v>417</v>
      </c>
      <c r="JO5" s="65" t="s">
        <v>418</v>
      </c>
      <c r="JQ5" s="11"/>
    </row>
    <row r="6" spans="1:277" x14ac:dyDescent="0.25">
      <c r="B6" s="51">
        <v>5</v>
      </c>
      <c r="C6" t="s">
        <v>0</v>
      </c>
      <c r="D6" t="s">
        <v>439</v>
      </c>
      <c r="E6">
        <v>89.5</v>
      </c>
      <c r="F6">
        <v>66.5</v>
      </c>
      <c r="G6">
        <v>70.75</v>
      </c>
      <c r="H6">
        <v>2.25</v>
      </c>
      <c r="I6" s="51">
        <v>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0.25</v>
      </c>
      <c r="V6">
        <v>0</v>
      </c>
      <c r="W6">
        <v>18.25</v>
      </c>
      <c r="X6">
        <v>0</v>
      </c>
      <c r="Y6">
        <v>2.25</v>
      </c>
      <c r="Z6">
        <v>0.5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0.25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0.5</v>
      </c>
      <c r="BB6">
        <v>0</v>
      </c>
      <c r="BC6">
        <v>0</v>
      </c>
      <c r="BD6">
        <v>0</v>
      </c>
      <c r="BE6">
        <v>3</v>
      </c>
      <c r="BF6">
        <v>0.25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9.25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942.5</v>
      </c>
      <c r="CG6">
        <v>7.5</v>
      </c>
      <c r="CH6">
        <v>83.75</v>
      </c>
      <c r="CI6">
        <v>5</v>
      </c>
      <c r="CJ6">
        <v>0</v>
      </c>
      <c r="CK6">
        <v>10</v>
      </c>
      <c r="CL6">
        <v>0</v>
      </c>
      <c r="CM6">
        <v>0</v>
      </c>
      <c r="CN6">
        <v>0</v>
      </c>
      <c r="CO6">
        <v>0.25</v>
      </c>
      <c r="CP6">
        <v>0</v>
      </c>
      <c r="CQ6">
        <v>0</v>
      </c>
      <c r="CR6">
        <v>0</v>
      </c>
      <c r="CS6">
        <v>0.25</v>
      </c>
      <c r="CT6">
        <v>1.5</v>
      </c>
      <c r="CU6">
        <v>0</v>
      </c>
      <c r="CV6">
        <v>0</v>
      </c>
      <c r="CW6">
        <v>0</v>
      </c>
      <c r="CX6">
        <v>0</v>
      </c>
      <c r="CY6">
        <v>0</v>
      </c>
      <c r="CZ6">
        <v>0.25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0.25</v>
      </c>
      <c r="EP6" s="51">
        <v>5</v>
      </c>
      <c r="EQ6" t="s">
        <v>0</v>
      </c>
      <c r="ER6" t="s">
        <v>439</v>
      </c>
      <c r="ES6">
        <v>89.5</v>
      </c>
      <c r="ET6">
        <v>66.5</v>
      </c>
      <c r="EU6">
        <v>70.75</v>
      </c>
      <c r="EV6">
        <v>2.25</v>
      </c>
      <c r="EW6" s="51">
        <v>5</v>
      </c>
      <c r="EX6">
        <f>SUM(J6:K6)</f>
        <v>0</v>
      </c>
      <c r="EY6">
        <f>SUM(L6:M6)</f>
        <v>0</v>
      </c>
      <c r="EZ6">
        <f>SUM(N6,R6)</f>
        <v>0</v>
      </c>
      <c r="FA6">
        <f>SUM(O6,S6)</f>
        <v>1</v>
      </c>
      <c r="FB6">
        <f>SUM(P6,T6)</f>
        <v>0</v>
      </c>
      <c r="FC6">
        <f>SUM(Q6,U6)</f>
        <v>0.25</v>
      </c>
      <c r="FD6">
        <f>SUM(V6,X6)</f>
        <v>0</v>
      </c>
      <c r="FE6">
        <f>SUM(W6,Y6)</f>
        <v>20.5</v>
      </c>
      <c r="FF6">
        <f>SUM(Z6:AA6)</f>
        <v>0.5</v>
      </c>
      <c r="FG6">
        <f>SUM(AB6:AC6)</f>
        <v>0</v>
      </c>
      <c r="FH6">
        <f>SUM(AD6:AE6)</f>
        <v>0</v>
      </c>
      <c r="FI6">
        <f>SUM(AF6,AJ6)</f>
        <v>0</v>
      </c>
      <c r="FJ6">
        <f>SUM(AG6,AK6)</f>
        <v>0</v>
      </c>
      <c r="FK6">
        <f>SUM(AH6,AL6)</f>
        <v>0</v>
      </c>
      <c r="FL6">
        <f>SUM(AI6,AM6)</f>
        <v>0</v>
      </c>
      <c r="FM6">
        <f>SUM(AN6,AQ6)</f>
        <v>0.25</v>
      </c>
      <c r="FN6">
        <f>SUM(AO6,AR6)</f>
        <v>0</v>
      </c>
      <c r="FO6">
        <f>SUM(AP6,AS6)</f>
        <v>0</v>
      </c>
      <c r="FP6">
        <f>SUM(AT6,AW6)</f>
        <v>0</v>
      </c>
      <c r="FQ6">
        <f>SUM(AU6,AX6)</f>
        <v>0</v>
      </c>
      <c r="FR6">
        <f>SUM(AV6,AY6)</f>
        <v>0</v>
      </c>
      <c r="FS6">
        <f>SUM(AZ6,BD6)</f>
        <v>0</v>
      </c>
      <c r="FT6">
        <f>SUM(BA6,BE6)</f>
        <v>3.5</v>
      </c>
      <c r="FU6">
        <f>SUM(BB6,BF6)</f>
        <v>0.25</v>
      </c>
      <c r="FV6">
        <f>SUM(BC6,BG6)</f>
        <v>0</v>
      </c>
      <c r="FW6">
        <f>SUM(BH6,BK6)</f>
        <v>0</v>
      </c>
      <c r="FX6">
        <f>SUM(BI6,BL6)</f>
        <v>0</v>
      </c>
      <c r="FY6">
        <f>SUM(BJ6,BM6)</f>
        <v>0</v>
      </c>
      <c r="FZ6">
        <f>SUM(BN6,BP6)</f>
        <v>0</v>
      </c>
      <c r="GA6">
        <f>SUM(BO6,BQ6)</f>
        <v>0</v>
      </c>
      <c r="GB6">
        <f>SUM(BR6:BS6)</f>
        <v>0</v>
      </c>
      <c r="GC6">
        <f>SUM(BT6,BW6)</f>
        <v>0</v>
      </c>
      <c r="GD6">
        <f>SUM(BU6,BX6)</f>
        <v>9.25</v>
      </c>
      <c r="GE6">
        <f>SUM(BV6,BY6)</f>
        <v>0</v>
      </c>
      <c r="GF6">
        <f>SUM(BZ6,CC6)</f>
        <v>0</v>
      </c>
      <c r="GG6">
        <f>SUM(CA6,CD6)</f>
        <v>0</v>
      </c>
      <c r="GH6">
        <f>SUM(CB6,CE6)</f>
        <v>0</v>
      </c>
      <c r="GI6">
        <f>SUM(CF6,CH6)</f>
        <v>1026.25</v>
      </c>
      <c r="GJ6">
        <f>SUM(CG6,CI6)</f>
        <v>12.5</v>
      </c>
      <c r="GK6">
        <f>SUM(CJ6:CK6)</f>
        <v>10</v>
      </c>
      <c r="GL6">
        <f>CL6</f>
        <v>0</v>
      </c>
      <c r="GM6">
        <f>SUM(CM6,CO6)</f>
        <v>0.25</v>
      </c>
      <c r="GN6">
        <f>SUM(CN6,CP6)</f>
        <v>0</v>
      </c>
      <c r="GO6">
        <f>SUM(CQ6:CR6)</f>
        <v>0</v>
      </c>
      <c r="GP6">
        <f>SUM(CS6:CT6)</f>
        <v>1.75</v>
      </c>
      <c r="GQ6">
        <f>SUM(CU6:CV6)</f>
        <v>0</v>
      </c>
      <c r="GR6">
        <f>SUM(CW6:CX6)</f>
        <v>0</v>
      </c>
      <c r="GS6">
        <f>SUM(CY6,DB6)</f>
        <v>0</v>
      </c>
      <c r="GT6">
        <f>SUM(CZ6,DC6)</f>
        <v>0.25</v>
      </c>
      <c r="GU6">
        <f>SUM(DA6,DD6)</f>
        <v>0</v>
      </c>
      <c r="GV6">
        <f>SUM(DE6,DH6)</f>
        <v>0</v>
      </c>
      <c r="GW6">
        <f>SUM(DF6,DI6)</f>
        <v>0</v>
      </c>
      <c r="GX6">
        <f>SUM(DG6,DJ6)</f>
        <v>0</v>
      </c>
      <c r="GY6">
        <f>SUM(DK6:DL6)</f>
        <v>0</v>
      </c>
      <c r="GZ6">
        <f>SUM(DM6:DN6)</f>
        <v>0</v>
      </c>
      <c r="HA6">
        <f>SUM(DO6:DP6)</f>
        <v>0</v>
      </c>
      <c r="HB6">
        <f>SUM(DQ6:DR6)</f>
        <v>0</v>
      </c>
      <c r="HC6">
        <f>SUM(DS6:DT6)</f>
        <v>0</v>
      </c>
      <c r="HD6">
        <f>SUM(DU6:DV6)</f>
        <v>0</v>
      </c>
      <c r="HE6">
        <f>SUM(DW6:DX6)</f>
        <v>0</v>
      </c>
      <c r="HF6">
        <f>SUM(DY6)</f>
        <v>0</v>
      </c>
      <c r="HG6">
        <f>SUM(DZ6:EA6)</f>
        <v>0</v>
      </c>
      <c r="HH6">
        <f>SUM(EB6:EC6)</f>
        <v>0</v>
      </c>
      <c r="HI6">
        <f>SUM(ED6:EE6)</f>
        <v>0</v>
      </c>
      <c r="HJ6">
        <f>SUM(EF6:EG6)</f>
        <v>0</v>
      </c>
      <c r="HK6">
        <f>SUM(EH6:EI6)</f>
        <v>0</v>
      </c>
      <c r="HL6">
        <f>SUM(EJ6:EK6)</f>
        <v>0</v>
      </c>
      <c r="HM6">
        <f>SUM(EL6)</f>
        <v>0.25</v>
      </c>
      <c r="HO6" s="51">
        <v>5</v>
      </c>
      <c r="HP6" t="s">
        <v>0</v>
      </c>
      <c r="HQ6" t="s">
        <v>439</v>
      </c>
      <c r="HR6">
        <v>89.5</v>
      </c>
      <c r="HS6">
        <v>66.5</v>
      </c>
      <c r="HT6">
        <v>70.75</v>
      </c>
      <c r="HU6">
        <v>2.25</v>
      </c>
      <c r="HV6" s="51">
        <v>5</v>
      </c>
      <c r="HW6">
        <f>SUM(EX6)</f>
        <v>0</v>
      </c>
      <c r="HX6">
        <f>SUM(EY6)</f>
        <v>0</v>
      </c>
      <c r="HY6">
        <f>SUM(EZ6:FC6)</f>
        <v>1.25</v>
      </c>
      <c r="HZ6">
        <f>SUM(FD6:FE6)</f>
        <v>20.5</v>
      </c>
      <c r="IA6">
        <f>FF6</f>
        <v>0.5</v>
      </c>
      <c r="IB6">
        <f>FG6</f>
        <v>0</v>
      </c>
      <c r="IC6">
        <f>FH6</f>
        <v>0</v>
      </c>
      <c r="ID6">
        <f>SUM(FI6:FL6)</f>
        <v>0</v>
      </c>
      <c r="IE6">
        <f>SUM(FM6:FO6)</f>
        <v>0.25</v>
      </c>
      <c r="IF6">
        <f>SUM(FP6:FR6)</f>
        <v>0</v>
      </c>
      <c r="IG6">
        <f>SUM(FS6:FU6)</f>
        <v>3.75</v>
      </c>
      <c r="IH6">
        <f>FV6</f>
        <v>0</v>
      </c>
      <c r="II6">
        <f>SUM(FW6,FY6)</f>
        <v>0</v>
      </c>
      <c r="IJ6">
        <f>FX6</f>
        <v>0</v>
      </c>
      <c r="IK6">
        <f>SUM(FZ6:GA6)</f>
        <v>0</v>
      </c>
      <c r="IL6">
        <f t="shared" ref="IL6:IL25" si="0">SUM(GB6)</f>
        <v>0</v>
      </c>
      <c r="IM6">
        <f>SUM(GC6:GE6)</f>
        <v>9.25</v>
      </c>
      <c r="IN6">
        <f>SUM(GF6:GH6)</f>
        <v>0</v>
      </c>
      <c r="IO6">
        <f t="shared" ref="IO6:IX21" si="1">GI6</f>
        <v>1026.25</v>
      </c>
      <c r="IP6">
        <f t="shared" si="1"/>
        <v>12.5</v>
      </c>
      <c r="IQ6">
        <f t="shared" si="1"/>
        <v>10</v>
      </c>
      <c r="IR6">
        <f t="shared" si="1"/>
        <v>0</v>
      </c>
      <c r="IS6">
        <f t="shared" si="1"/>
        <v>0.25</v>
      </c>
      <c r="IT6">
        <f t="shared" si="1"/>
        <v>0</v>
      </c>
      <c r="IU6">
        <f t="shared" si="1"/>
        <v>0</v>
      </c>
      <c r="IV6">
        <f t="shared" si="1"/>
        <v>1.75</v>
      </c>
      <c r="IW6">
        <f t="shared" si="1"/>
        <v>0</v>
      </c>
      <c r="IX6">
        <f t="shared" si="1"/>
        <v>0</v>
      </c>
      <c r="IY6">
        <f>SUM(GS6:GU6)</f>
        <v>0.25</v>
      </c>
      <c r="IZ6">
        <f t="shared" ref="IZ6:IZ25" si="2">SUM(GV6:GX6)</f>
        <v>0</v>
      </c>
      <c r="JA6">
        <f t="shared" ref="JA6:JO21" si="3">GY6</f>
        <v>0</v>
      </c>
      <c r="JB6">
        <f t="shared" si="3"/>
        <v>0</v>
      </c>
      <c r="JC6">
        <f t="shared" si="3"/>
        <v>0</v>
      </c>
      <c r="JD6">
        <f t="shared" si="3"/>
        <v>0</v>
      </c>
      <c r="JE6">
        <f t="shared" si="3"/>
        <v>0</v>
      </c>
      <c r="JF6">
        <f t="shared" si="3"/>
        <v>0</v>
      </c>
      <c r="JG6">
        <f t="shared" si="3"/>
        <v>0</v>
      </c>
      <c r="JH6">
        <f t="shared" si="3"/>
        <v>0</v>
      </c>
      <c r="JI6">
        <f t="shared" si="3"/>
        <v>0</v>
      </c>
      <c r="JJ6">
        <f t="shared" si="3"/>
        <v>0</v>
      </c>
      <c r="JK6">
        <f t="shared" si="3"/>
        <v>0</v>
      </c>
      <c r="JL6">
        <f t="shared" si="3"/>
        <v>0</v>
      </c>
      <c r="JM6">
        <f t="shared" si="3"/>
        <v>0</v>
      </c>
      <c r="JN6">
        <f t="shared" si="3"/>
        <v>0</v>
      </c>
      <c r="JO6">
        <f t="shared" si="3"/>
        <v>0.25</v>
      </c>
      <c r="JQ6" s="11"/>
    </row>
    <row r="7" spans="1:277" x14ac:dyDescent="0.25">
      <c r="B7" s="51">
        <v>6</v>
      </c>
      <c r="C7" t="s">
        <v>16</v>
      </c>
      <c r="D7" t="s">
        <v>439</v>
      </c>
      <c r="E7">
        <v>91.25</v>
      </c>
      <c r="F7">
        <v>153.125</v>
      </c>
      <c r="G7">
        <v>139.5</v>
      </c>
      <c r="H7">
        <v>2.5</v>
      </c>
      <c r="I7" s="51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0.25</v>
      </c>
      <c r="P7">
        <v>0</v>
      </c>
      <c r="Q7">
        <v>0.25</v>
      </c>
      <c r="R7">
        <v>0</v>
      </c>
      <c r="S7">
        <v>0.25</v>
      </c>
      <c r="T7">
        <v>0</v>
      </c>
      <c r="U7">
        <v>0.25</v>
      </c>
      <c r="V7">
        <v>0</v>
      </c>
      <c r="W7">
        <v>14</v>
      </c>
      <c r="X7">
        <v>0</v>
      </c>
      <c r="Y7">
        <v>0.5</v>
      </c>
      <c r="Z7">
        <v>0</v>
      </c>
      <c r="AA7">
        <v>0</v>
      </c>
      <c r="AB7">
        <v>0</v>
      </c>
      <c r="AC7">
        <v>0.25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0.25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0.5</v>
      </c>
      <c r="BB7">
        <v>0</v>
      </c>
      <c r="BC7">
        <v>0</v>
      </c>
      <c r="BD7">
        <v>0</v>
      </c>
      <c r="BE7">
        <v>6.5</v>
      </c>
      <c r="BF7">
        <v>0.75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6.25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438.25</v>
      </c>
      <c r="CG7">
        <v>3.25</v>
      </c>
      <c r="CH7">
        <v>188.25</v>
      </c>
      <c r="CI7">
        <v>2.5</v>
      </c>
      <c r="CJ7">
        <v>0</v>
      </c>
      <c r="CK7">
        <v>0</v>
      </c>
      <c r="CL7">
        <v>0</v>
      </c>
      <c r="CM7">
        <v>0</v>
      </c>
      <c r="CN7">
        <v>0</v>
      </c>
      <c r="CO7">
        <v>0.5</v>
      </c>
      <c r="CP7">
        <v>0</v>
      </c>
      <c r="CQ7">
        <v>0</v>
      </c>
      <c r="CR7">
        <v>0</v>
      </c>
      <c r="CS7">
        <v>0.25</v>
      </c>
      <c r="CT7">
        <v>3</v>
      </c>
      <c r="CU7">
        <v>0.25</v>
      </c>
      <c r="CV7">
        <v>0.5</v>
      </c>
      <c r="CW7">
        <v>0</v>
      </c>
      <c r="CX7">
        <v>0.5</v>
      </c>
      <c r="CY7">
        <v>0</v>
      </c>
      <c r="CZ7">
        <v>0.5</v>
      </c>
      <c r="DA7">
        <v>0</v>
      </c>
      <c r="DB7">
        <v>0</v>
      </c>
      <c r="DC7">
        <v>0.5</v>
      </c>
      <c r="DD7">
        <v>0</v>
      </c>
      <c r="DE7">
        <v>0</v>
      </c>
      <c r="DF7">
        <v>0</v>
      </c>
      <c r="DG7">
        <v>0</v>
      </c>
      <c r="DH7">
        <v>0.25</v>
      </c>
      <c r="DI7">
        <v>0.25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2</v>
      </c>
      <c r="EP7" s="51">
        <v>6</v>
      </c>
      <c r="EQ7" t="s">
        <v>16</v>
      </c>
      <c r="ER7" t="s">
        <v>439</v>
      </c>
      <c r="ES7">
        <v>91.25</v>
      </c>
      <c r="ET7">
        <v>153.125</v>
      </c>
      <c r="EU7">
        <v>139.5</v>
      </c>
      <c r="EV7">
        <v>2.5</v>
      </c>
      <c r="EW7" s="51">
        <v>6</v>
      </c>
      <c r="EX7">
        <f t="shared" ref="EX7:EX70" si="4">SUM(J7:K7)</f>
        <v>0</v>
      </c>
      <c r="EY7">
        <f t="shared" ref="EY7:EY70" si="5">SUM(L7:M7)</f>
        <v>0</v>
      </c>
      <c r="EZ7">
        <f t="shared" ref="EZ7:FC70" si="6">SUM(N7,R7)</f>
        <v>0</v>
      </c>
      <c r="FA7">
        <f t="shared" si="6"/>
        <v>0.5</v>
      </c>
      <c r="FB7">
        <f t="shared" si="6"/>
        <v>0</v>
      </c>
      <c r="FC7">
        <f t="shared" si="6"/>
        <v>0.5</v>
      </c>
      <c r="FD7">
        <f t="shared" ref="FD7:FE70" si="7">SUM(V7,X7)</f>
        <v>0</v>
      </c>
      <c r="FE7">
        <f t="shared" si="7"/>
        <v>14.5</v>
      </c>
      <c r="FF7">
        <f t="shared" ref="FF7:FF70" si="8">SUM(Z7:AA7)</f>
        <v>0</v>
      </c>
      <c r="FG7">
        <f t="shared" ref="FG7:FG70" si="9">SUM(AB7:AC7)</f>
        <v>0.25</v>
      </c>
      <c r="FH7">
        <f t="shared" ref="FH7:FH70" si="10">SUM(AD7:AE7)</f>
        <v>0</v>
      </c>
      <c r="FI7">
        <f t="shared" ref="FI7:FL70" si="11">SUM(AF7,AJ7)</f>
        <v>0</v>
      </c>
      <c r="FJ7">
        <f t="shared" si="11"/>
        <v>0</v>
      </c>
      <c r="FK7">
        <f t="shared" si="11"/>
        <v>0</v>
      </c>
      <c r="FL7">
        <f t="shared" si="11"/>
        <v>0</v>
      </c>
      <c r="FM7">
        <f t="shared" ref="FM7:FO70" si="12">SUM(AN7,AQ7)</f>
        <v>0</v>
      </c>
      <c r="FN7">
        <f t="shared" si="12"/>
        <v>0</v>
      </c>
      <c r="FO7">
        <f t="shared" si="12"/>
        <v>0.25</v>
      </c>
      <c r="FP7">
        <f t="shared" ref="FP7:FR70" si="13">SUM(AT7,AW7)</f>
        <v>0</v>
      </c>
      <c r="FQ7">
        <f t="shared" si="13"/>
        <v>0</v>
      </c>
      <c r="FR7">
        <f t="shared" si="13"/>
        <v>0</v>
      </c>
      <c r="FS7">
        <f t="shared" ref="FS7:FV70" si="14">SUM(AZ7,BD7)</f>
        <v>0</v>
      </c>
      <c r="FT7">
        <f t="shared" si="14"/>
        <v>7</v>
      </c>
      <c r="FU7">
        <f t="shared" si="14"/>
        <v>0.75</v>
      </c>
      <c r="FV7">
        <f t="shared" si="14"/>
        <v>0</v>
      </c>
      <c r="FW7">
        <f t="shared" ref="FW7:FY70" si="15">SUM(BH7,BK7)</f>
        <v>0</v>
      </c>
      <c r="FX7">
        <f t="shared" si="15"/>
        <v>0</v>
      </c>
      <c r="FY7">
        <f t="shared" si="15"/>
        <v>0</v>
      </c>
      <c r="FZ7">
        <f t="shared" ref="FZ7:GA70" si="16">SUM(BN7,BP7)</f>
        <v>0</v>
      </c>
      <c r="GA7">
        <f t="shared" si="16"/>
        <v>0</v>
      </c>
      <c r="GB7">
        <f t="shared" ref="GB7:GB70" si="17">SUM(BR7:BS7)</f>
        <v>0</v>
      </c>
      <c r="GC7">
        <f t="shared" ref="GC7:GE70" si="18">SUM(BT7,BW7)</f>
        <v>0</v>
      </c>
      <c r="GD7">
        <f t="shared" si="18"/>
        <v>6.25</v>
      </c>
      <c r="GE7">
        <f t="shared" si="18"/>
        <v>0</v>
      </c>
      <c r="GF7">
        <f t="shared" ref="GF7:GH70" si="19">SUM(BZ7,CC7)</f>
        <v>0</v>
      </c>
      <c r="GG7">
        <f t="shared" si="19"/>
        <v>0</v>
      </c>
      <c r="GH7">
        <f t="shared" si="19"/>
        <v>0</v>
      </c>
      <c r="GI7">
        <f t="shared" ref="GI7:GJ70" si="20">SUM(CF7,CH7)</f>
        <v>626.5</v>
      </c>
      <c r="GJ7">
        <f t="shared" si="20"/>
        <v>5.75</v>
      </c>
      <c r="GK7">
        <f t="shared" ref="GK7:GK70" si="21">SUM(CJ7:CK7)</f>
        <v>0</v>
      </c>
      <c r="GL7">
        <f t="shared" ref="GL7:GL70" si="22">CL7</f>
        <v>0</v>
      </c>
      <c r="GM7">
        <f t="shared" ref="GM7:GN70" si="23">SUM(CM7,CO7)</f>
        <v>0.5</v>
      </c>
      <c r="GN7">
        <f t="shared" si="23"/>
        <v>0</v>
      </c>
      <c r="GO7">
        <f t="shared" ref="GO7:GO70" si="24">SUM(CQ7:CR7)</f>
        <v>0</v>
      </c>
      <c r="GP7">
        <f t="shared" ref="GP7:GP70" si="25">SUM(CS7:CT7)</f>
        <v>3.25</v>
      </c>
      <c r="GQ7">
        <f t="shared" ref="GQ7:GQ70" si="26">SUM(CU7:CV7)</f>
        <v>0.75</v>
      </c>
      <c r="GR7">
        <f t="shared" ref="GR7:GR70" si="27">SUM(CW7:CX7)</f>
        <v>0.5</v>
      </c>
      <c r="GS7">
        <f t="shared" ref="GS7:GU70" si="28">SUM(CY7,DB7)</f>
        <v>0</v>
      </c>
      <c r="GT7">
        <f t="shared" si="28"/>
        <v>1</v>
      </c>
      <c r="GU7">
        <f t="shared" si="28"/>
        <v>0</v>
      </c>
      <c r="GV7">
        <f t="shared" ref="GV7:GX70" si="29">SUM(DE7,DH7)</f>
        <v>0.25</v>
      </c>
      <c r="GW7">
        <f t="shared" si="29"/>
        <v>0.25</v>
      </c>
      <c r="GX7">
        <f t="shared" si="29"/>
        <v>0</v>
      </c>
      <c r="GY7">
        <f t="shared" ref="GY7:GY70" si="30">SUM(DK7:DL7)</f>
        <v>0</v>
      </c>
      <c r="GZ7">
        <f t="shared" ref="GZ7:GZ70" si="31">SUM(DM7:DN7)</f>
        <v>0</v>
      </c>
      <c r="HA7">
        <f t="shared" ref="HA7:HA70" si="32">SUM(DO7:DP7)</f>
        <v>0</v>
      </c>
      <c r="HB7">
        <f t="shared" ref="HB7:HB70" si="33">SUM(DQ7:DR7)</f>
        <v>0</v>
      </c>
      <c r="HC7">
        <f t="shared" ref="HC7:HC70" si="34">SUM(DS7:DT7)</f>
        <v>0</v>
      </c>
      <c r="HD7">
        <f t="shared" ref="HD7:HD70" si="35">SUM(DU7:DV7)</f>
        <v>0</v>
      </c>
      <c r="HE7">
        <f t="shared" ref="HE7:HE70" si="36">SUM(DW7:DX7)</f>
        <v>0</v>
      </c>
      <c r="HF7">
        <f t="shared" ref="HF7:HF70" si="37">SUM(DY7)</f>
        <v>0</v>
      </c>
      <c r="HG7">
        <f t="shared" ref="HG7:HG70" si="38">SUM(DZ7:EA7)</f>
        <v>0</v>
      </c>
      <c r="HH7">
        <f t="shared" ref="HH7:HH70" si="39">SUM(EB7:EC7)</f>
        <v>0</v>
      </c>
      <c r="HI7">
        <f t="shared" ref="HI7:HI70" si="40">SUM(ED7:EE7)</f>
        <v>0</v>
      </c>
      <c r="HJ7">
        <f t="shared" ref="HJ7:HJ70" si="41">SUM(EF7:EG7)</f>
        <v>0</v>
      </c>
      <c r="HK7">
        <f t="shared" ref="HK7:HK70" si="42">SUM(EH7:EI7)</f>
        <v>0</v>
      </c>
      <c r="HL7">
        <f t="shared" ref="HL7:HL70" si="43">SUM(EJ7:EK7)</f>
        <v>0</v>
      </c>
      <c r="HM7">
        <f t="shared" ref="HM7:HM70" si="44">SUM(EL7)</f>
        <v>2</v>
      </c>
      <c r="HO7" s="51">
        <v>6</v>
      </c>
      <c r="HP7" t="s">
        <v>16</v>
      </c>
      <c r="HQ7" t="s">
        <v>439</v>
      </c>
      <c r="HR7">
        <v>91.25</v>
      </c>
      <c r="HS7">
        <v>153.125</v>
      </c>
      <c r="HT7">
        <v>139.5</v>
      </c>
      <c r="HU7">
        <v>2.5</v>
      </c>
      <c r="HV7" s="51">
        <v>6</v>
      </c>
      <c r="HW7">
        <f t="shared" ref="HW7:HX70" si="45">SUM(EX7)</f>
        <v>0</v>
      </c>
      <c r="HX7">
        <f t="shared" si="45"/>
        <v>0</v>
      </c>
      <c r="HY7">
        <f t="shared" ref="HY7:HY70" si="46">SUM(EZ7:FC7)</f>
        <v>1</v>
      </c>
      <c r="HZ7">
        <f t="shared" ref="HZ7:HZ70" si="47">SUM(FD7:FE7)</f>
        <v>14.5</v>
      </c>
      <c r="IA7">
        <f t="shared" ref="IA7:IC70" si="48">FF7</f>
        <v>0</v>
      </c>
      <c r="IB7">
        <f t="shared" si="48"/>
        <v>0.25</v>
      </c>
      <c r="IC7">
        <f t="shared" si="48"/>
        <v>0</v>
      </c>
      <c r="ID7">
        <f t="shared" ref="ID7:ID70" si="49">SUM(FI7:FL7)</f>
        <v>0</v>
      </c>
      <c r="IE7">
        <f t="shared" ref="IE7:IE70" si="50">SUM(FM7:FO7)</f>
        <v>0.25</v>
      </c>
      <c r="IF7">
        <f t="shared" ref="IF7:IF70" si="51">SUM(FP7:FR7)</f>
        <v>0</v>
      </c>
      <c r="IG7">
        <f t="shared" ref="IG7:IG70" si="52">SUM(FS7:FU7)</f>
        <v>7.75</v>
      </c>
      <c r="IH7">
        <f t="shared" ref="IH7:IH70" si="53">FV7</f>
        <v>0</v>
      </c>
      <c r="II7">
        <f t="shared" ref="II7:II70" si="54">SUM(FW7,FY7)</f>
        <v>0</v>
      </c>
      <c r="IJ7">
        <f t="shared" ref="IJ7:IJ70" si="55">FX7</f>
        <v>0</v>
      </c>
      <c r="IK7">
        <f t="shared" ref="IK7:IK70" si="56">SUM(FZ7:GA7)</f>
        <v>0</v>
      </c>
      <c r="IL7">
        <f t="shared" si="0"/>
        <v>0</v>
      </c>
      <c r="IM7">
        <f t="shared" ref="IM7:IM70" si="57">SUM(GC7:GE7)</f>
        <v>6.25</v>
      </c>
      <c r="IN7">
        <f t="shared" ref="IN7:IN70" si="58">SUM(GF7:GH7)</f>
        <v>0</v>
      </c>
      <c r="IO7">
        <f t="shared" si="1"/>
        <v>626.5</v>
      </c>
      <c r="IP7">
        <f t="shared" si="1"/>
        <v>5.75</v>
      </c>
      <c r="IQ7">
        <f t="shared" si="1"/>
        <v>0</v>
      </c>
      <c r="IR7">
        <f t="shared" si="1"/>
        <v>0</v>
      </c>
      <c r="IS7">
        <f t="shared" si="1"/>
        <v>0.5</v>
      </c>
      <c r="IT7">
        <f t="shared" si="1"/>
        <v>0</v>
      </c>
      <c r="IU7">
        <f t="shared" si="1"/>
        <v>0</v>
      </c>
      <c r="IV7">
        <f t="shared" si="1"/>
        <v>3.25</v>
      </c>
      <c r="IW7">
        <f t="shared" si="1"/>
        <v>0.75</v>
      </c>
      <c r="IX7">
        <f t="shared" si="1"/>
        <v>0.5</v>
      </c>
      <c r="IY7">
        <f t="shared" ref="IY7:IY70" si="59">SUM(GS7:GU7)</f>
        <v>1</v>
      </c>
      <c r="IZ7">
        <f t="shared" si="2"/>
        <v>0.5</v>
      </c>
      <c r="JA7">
        <f t="shared" si="3"/>
        <v>0</v>
      </c>
      <c r="JB7">
        <f t="shared" si="3"/>
        <v>0</v>
      </c>
      <c r="JC7">
        <f t="shared" si="3"/>
        <v>0</v>
      </c>
      <c r="JD7">
        <f t="shared" si="3"/>
        <v>0</v>
      </c>
      <c r="JE7">
        <f t="shared" si="3"/>
        <v>0</v>
      </c>
      <c r="JF7">
        <f t="shared" si="3"/>
        <v>0</v>
      </c>
      <c r="JG7">
        <f t="shared" si="3"/>
        <v>0</v>
      </c>
      <c r="JH7">
        <f t="shared" si="3"/>
        <v>0</v>
      </c>
      <c r="JI7">
        <f t="shared" si="3"/>
        <v>0</v>
      </c>
      <c r="JJ7">
        <f t="shared" si="3"/>
        <v>0</v>
      </c>
      <c r="JK7">
        <f t="shared" si="3"/>
        <v>0</v>
      </c>
      <c r="JL7">
        <f t="shared" si="3"/>
        <v>0</v>
      </c>
      <c r="JM7">
        <f t="shared" si="3"/>
        <v>0</v>
      </c>
      <c r="JN7">
        <f t="shared" si="3"/>
        <v>0</v>
      </c>
      <c r="JO7">
        <f t="shared" si="3"/>
        <v>2</v>
      </c>
      <c r="JQ7" s="11"/>
    </row>
    <row r="8" spans="1:277" x14ac:dyDescent="0.25">
      <c r="B8" s="51">
        <v>9</v>
      </c>
      <c r="C8" t="s">
        <v>0</v>
      </c>
      <c r="D8" t="s">
        <v>439</v>
      </c>
      <c r="E8">
        <v>86.875</v>
      </c>
      <c r="F8">
        <v>94.375</v>
      </c>
      <c r="G8">
        <v>70.25</v>
      </c>
      <c r="H8">
        <v>3</v>
      </c>
      <c r="I8" s="51">
        <v>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0.25</v>
      </c>
      <c r="T8">
        <v>0.25</v>
      </c>
      <c r="U8">
        <v>0.5</v>
      </c>
      <c r="V8">
        <v>0</v>
      </c>
      <c r="W8">
        <v>18.5</v>
      </c>
      <c r="X8">
        <v>0</v>
      </c>
      <c r="Y8">
        <v>0.5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0.25</v>
      </c>
      <c r="BB8">
        <v>0</v>
      </c>
      <c r="BC8">
        <v>0</v>
      </c>
      <c r="BD8">
        <v>0</v>
      </c>
      <c r="BE8">
        <v>13</v>
      </c>
      <c r="BF8">
        <v>1.25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70</v>
      </c>
      <c r="CG8">
        <v>0</v>
      </c>
      <c r="CH8">
        <v>96.25</v>
      </c>
      <c r="CI8">
        <v>0.75</v>
      </c>
      <c r="CJ8">
        <v>0</v>
      </c>
      <c r="CK8">
        <v>3.25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0.75</v>
      </c>
      <c r="CT8">
        <v>2.5</v>
      </c>
      <c r="CU8">
        <v>0.5</v>
      </c>
      <c r="CV8">
        <v>0.5</v>
      </c>
      <c r="CW8">
        <v>0</v>
      </c>
      <c r="CX8">
        <v>0.5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0.25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0.25</v>
      </c>
      <c r="EG8">
        <v>0</v>
      </c>
      <c r="EH8">
        <v>0</v>
      </c>
      <c r="EI8">
        <v>0</v>
      </c>
      <c r="EJ8">
        <v>0</v>
      </c>
      <c r="EK8">
        <v>0</v>
      </c>
      <c r="EL8">
        <v>0.75</v>
      </c>
      <c r="EP8" s="51">
        <v>9</v>
      </c>
      <c r="EQ8" t="s">
        <v>0</v>
      </c>
      <c r="ER8" t="s">
        <v>439</v>
      </c>
      <c r="ES8">
        <v>86.875</v>
      </c>
      <c r="ET8">
        <v>94.375</v>
      </c>
      <c r="EU8">
        <v>70.25</v>
      </c>
      <c r="EV8">
        <v>3</v>
      </c>
      <c r="EW8" s="51">
        <v>9</v>
      </c>
      <c r="EX8">
        <f t="shared" si="4"/>
        <v>0</v>
      </c>
      <c r="EY8">
        <f t="shared" si="5"/>
        <v>0</v>
      </c>
      <c r="EZ8">
        <f t="shared" si="6"/>
        <v>0</v>
      </c>
      <c r="FA8">
        <f t="shared" si="6"/>
        <v>0.25</v>
      </c>
      <c r="FB8">
        <f t="shared" si="6"/>
        <v>0.25</v>
      </c>
      <c r="FC8">
        <f t="shared" si="6"/>
        <v>0.5</v>
      </c>
      <c r="FD8">
        <f t="shared" si="7"/>
        <v>0</v>
      </c>
      <c r="FE8">
        <f t="shared" si="7"/>
        <v>19</v>
      </c>
      <c r="FF8">
        <f t="shared" si="8"/>
        <v>0</v>
      </c>
      <c r="FG8">
        <f t="shared" si="9"/>
        <v>0</v>
      </c>
      <c r="FH8">
        <f t="shared" si="10"/>
        <v>0</v>
      </c>
      <c r="FI8">
        <f t="shared" si="11"/>
        <v>0</v>
      </c>
      <c r="FJ8">
        <f t="shared" si="11"/>
        <v>0</v>
      </c>
      <c r="FK8">
        <f t="shared" si="11"/>
        <v>0</v>
      </c>
      <c r="FL8">
        <f t="shared" si="11"/>
        <v>0</v>
      </c>
      <c r="FM8">
        <f t="shared" si="12"/>
        <v>0</v>
      </c>
      <c r="FN8">
        <f t="shared" si="12"/>
        <v>0</v>
      </c>
      <c r="FO8">
        <f t="shared" si="12"/>
        <v>0</v>
      </c>
      <c r="FP8">
        <f t="shared" si="13"/>
        <v>0</v>
      </c>
      <c r="FQ8">
        <f t="shared" si="13"/>
        <v>0</v>
      </c>
      <c r="FR8">
        <f t="shared" si="13"/>
        <v>0</v>
      </c>
      <c r="FS8">
        <f t="shared" si="14"/>
        <v>0</v>
      </c>
      <c r="FT8">
        <f t="shared" si="14"/>
        <v>13.25</v>
      </c>
      <c r="FU8">
        <f t="shared" si="14"/>
        <v>1.25</v>
      </c>
      <c r="FV8">
        <f t="shared" si="14"/>
        <v>0</v>
      </c>
      <c r="FW8">
        <f t="shared" si="15"/>
        <v>0</v>
      </c>
      <c r="FX8">
        <f t="shared" si="15"/>
        <v>0</v>
      </c>
      <c r="FY8">
        <f t="shared" si="15"/>
        <v>0</v>
      </c>
      <c r="FZ8">
        <f t="shared" si="16"/>
        <v>0</v>
      </c>
      <c r="GA8">
        <f t="shared" si="16"/>
        <v>0</v>
      </c>
      <c r="GB8">
        <f t="shared" si="17"/>
        <v>0</v>
      </c>
      <c r="GC8">
        <f t="shared" si="18"/>
        <v>0</v>
      </c>
      <c r="GD8">
        <f t="shared" si="18"/>
        <v>13</v>
      </c>
      <c r="GE8">
        <f t="shared" si="18"/>
        <v>0</v>
      </c>
      <c r="GF8">
        <f t="shared" si="19"/>
        <v>0</v>
      </c>
      <c r="GG8">
        <f t="shared" si="19"/>
        <v>0</v>
      </c>
      <c r="GH8">
        <f t="shared" si="19"/>
        <v>0</v>
      </c>
      <c r="GI8">
        <f t="shared" si="20"/>
        <v>166.25</v>
      </c>
      <c r="GJ8">
        <f t="shared" si="20"/>
        <v>0.75</v>
      </c>
      <c r="GK8">
        <f t="shared" si="21"/>
        <v>3.25</v>
      </c>
      <c r="GL8">
        <f t="shared" si="22"/>
        <v>0</v>
      </c>
      <c r="GM8">
        <f t="shared" si="23"/>
        <v>0</v>
      </c>
      <c r="GN8">
        <f t="shared" si="23"/>
        <v>0</v>
      </c>
      <c r="GO8">
        <f t="shared" si="24"/>
        <v>0</v>
      </c>
      <c r="GP8">
        <f t="shared" si="25"/>
        <v>3.25</v>
      </c>
      <c r="GQ8">
        <f t="shared" si="26"/>
        <v>1</v>
      </c>
      <c r="GR8">
        <f t="shared" si="27"/>
        <v>0.5</v>
      </c>
      <c r="GS8">
        <f t="shared" si="28"/>
        <v>0</v>
      </c>
      <c r="GT8">
        <f t="shared" si="28"/>
        <v>0</v>
      </c>
      <c r="GU8">
        <f t="shared" si="28"/>
        <v>0</v>
      </c>
      <c r="GV8">
        <f t="shared" si="29"/>
        <v>0</v>
      </c>
      <c r="GW8">
        <f t="shared" si="29"/>
        <v>0</v>
      </c>
      <c r="GX8">
        <f t="shared" si="29"/>
        <v>0.25</v>
      </c>
      <c r="GY8">
        <f t="shared" si="30"/>
        <v>0</v>
      </c>
      <c r="GZ8">
        <f t="shared" si="31"/>
        <v>0</v>
      </c>
      <c r="HA8">
        <f t="shared" si="32"/>
        <v>0</v>
      </c>
      <c r="HB8">
        <f t="shared" si="33"/>
        <v>0</v>
      </c>
      <c r="HC8">
        <f t="shared" si="34"/>
        <v>0</v>
      </c>
      <c r="HD8">
        <f t="shared" si="35"/>
        <v>0</v>
      </c>
      <c r="HE8">
        <f t="shared" si="36"/>
        <v>0</v>
      </c>
      <c r="HF8">
        <f t="shared" si="37"/>
        <v>0</v>
      </c>
      <c r="HG8">
        <f t="shared" si="38"/>
        <v>0</v>
      </c>
      <c r="HH8">
        <f t="shared" si="39"/>
        <v>0</v>
      </c>
      <c r="HI8">
        <f t="shared" si="40"/>
        <v>0</v>
      </c>
      <c r="HJ8">
        <f t="shared" si="41"/>
        <v>0.25</v>
      </c>
      <c r="HK8">
        <f t="shared" si="42"/>
        <v>0</v>
      </c>
      <c r="HL8">
        <f t="shared" si="43"/>
        <v>0</v>
      </c>
      <c r="HM8">
        <f t="shared" si="44"/>
        <v>0.75</v>
      </c>
      <c r="HO8" s="51">
        <v>9</v>
      </c>
      <c r="HP8" t="s">
        <v>0</v>
      </c>
      <c r="HQ8" t="s">
        <v>439</v>
      </c>
      <c r="HR8">
        <v>86.875</v>
      </c>
      <c r="HS8">
        <v>94.375</v>
      </c>
      <c r="HT8">
        <v>70.25</v>
      </c>
      <c r="HU8">
        <v>3</v>
      </c>
      <c r="HV8" s="51">
        <v>9</v>
      </c>
      <c r="HW8">
        <f t="shared" si="45"/>
        <v>0</v>
      </c>
      <c r="HX8">
        <f t="shared" si="45"/>
        <v>0</v>
      </c>
      <c r="HY8">
        <f t="shared" si="46"/>
        <v>1</v>
      </c>
      <c r="HZ8">
        <f t="shared" si="47"/>
        <v>19</v>
      </c>
      <c r="IA8">
        <f t="shared" si="48"/>
        <v>0</v>
      </c>
      <c r="IB8">
        <f t="shared" si="48"/>
        <v>0</v>
      </c>
      <c r="IC8">
        <f t="shared" si="48"/>
        <v>0</v>
      </c>
      <c r="ID8">
        <f t="shared" si="49"/>
        <v>0</v>
      </c>
      <c r="IE8">
        <f t="shared" si="50"/>
        <v>0</v>
      </c>
      <c r="IF8">
        <f t="shared" si="51"/>
        <v>0</v>
      </c>
      <c r="IG8">
        <f t="shared" si="52"/>
        <v>14.5</v>
      </c>
      <c r="IH8">
        <f t="shared" si="53"/>
        <v>0</v>
      </c>
      <c r="II8">
        <f t="shared" si="54"/>
        <v>0</v>
      </c>
      <c r="IJ8">
        <f t="shared" si="55"/>
        <v>0</v>
      </c>
      <c r="IK8">
        <f t="shared" si="56"/>
        <v>0</v>
      </c>
      <c r="IL8">
        <f t="shared" si="0"/>
        <v>0</v>
      </c>
      <c r="IM8">
        <f t="shared" si="57"/>
        <v>13</v>
      </c>
      <c r="IN8">
        <f t="shared" si="58"/>
        <v>0</v>
      </c>
      <c r="IO8">
        <f t="shared" si="1"/>
        <v>166.25</v>
      </c>
      <c r="IP8">
        <f t="shared" si="1"/>
        <v>0.75</v>
      </c>
      <c r="IQ8">
        <f t="shared" si="1"/>
        <v>3.25</v>
      </c>
      <c r="IR8">
        <f t="shared" si="1"/>
        <v>0</v>
      </c>
      <c r="IS8">
        <f t="shared" si="1"/>
        <v>0</v>
      </c>
      <c r="IT8">
        <f t="shared" si="1"/>
        <v>0</v>
      </c>
      <c r="IU8">
        <f t="shared" si="1"/>
        <v>0</v>
      </c>
      <c r="IV8">
        <f t="shared" si="1"/>
        <v>3.25</v>
      </c>
      <c r="IW8">
        <f t="shared" si="1"/>
        <v>1</v>
      </c>
      <c r="IX8">
        <f t="shared" si="1"/>
        <v>0.5</v>
      </c>
      <c r="IY8">
        <f t="shared" si="59"/>
        <v>0</v>
      </c>
      <c r="IZ8">
        <f t="shared" si="2"/>
        <v>0.25</v>
      </c>
      <c r="JA8">
        <f t="shared" si="3"/>
        <v>0</v>
      </c>
      <c r="JB8">
        <f t="shared" si="3"/>
        <v>0</v>
      </c>
      <c r="JC8">
        <f t="shared" si="3"/>
        <v>0</v>
      </c>
      <c r="JD8">
        <f t="shared" si="3"/>
        <v>0</v>
      </c>
      <c r="JE8">
        <f t="shared" si="3"/>
        <v>0</v>
      </c>
      <c r="JF8">
        <f t="shared" si="3"/>
        <v>0</v>
      </c>
      <c r="JG8">
        <f t="shared" si="3"/>
        <v>0</v>
      </c>
      <c r="JH8">
        <f t="shared" si="3"/>
        <v>0</v>
      </c>
      <c r="JI8">
        <f t="shared" si="3"/>
        <v>0</v>
      </c>
      <c r="JJ8">
        <f t="shared" si="3"/>
        <v>0</v>
      </c>
      <c r="JK8">
        <f t="shared" si="3"/>
        <v>0</v>
      </c>
      <c r="JL8">
        <f t="shared" si="3"/>
        <v>0.25</v>
      </c>
      <c r="JM8">
        <f t="shared" si="3"/>
        <v>0</v>
      </c>
      <c r="JN8">
        <f t="shared" si="3"/>
        <v>0</v>
      </c>
      <c r="JO8">
        <f t="shared" si="3"/>
        <v>0.75</v>
      </c>
    </row>
    <row r="9" spans="1:277" x14ac:dyDescent="0.25">
      <c r="B9" s="51">
        <v>10</v>
      </c>
      <c r="C9" t="s">
        <v>440</v>
      </c>
      <c r="D9" t="s">
        <v>439</v>
      </c>
      <c r="E9">
        <v>81.125</v>
      </c>
      <c r="F9">
        <v>120.625</v>
      </c>
      <c r="G9">
        <v>80.625</v>
      </c>
      <c r="H9">
        <v>2.9375</v>
      </c>
      <c r="I9" s="51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0.25</v>
      </c>
      <c r="P9">
        <v>0</v>
      </c>
      <c r="Q9">
        <v>0</v>
      </c>
      <c r="R9">
        <v>0</v>
      </c>
      <c r="S9">
        <v>0.5</v>
      </c>
      <c r="T9">
        <v>0</v>
      </c>
      <c r="U9">
        <v>0.5</v>
      </c>
      <c r="V9">
        <v>0</v>
      </c>
      <c r="W9">
        <v>16.5</v>
      </c>
      <c r="X9">
        <v>0</v>
      </c>
      <c r="Y9">
        <v>1.25</v>
      </c>
      <c r="Z9">
        <v>0</v>
      </c>
      <c r="AA9">
        <v>0.25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10.25</v>
      </c>
      <c r="BF9">
        <v>1.5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15</v>
      </c>
      <c r="BX9">
        <v>11.25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1407.5</v>
      </c>
      <c r="CG9">
        <v>0</v>
      </c>
      <c r="CH9">
        <v>169.75</v>
      </c>
      <c r="CI9">
        <v>0</v>
      </c>
      <c r="CJ9">
        <v>0</v>
      </c>
      <c r="CK9">
        <v>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0.75</v>
      </c>
      <c r="CT9">
        <v>1.5</v>
      </c>
      <c r="CU9">
        <v>0</v>
      </c>
      <c r="CV9">
        <v>0.25</v>
      </c>
      <c r="CW9">
        <v>0</v>
      </c>
      <c r="CX9">
        <v>5.25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0.5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P9" s="51">
        <v>10</v>
      </c>
      <c r="EQ9" t="s">
        <v>440</v>
      </c>
      <c r="ER9" t="s">
        <v>439</v>
      </c>
      <c r="ES9">
        <v>81.125</v>
      </c>
      <c r="ET9">
        <v>120.625</v>
      </c>
      <c r="EU9">
        <v>80.625</v>
      </c>
      <c r="EV9">
        <v>2.9375</v>
      </c>
      <c r="EW9" s="51">
        <v>10</v>
      </c>
      <c r="EX9">
        <f t="shared" si="4"/>
        <v>0</v>
      </c>
      <c r="EY9">
        <f t="shared" si="5"/>
        <v>0</v>
      </c>
      <c r="EZ9">
        <f t="shared" si="6"/>
        <v>0</v>
      </c>
      <c r="FA9">
        <f t="shared" si="6"/>
        <v>0.75</v>
      </c>
      <c r="FB9">
        <f t="shared" si="6"/>
        <v>0</v>
      </c>
      <c r="FC9">
        <f t="shared" si="6"/>
        <v>0.5</v>
      </c>
      <c r="FD9">
        <f t="shared" si="7"/>
        <v>0</v>
      </c>
      <c r="FE9">
        <f t="shared" si="7"/>
        <v>17.75</v>
      </c>
      <c r="FF9">
        <f t="shared" si="8"/>
        <v>0.25</v>
      </c>
      <c r="FG9">
        <f t="shared" si="9"/>
        <v>0</v>
      </c>
      <c r="FH9">
        <f t="shared" si="10"/>
        <v>0</v>
      </c>
      <c r="FI9">
        <f t="shared" si="11"/>
        <v>0</v>
      </c>
      <c r="FJ9">
        <f t="shared" si="11"/>
        <v>0</v>
      </c>
      <c r="FK9">
        <f t="shared" si="11"/>
        <v>0</v>
      </c>
      <c r="FL9">
        <f t="shared" si="11"/>
        <v>0</v>
      </c>
      <c r="FM9">
        <f t="shared" si="12"/>
        <v>0</v>
      </c>
      <c r="FN9">
        <f t="shared" si="12"/>
        <v>0</v>
      </c>
      <c r="FO9">
        <f t="shared" si="12"/>
        <v>0</v>
      </c>
      <c r="FP9">
        <f t="shared" si="13"/>
        <v>0</v>
      </c>
      <c r="FQ9">
        <f t="shared" si="13"/>
        <v>0</v>
      </c>
      <c r="FR9">
        <f t="shared" si="13"/>
        <v>0</v>
      </c>
      <c r="FS9">
        <f t="shared" si="14"/>
        <v>0</v>
      </c>
      <c r="FT9">
        <f t="shared" si="14"/>
        <v>10.25</v>
      </c>
      <c r="FU9">
        <f t="shared" si="14"/>
        <v>1.5</v>
      </c>
      <c r="FV9">
        <f t="shared" si="14"/>
        <v>0</v>
      </c>
      <c r="FW9">
        <f t="shared" si="15"/>
        <v>0</v>
      </c>
      <c r="FX9">
        <f t="shared" si="15"/>
        <v>0</v>
      </c>
      <c r="FY9">
        <f t="shared" si="15"/>
        <v>0</v>
      </c>
      <c r="FZ9">
        <f t="shared" si="16"/>
        <v>0</v>
      </c>
      <c r="GA9">
        <f t="shared" si="16"/>
        <v>0</v>
      </c>
      <c r="GB9">
        <f t="shared" si="17"/>
        <v>0</v>
      </c>
      <c r="GC9">
        <f t="shared" si="18"/>
        <v>15</v>
      </c>
      <c r="GD9">
        <f t="shared" si="18"/>
        <v>11.25</v>
      </c>
      <c r="GE9">
        <f t="shared" si="18"/>
        <v>0</v>
      </c>
      <c r="GF9">
        <f t="shared" si="19"/>
        <v>0</v>
      </c>
      <c r="GG9">
        <f t="shared" si="19"/>
        <v>0</v>
      </c>
      <c r="GH9">
        <f t="shared" si="19"/>
        <v>0</v>
      </c>
      <c r="GI9">
        <f t="shared" si="20"/>
        <v>1577.25</v>
      </c>
      <c r="GJ9">
        <f t="shared" si="20"/>
        <v>0</v>
      </c>
      <c r="GK9">
        <f t="shared" si="21"/>
        <v>3</v>
      </c>
      <c r="GL9">
        <f t="shared" si="22"/>
        <v>0</v>
      </c>
      <c r="GM9">
        <f t="shared" si="23"/>
        <v>0</v>
      </c>
      <c r="GN9">
        <f t="shared" si="23"/>
        <v>0</v>
      </c>
      <c r="GO9">
        <f t="shared" si="24"/>
        <v>0</v>
      </c>
      <c r="GP9">
        <f t="shared" si="25"/>
        <v>2.25</v>
      </c>
      <c r="GQ9">
        <f t="shared" si="26"/>
        <v>0.25</v>
      </c>
      <c r="GR9">
        <f t="shared" si="27"/>
        <v>5.25</v>
      </c>
      <c r="GS9">
        <f t="shared" si="28"/>
        <v>0</v>
      </c>
      <c r="GT9">
        <f t="shared" si="28"/>
        <v>0</v>
      </c>
      <c r="GU9">
        <f t="shared" si="28"/>
        <v>0</v>
      </c>
      <c r="GV9">
        <f t="shared" si="29"/>
        <v>0.5</v>
      </c>
      <c r="GW9">
        <f t="shared" si="29"/>
        <v>0</v>
      </c>
      <c r="GX9">
        <f t="shared" si="29"/>
        <v>0</v>
      </c>
      <c r="GY9">
        <f t="shared" si="30"/>
        <v>0</v>
      </c>
      <c r="GZ9">
        <f t="shared" si="31"/>
        <v>0</v>
      </c>
      <c r="HA9">
        <f t="shared" si="32"/>
        <v>0</v>
      </c>
      <c r="HB9">
        <f t="shared" si="33"/>
        <v>0</v>
      </c>
      <c r="HC9">
        <f t="shared" si="34"/>
        <v>0</v>
      </c>
      <c r="HD9">
        <f t="shared" si="35"/>
        <v>0</v>
      </c>
      <c r="HE9">
        <f t="shared" si="36"/>
        <v>0</v>
      </c>
      <c r="HF9">
        <f t="shared" si="37"/>
        <v>0</v>
      </c>
      <c r="HG9">
        <f t="shared" si="38"/>
        <v>0</v>
      </c>
      <c r="HH9">
        <f t="shared" si="39"/>
        <v>0</v>
      </c>
      <c r="HI9">
        <f t="shared" si="40"/>
        <v>0</v>
      </c>
      <c r="HJ9">
        <f t="shared" si="41"/>
        <v>0</v>
      </c>
      <c r="HK9">
        <f t="shared" si="42"/>
        <v>0</v>
      </c>
      <c r="HL9">
        <f t="shared" si="43"/>
        <v>0</v>
      </c>
      <c r="HM9">
        <f t="shared" si="44"/>
        <v>0</v>
      </c>
      <c r="HO9" s="51">
        <v>10</v>
      </c>
      <c r="HP9" t="s">
        <v>440</v>
      </c>
      <c r="HQ9" t="s">
        <v>439</v>
      </c>
      <c r="HR9">
        <v>81.125</v>
      </c>
      <c r="HS9">
        <v>120.625</v>
      </c>
      <c r="HT9">
        <v>80.625</v>
      </c>
      <c r="HU9">
        <v>2.9375</v>
      </c>
      <c r="HV9" s="51">
        <v>10</v>
      </c>
      <c r="HW9">
        <f t="shared" si="45"/>
        <v>0</v>
      </c>
      <c r="HX9">
        <f t="shared" si="45"/>
        <v>0</v>
      </c>
      <c r="HY9">
        <f t="shared" si="46"/>
        <v>1.25</v>
      </c>
      <c r="HZ9">
        <f t="shared" si="47"/>
        <v>17.75</v>
      </c>
      <c r="IA9">
        <f t="shared" si="48"/>
        <v>0.25</v>
      </c>
      <c r="IB9">
        <f t="shared" si="48"/>
        <v>0</v>
      </c>
      <c r="IC9">
        <f t="shared" si="48"/>
        <v>0</v>
      </c>
      <c r="ID9">
        <f t="shared" si="49"/>
        <v>0</v>
      </c>
      <c r="IE9">
        <f t="shared" si="50"/>
        <v>0</v>
      </c>
      <c r="IF9">
        <f t="shared" si="51"/>
        <v>0</v>
      </c>
      <c r="IG9">
        <f t="shared" si="52"/>
        <v>11.75</v>
      </c>
      <c r="IH9">
        <f t="shared" si="53"/>
        <v>0</v>
      </c>
      <c r="II9">
        <f t="shared" si="54"/>
        <v>0</v>
      </c>
      <c r="IJ9">
        <f t="shared" si="55"/>
        <v>0</v>
      </c>
      <c r="IK9">
        <f t="shared" si="56"/>
        <v>0</v>
      </c>
      <c r="IL9">
        <f t="shared" si="0"/>
        <v>0</v>
      </c>
      <c r="IM9">
        <f t="shared" si="57"/>
        <v>26.25</v>
      </c>
      <c r="IN9">
        <f t="shared" si="58"/>
        <v>0</v>
      </c>
      <c r="IO9">
        <f t="shared" si="1"/>
        <v>1577.25</v>
      </c>
      <c r="IP9">
        <f t="shared" si="1"/>
        <v>0</v>
      </c>
      <c r="IQ9">
        <f t="shared" si="1"/>
        <v>3</v>
      </c>
      <c r="IR9">
        <f t="shared" si="1"/>
        <v>0</v>
      </c>
      <c r="IS9">
        <f t="shared" si="1"/>
        <v>0</v>
      </c>
      <c r="IT9">
        <f t="shared" si="1"/>
        <v>0</v>
      </c>
      <c r="IU9">
        <f t="shared" si="1"/>
        <v>0</v>
      </c>
      <c r="IV9">
        <f t="shared" si="1"/>
        <v>2.25</v>
      </c>
      <c r="IW9">
        <f t="shared" si="1"/>
        <v>0.25</v>
      </c>
      <c r="IX9">
        <f t="shared" si="1"/>
        <v>5.25</v>
      </c>
      <c r="IY9">
        <f t="shared" si="59"/>
        <v>0</v>
      </c>
      <c r="IZ9">
        <f t="shared" si="2"/>
        <v>0.5</v>
      </c>
      <c r="JA9">
        <f t="shared" si="3"/>
        <v>0</v>
      </c>
      <c r="JB9">
        <f t="shared" si="3"/>
        <v>0</v>
      </c>
      <c r="JC9">
        <f t="shared" si="3"/>
        <v>0</v>
      </c>
      <c r="JD9">
        <f t="shared" si="3"/>
        <v>0</v>
      </c>
      <c r="JE9">
        <f t="shared" si="3"/>
        <v>0</v>
      </c>
      <c r="JF9">
        <f t="shared" si="3"/>
        <v>0</v>
      </c>
      <c r="JG9">
        <f t="shared" si="3"/>
        <v>0</v>
      </c>
      <c r="JH9">
        <f t="shared" si="3"/>
        <v>0</v>
      </c>
      <c r="JI9">
        <f t="shared" si="3"/>
        <v>0</v>
      </c>
      <c r="JJ9">
        <f t="shared" si="3"/>
        <v>0</v>
      </c>
      <c r="JK9">
        <f t="shared" si="3"/>
        <v>0</v>
      </c>
      <c r="JL9">
        <f t="shared" si="3"/>
        <v>0</v>
      </c>
      <c r="JM9">
        <f t="shared" si="3"/>
        <v>0</v>
      </c>
      <c r="JN9">
        <f t="shared" si="3"/>
        <v>0</v>
      </c>
      <c r="JO9">
        <f t="shared" si="3"/>
        <v>0</v>
      </c>
    </row>
    <row r="10" spans="1:277" x14ac:dyDescent="0.25">
      <c r="B10" s="51">
        <v>11</v>
      </c>
      <c r="C10" t="s">
        <v>16</v>
      </c>
      <c r="D10" t="s">
        <v>439</v>
      </c>
      <c r="E10">
        <v>84.25</v>
      </c>
      <c r="F10">
        <v>100</v>
      </c>
      <c r="G10">
        <v>59.375</v>
      </c>
      <c r="H10">
        <v>3.4375</v>
      </c>
      <c r="I10" s="51">
        <v>11</v>
      </c>
      <c r="J10">
        <v>0</v>
      </c>
      <c r="K10">
        <v>0.25</v>
      </c>
      <c r="L10">
        <v>0</v>
      </c>
      <c r="M10">
        <v>0</v>
      </c>
      <c r="N10">
        <v>0</v>
      </c>
      <c r="O10">
        <v>0</v>
      </c>
      <c r="P10">
        <v>0.25</v>
      </c>
      <c r="Q10">
        <v>0</v>
      </c>
      <c r="R10">
        <v>0</v>
      </c>
      <c r="S10">
        <v>0.25</v>
      </c>
      <c r="T10">
        <v>0</v>
      </c>
      <c r="U10">
        <v>0</v>
      </c>
      <c r="V10">
        <v>0</v>
      </c>
      <c r="W10">
        <v>22.5</v>
      </c>
      <c r="X10">
        <v>0</v>
      </c>
      <c r="Y10">
        <v>0.75</v>
      </c>
      <c r="Z10">
        <v>0</v>
      </c>
      <c r="AA10">
        <v>0.25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0.25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8</v>
      </c>
      <c r="BF10">
        <v>0.25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100</v>
      </c>
      <c r="CG10">
        <v>0</v>
      </c>
      <c r="CH10">
        <v>25</v>
      </c>
      <c r="CI10">
        <v>0</v>
      </c>
      <c r="CJ10">
        <v>0</v>
      </c>
      <c r="CK10">
        <v>25</v>
      </c>
      <c r="CL10">
        <v>0</v>
      </c>
      <c r="CM10">
        <v>0</v>
      </c>
      <c r="CN10">
        <v>0</v>
      </c>
      <c r="CO10">
        <v>0.25</v>
      </c>
      <c r="CP10">
        <v>0</v>
      </c>
      <c r="CQ10">
        <v>0</v>
      </c>
      <c r="CR10">
        <v>0</v>
      </c>
      <c r="CS10">
        <v>0.5</v>
      </c>
      <c r="CT10">
        <v>1.5</v>
      </c>
      <c r="CU10">
        <v>0.25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0.25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0.75</v>
      </c>
      <c r="EP10" s="51">
        <v>11</v>
      </c>
      <c r="EQ10" t="s">
        <v>16</v>
      </c>
      <c r="ER10" t="s">
        <v>439</v>
      </c>
      <c r="ES10">
        <v>84.25</v>
      </c>
      <c r="ET10">
        <v>100</v>
      </c>
      <c r="EU10">
        <v>59.375</v>
      </c>
      <c r="EV10">
        <v>3.4375</v>
      </c>
      <c r="EW10" s="51">
        <v>11</v>
      </c>
      <c r="EX10">
        <f t="shared" si="4"/>
        <v>0.25</v>
      </c>
      <c r="EY10">
        <f t="shared" si="5"/>
        <v>0</v>
      </c>
      <c r="EZ10">
        <f t="shared" si="6"/>
        <v>0</v>
      </c>
      <c r="FA10">
        <f t="shared" si="6"/>
        <v>0.25</v>
      </c>
      <c r="FB10">
        <f t="shared" si="6"/>
        <v>0.25</v>
      </c>
      <c r="FC10">
        <f t="shared" si="6"/>
        <v>0</v>
      </c>
      <c r="FD10">
        <f t="shared" si="7"/>
        <v>0</v>
      </c>
      <c r="FE10">
        <f t="shared" si="7"/>
        <v>23.25</v>
      </c>
      <c r="FF10">
        <f t="shared" si="8"/>
        <v>0.25</v>
      </c>
      <c r="FG10">
        <f t="shared" si="9"/>
        <v>0</v>
      </c>
      <c r="FH10">
        <f t="shared" si="10"/>
        <v>0</v>
      </c>
      <c r="FI10">
        <f t="shared" si="11"/>
        <v>0</v>
      </c>
      <c r="FJ10">
        <f t="shared" si="11"/>
        <v>0</v>
      </c>
      <c r="FK10">
        <f t="shared" si="11"/>
        <v>0</v>
      </c>
      <c r="FL10">
        <f t="shared" si="11"/>
        <v>0.25</v>
      </c>
      <c r="FM10">
        <f t="shared" si="12"/>
        <v>0</v>
      </c>
      <c r="FN10">
        <f t="shared" si="12"/>
        <v>0</v>
      </c>
      <c r="FO10">
        <f t="shared" si="12"/>
        <v>0</v>
      </c>
      <c r="FP10">
        <f t="shared" si="13"/>
        <v>0</v>
      </c>
      <c r="FQ10">
        <f t="shared" si="13"/>
        <v>0</v>
      </c>
      <c r="FR10">
        <f t="shared" si="13"/>
        <v>0</v>
      </c>
      <c r="FS10">
        <f t="shared" si="14"/>
        <v>0</v>
      </c>
      <c r="FT10">
        <f t="shared" si="14"/>
        <v>8</v>
      </c>
      <c r="FU10">
        <f t="shared" si="14"/>
        <v>0.25</v>
      </c>
      <c r="FV10">
        <f t="shared" si="14"/>
        <v>0</v>
      </c>
      <c r="FW10">
        <f t="shared" si="15"/>
        <v>0</v>
      </c>
      <c r="FX10">
        <f t="shared" si="15"/>
        <v>0</v>
      </c>
      <c r="FY10">
        <f t="shared" si="15"/>
        <v>0</v>
      </c>
      <c r="FZ10">
        <f t="shared" si="16"/>
        <v>0</v>
      </c>
      <c r="GA10">
        <f t="shared" si="16"/>
        <v>0</v>
      </c>
      <c r="GB10">
        <f t="shared" si="17"/>
        <v>0</v>
      </c>
      <c r="GC10">
        <f t="shared" si="18"/>
        <v>0</v>
      </c>
      <c r="GD10">
        <f t="shared" si="18"/>
        <v>8</v>
      </c>
      <c r="GE10">
        <f t="shared" si="18"/>
        <v>0</v>
      </c>
      <c r="GF10">
        <f t="shared" si="19"/>
        <v>0</v>
      </c>
      <c r="GG10">
        <f t="shared" si="19"/>
        <v>0</v>
      </c>
      <c r="GH10">
        <f t="shared" si="19"/>
        <v>0</v>
      </c>
      <c r="GI10">
        <f t="shared" si="20"/>
        <v>125</v>
      </c>
      <c r="GJ10">
        <f t="shared" si="20"/>
        <v>0</v>
      </c>
      <c r="GK10">
        <f t="shared" si="21"/>
        <v>25</v>
      </c>
      <c r="GL10">
        <f t="shared" si="22"/>
        <v>0</v>
      </c>
      <c r="GM10">
        <f t="shared" si="23"/>
        <v>0.25</v>
      </c>
      <c r="GN10">
        <f t="shared" si="23"/>
        <v>0</v>
      </c>
      <c r="GO10">
        <f t="shared" si="24"/>
        <v>0</v>
      </c>
      <c r="GP10">
        <f t="shared" si="25"/>
        <v>2</v>
      </c>
      <c r="GQ10">
        <f t="shared" si="26"/>
        <v>0.25</v>
      </c>
      <c r="GR10">
        <f t="shared" si="27"/>
        <v>0</v>
      </c>
      <c r="GS10">
        <f t="shared" si="28"/>
        <v>0</v>
      </c>
      <c r="GT10">
        <f t="shared" si="28"/>
        <v>0</v>
      </c>
      <c r="GU10">
        <f t="shared" si="28"/>
        <v>0</v>
      </c>
      <c r="GV10">
        <f t="shared" si="29"/>
        <v>0</v>
      </c>
      <c r="GW10">
        <f t="shared" si="29"/>
        <v>0</v>
      </c>
      <c r="GX10">
        <f t="shared" si="29"/>
        <v>0</v>
      </c>
      <c r="GY10">
        <f t="shared" si="30"/>
        <v>0</v>
      </c>
      <c r="GZ10">
        <f t="shared" si="31"/>
        <v>0</v>
      </c>
      <c r="HA10">
        <f t="shared" si="32"/>
        <v>0</v>
      </c>
      <c r="HB10">
        <f t="shared" si="33"/>
        <v>0</v>
      </c>
      <c r="HC10">
        <f t="shared" si="34"/>
        <v>0</v>
      </c>
      <c r="HD10">
        <f t="shared" si="35"/>
        <v>0</v>
      </c>
      <c r="HE10">
        <f t="shared" si="36"/>
        <v>0</v>
      </c>
      <c r="HF10">
        <f t="shared" si="37"/>
        <v>0.25</v>
      </c>
      <c r="HG10">
        <f t="shared" si="38"/>
        <v>0</v>
      </c>
      <c r="HH10">
        <f t="shared" si="39"/>
        <v>0</v>
      </c>
      <c r="HI10">
        <f t="shared" si="40"/>
        <v>0</v>
      </c>
      <c r="HJ10">
        <f t="shared" si="41"/>
        <v>0</v>
      </c>
      <c r="HK10">
        <f t="shared" si="42"/>
        <v>0</v>
      </c>
      <c r="HL10">
        <f t="shared" si="43"/>
        <v>0</v>
      </c>
      <c r="HM10">
        <f t="shared" si="44"/>
        <v>0.75</v>
      </c>
      <c r="HO10" s="51">
        <v>11</v>
      </c>
      <c r="HP10" t="s">
        <v>16</v>
      </c>
      <c r="HQ10" t="s">
        <v>439</v>
      </c>
      <c r="HR10">
        <v>84.25</v>
      </c>
      <c r="HS10">
        <v>100</v>
      </c>
      <c r="HT10">
        <v>59.375</v>
      </c>
      <c r="HU10">
        <v>3.4375</v>
      </c>
      <c r="HV10" s="51">
        <v>11</v>
      </c>
      <c r="HW10">
        <f t="shared" si="45"/>
        <v>0.25</v>
      </c>
      <c r="HX10">
        <f t="shared" si="45"/>
        <v>0</v>
      </c>
      <c r="HY10">
        <f t="shared" si="46"/>
        <v>0.5</v>
      </c>
      <c r="HZ10">
        <f t="shared" si="47"/>
        <v>23.25</v>
      </c>
      <c r="IA10">
        <f t="shared" si="48"/>
        <v>0.25</v>
      </c>
      <c r="IB10">
        <f t="shared" si="48"/>
        <v>0</v>
      </c>
      <c r="IC10">
        <f t="shared" si="48"/>
        <v>0</v>
      </c>
      <c r="ID10">
        <f t="shared" si="49"/>
        <v>0.25</v>
      </c>
      <c r="IE10">
        <f t="shared" si="50"/>
        <v>0</v>
      </c>
      <c r="IF10">
        <f t="shared" si="51"/>
        <v>0</v>
      </c>
      <c r="IG10">
        <f t="shared" si="52"/>
        <v>8.25</v>
      </c>
      <c r="IH10">
        <f t="shared" si="53"/>
        <v>0</v>
      </c>
      <c r="II10">
        <f t="shared" si="54"/>
        <v>0</v>
      </c>
      <c r="IJ10">
        <f t="shared" si="55"/>
        <v>0</v>
      </c>
      <c r="IK10">
        <f t="shared" si="56"/>
        <v>0</v>
      </c>
      <c r="IL10">
        <f t="shared" si="0"/>
        <v>0</v>
      </c>
      <c r="IM10">
        <f t="shared" si="57"/>
        <v>8</v>
      </c>
      <c r="IN10">
        <f t="shared" si="58"/>
        <v>0</v>
      </c>
      <c r="IO10">
        <f t="shared" si="1"/>
        <v>125</v>
      </c>
      <c r="IP10">
        <f t="shared" si="1"/>
        <v>0</v>
      </c>
      <c r="IQ10">
        <f t="shared" si="1"/>
        <v>25</v>
      </c>
      <c r="IR10">
        <f t="shared" si="1"/>
        <v>0</v>
      </c>
      <c r="IS10">
        <f t="shared" si="1"/>
        <v>0.25</v>
      </c>
      <c r="IT10">
        <f t="shared" si="1"/>
        <v>0</v>
      </c>
      <c r="IU10">
        <f t="shared" si="1"/>
        <v>0</v>
      </c>
      <c r="IV10">
        <f t="shared" si="1"/>
        <v>2</v>
      </c>
      <c r="IW10">
        <f t="shared" si="1"/>
        <v>0.25</v>
      </c>
      <c r="IX10">
        <f t="shared" si="1"/>
        <v>0</v>
      </c>
      <c r="IY10">
        <f t="shared" si="59"/>
        <v>0</v>
      </c>
      <c r="IZ10">
        <f t="shared" si="2"/>
        <v>0</v>
      </c>
      <c r="JA10">
        <f t="shared" si="3"/>
        <v>0</v>
      </c>
      <c r="JB10">
        <f t="shared" si="3"/>
        <v>0</v>
      </c>
      <c r="JC10">
        <f t="shared" si="3"/>
        <v>0</v>
      </c>
      <c r="JD10">
        <f t="shared" si="3"/>
        <v>0</v>
      </c>
      <c r="JE10">
        <f t="shared" si="3"/>
        <v>0</v>
      </c>
      <c r="JF10">
        <f t="shared" si="3"/>
        <v>0</v>
      </c>
      <c r="JG10">
        <f t="shared" si="3"/>
        <v>0</v>
      </c>
      <c r="JH10">
        <f t="shared" si="3"/>
        <v>0.25</v>
      </c>
      <c r="JI10">
        <f t="shared" si="3"/>
        <v>0</v>
      </c>
      <c r="JJ10">
        <f t="shared" si="3"/>
        <v>0</v>
      </c>
      <c r="JK10">
        <f t="shared" si="3"/>
        <v>0</v>
      </c>
      <c r="JL10">
        <f t="shared" si="3"/>
        <v>0</v>
      </c>
      <c r="JM10">
        <f t="shared" si="3"/>
        <v>0</v>
      </c>
      <c r="JN10">
        <f t="shared" si="3"/>
        <v>0</v>
      </c>
      <c r="JO10">
        <f t="shared" si="3"/>
        <v>0.75</v>
      </c>
    </row>
    <row r="11" spans="1:277" x14ac:dyDescent="0.25">
      <c r="B11" s="51">
        <v>13</v>
      </c>
      <c r="C11" t="s">
        <v>0</v>
      </c>
      <c r="D11" t="s">
        <v>439</v>
      </c>
      <c r="E11">
        <v>80.75</v>
      </c>
      <c r="F11">
        <v>146.25</v>
      </c>
      <c r="G11">
        <v>110.5</v>
      </c>
      <c r="H11">
        <v>2.875</v>
      </c>
      <c r="I11" s="51">
        <v>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0.25</v>
      </c>
      <c r="Q11">
        <v>0.25</v>
      </c>
      <c r="R11">
        <v>0</v>
      </c>
      <c r="S11">
        <v>0</v>
      </c>
      <c r="T11">
        <v>0.25</v>
      </c>
      <c r="U11">
        <v>0.75</v>
      </c>
      <c r="V11">
        <v>0</v>
      </c>
      <c r="W11">
        <v>19.25</v>
      </c>
      <c r="X11">
        <v>0</v>
      </c>
      <c r="Y11">
        <v>0.25</v>
      </c>
      <c r="Z11">
        <v>0.25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8.75</v>
      </c>
      <c r="BF11">
        <v>1.5</v>
      </c>
      <c r="BG11">
        <v>0.25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0.5</v>
      </c>
      <c r="BX11">
        <v>14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723</v>
      </c>
      <c r="CG11">
        <v>0</v>
      </c>
      <c r="CH11">
        <v>113.75</v>
      </c>
      <c r="CI11">
        <v>3.5</v>
      </c>
      <c r="CJ11">
        <v>0</v>
      </c>
      <c r="CK11">
        <v>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0.25</v>
      </c>
      <c r="CT11">
        <v>1</v>
      </c>
      <c r="CU11">
        <v>0.25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1.25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0.25</v>
      </c>
      <c r="EP11" s="51">
        <v>13</v>
      </c>
      <c r="EQ11" t="s">
        <v>0</v>
      </c>
      <c r="ER11" t="s">
        <v>439</v>
      </c>
      <c r="ES11">
        <v>80.75</v>
      </c>
      <c r="ET11">
        <v>146.25</v>
      </c>
      <c r="EU11">
        <v>110.5</v>
      </c>
      <c r="EV11">
        <v>2.875</v>
      </c>
      <c r="EW11" s="51">
        <v>13</v>
      </c>
      <c r="EX11">
        <f t="shared" si="4"/>
        <v>0</v>
      </c>
      <c r="EY11">
        <f t="shared" si="5"/>
        <v>0</v>
      </c>
      <c r="EZ11">
        <f t="shared" si="6"/>
        <v>0</v>
      </c>
      <c r="FA11">
        <f t="shared" si="6"/>
        <v>0</v>
      </c>
      <c r="FB11">
        <f t="shared" si="6"/>
        <v>0.5</v>
      </c>
      <c r="FC11">
        <f t="shared" si="6"/>
        <v>1</v>
      </c>
      <c r="FD11">
        <f t="shared" si="7"/>
        <v>0</v>
      </c>
      <c r="FE11">
        <f t="shared" si="7"/>
        <v>19.5</v>
      </c>
      <c r="FF11">
        <f t="shared" si="8"/>
        <v>0.25</v>
      </c>
      <c r="FG11">
        <f t="shared" si="9"/>
        <v>0</v>
      </c>
      <c r="FH11">
        <f t="shared" si="10"/>
        <v>0</v>
      </c>
      <c r="FI11">
        <f t="shared" si="11"/>
        <v>0</v>
      </c>
      <c r="FJ11">
        <f t="shared" si="11"/>
        <v>0</v>
      </c>
      <c r="FK11">
        <f t="shared" si="11"/>
        <v>0</v>
      </c>
      <c r="FL11">
        <f t="shared" si="11"/>
        <v>0</v>
      </c>
      <c r="FM11">
        <f t="shared" si="12"/>
        <v>0</v>
      </c>
      <c r="FN11">
        <f t="shared" si="12"/>
        <v>0</v>
      </c>
      <c r="FO11">
        <f t="shared" si="12"/>
        <v>0</v>
      </c>
      <c r="FP11">
        <f t="shared" si="13"/>
        <v>0</v>
      </c>
      <c r="FQ11">
        <f t="shared" si="13"/>
        <v>0</v>
      </c>
      <c r="FR11">
        <f t="shared" si="13"/>
        <v>0</v>
      </c>
      <c r="FS11">
        <f t="shared" si="14"/>
        <v>0</v>
      </c>
      <c r="FT11">
        <f t="shared" si="14"/>
        <v>8.75</v>
      </c>
      <c r="FU11">
        <f t="shared" si="14"/>
        <v>1.5</v>
      </c>
      <c r="FV11">
        <f t="shared" si="14"/>
        <v>0.25</v>
      </c>
      <c r="FW11">
        <f t="shared" si="15"/>
        <v>0</v>
      </c>
      <c r="FX11">
        <f t="shared" si="15"/>
        <v>0</v>
      </c>
      <c r="FY11">
        <f t="shared" si="15"/>
        <v>0</v>
      </c>
      <c r="FZ11">
        <f t="shared" si="16"/>
        <v>0</v>
      </c>
      <c r="GA11">
        <f t="shared" si="16"/>
        <v>0</v>
      </c>
      <c r="GB11">
        <f t="shared" si="17"/>
        <v>0</v>
      </c>
      <c r="GC11">
        <f t="shared" si="18"/>
        <v>0.5</v>
      </c>
      <c r="GD11">
        <f t="shared" si="18"/>
        <v>14</v>
      </c>
      <c r="GE11">
        <f t="shared" si="18"/>
        <v>0</v>
      </c>
      <c r="GF11">
        <f t="shared" si="19"/>
        <v>0</v>
      </c>
      <c r="GG11">
        <f t="shared" si="19"/>
        <v>0</v>
      </c>
      <c r="GH11">
        <f t="shared" si="19"/>
        <v>0</v>
      </c>
      <c r="GI11">
        <f t="shared" si="20"/>
        <v>836.75</v>
      </c>
      <c r="GJ11">
        <f t="shared" si="20"/>
        <v>3.5</v>
      </c>
      <c r="GK11">
        <f t="shared" si="21"/>
        <v>9</v>
      </c>
      <c r="GL11">
        <f t="shared" si="22"/>
        <v>0</v>
      </c>
      <c r="GM11">
        <f t="shared" si="23"/>
        <v>0</v>
      </c>
      <c r="GN11">
        <f t="shared" si="23"/>
        <v>0</v>
      </c>
      <c r="GO11">
        <f t="shared" si="24"/>
        <v>0</v>
      </c>
      <c r="GP11">
        <f t="shared" si="25"/>
        <v>1.25</v>
      </c>
      <c r="GQ11">
        <f t="shared" si="26"/>
        <v>0.25</v>
      </c>
      <c r="GR11">
        <f t="shared" si="27"/>
        <v>0</v>
      </c>
      <c r="GS11">
        <f t="shared" si="28"/>
        <v>0</v>
      </c>
      <c r="GT11">
        <f t="shared" si="28"/>
        <v>0</v>
      </c>
      <c r="GU11">
        <f t="shared" si="28"/>
        <v>0</v>
      </c>
      <c r="GV11">
        <f t="shared" si="29"/>
        <v>1.25</v>
      </c>
      <c r="GW11">
        <f t="shared" si="29"/>
        <v>0</v>
      </c>
      <c r="GX11">
        <f t="shared" si="29"/>
        <v>0</v>
      </c>
      <c r="GY11">
        <f t="shared" si="30"/>
        <v>0</v>
      </c>
      <c r="GZ11">
        <f t="shared" si="31"/>
        <v>0</v>
      </c>
      <c r="HA11">
        <f t="shared" si="32"/>
        <v>0</v>
      </c>
      <c r="HB11">
        <f t="shared" si="33"/>
        <v>0</v>
      </c>
      <c r="HC11">
        <f t="shared" si="34"/>
        <v>0</v>
      </c>
      <c r="HD11">
        <f t="shared" si="35"/>
        <v>0</v>
      </c>
      <c r="HE11">
        <f t="shared" si="36"/>
        <v>0</v>
      </c>
      <c r="HF11">
        <f t="shared" si="37"/>
        <v>0</v>
      </c>
      <c r="HG11">
        <f t="shared" si="38"/>
        <v>0</v>
      </c>
      <c r="HH11">
        <f t="shared" si="39"/>
        <v>0</v>
      </c>
      <c r="HI11">
        <f t="shared" si="40"/>
        <v>0</v>
      </c>
      <c r="HJ11">
        <f t="shared" si="41"/>
        <v>0</v>
      </c>
      <c r="HK11">
        <f t="shared" si="42"/>
        <v>0</v>
      </c>
      <c r="HL11">
        <f t="shared" si="43"/>
        <v>0</v>
      </c>
      <c r="HM11">
        <f t="shared" si="44"/>
        <v>0.25</v>
      </c>
      <c r="HO11" s="51">
        <v>13</v>
      </c>
      <c r="HP11" t="s">
        <v>0</v>
      </c>
      <c r="HQ11" t="s">
        <v>439</v>
      </c>
      <c r="HR11">
        <v>80.75</v>
      </c>
      <c r="HS11">
        <v>146.25</v>
      </c>
      <c r="HT11">
        <v>110.5</v>
      </c>
      <c r="HU11">
        <v>2.875</v>
      </c>
      <c r="HV11" s="51">
        <v>13</v>
      </c>
      <c r="HW11">
        <f t="shared" si="45"/>
        <v>0</v>
      </c>
      <c r="HX11">
        <f t="shared" si="45"/>
        <v>0</v>
      </c>
      <c r="HY11">
        <f t="shared" si="46"/>
        <v>1.5</v>
      </c>
      <c r="HZ11">
        <f t="shared" si="47"/>
        <v>19.5</v>
      </c>
      <c r="IA11">
        <f t="shared" si="48"/>
        <v>0.25</v>
      </c>
      <c r="IB11">
        <f t="shared" si="48"/>
        <v>0</v>
      </c>
      <c r="IC11">
        <f t="shared" si="48"/>
        <v>0</v>
      </c>
      <c r="ID11">
        <f t="shared" si="49"/>
        <v>0</v>
      </c>
      <c r="IE11">
        <f t="shared" si="50"/>
        <v>0</v>
      </c>
      <c r="IF11">
        <f t="shared" si="51"/>
        <v>0</v>
      </c>
      <c r="IG11">
        <f t="shared" si="52"/>
        <v>10.25</v>
      </c>
      <c r="IH11">
        <f t="shared" si="53"/>
        <v>0.25</v>
      </c>
      <c r="II11">
        <f t="shared" si="54"/>
        <v>0</v>
      </c>
      <c r="IJ11">
        <f t="shared" si="55"/>
        <v>0</v>
      </c>
      <c r="IK11">
        <f t="shared" si="56"/>
        <v>0</v>
      </c>
      <c r="IL11">
        <f t="shared" si="0"/>
        <v>0</v>
      </c>
      <c r="IM11">
        <f t="shared" si="57"/>
        <v>14.5</v>
      </c>
      <c r="IN11">
        <f t="shared" si="58"/>
        <v>0</v>
      </c>
      <c r="IO11">
        <f t="shared" si="1"/>
        <v>836.75</v>
      </c>
      <c r="IP11">
        <f t="shared" si="1"/>
        <v>3.5</v>
      </c>
      <c r="IQ11">
        <f t="shared" si="1"/>
        <v>9</v>
      </c>
      <c r="IR11">
        <f t="shared" si="1"/>
        <v>0</v>
      </c>
      <c r="IS11">
        <f t="shared" si="1"/>
        <v>0</v>
      </c>
      <c r="IT11">
        <f t="shared" si="1"/>
        <v>0</v>
      </c>
      <c r="IU11">
        <f t="shared" si="1"/>
        <v>0</v>
      </c>
      <c r="IV11">
        <f t="shared" si="1"/>
        <v>1.25</v>
      </c>
      <c r="IW11">
        <f t="shared" si="1"/>
        <v>0.25</v>
      </c>
      <c r="IX11">
        <f t="shared" si="1"/>
        <v>0</v>
      </c>
      <c r="IY11">
        <f t="shared" si="59"/>
        <v>0</v>
      </c>
      <c r="IZ11">
        <f t="shared" si="2"/>
        <v>1.25</v>
      </c>
      <c r="JA11">
        <f t="shared" si="3"/>
        <v>0</v>
      </c>
      <c r="JB11">
        <f t="shared" si="3"/>
        <v>0</v>
      </c>
      <c r="JC11">
        <f t="shared" si="3"/>
        <v>0</v>
      </c>
      <c r="JD11">
        <f t="shared" si="3"/>
        <v>0</v>
      </c>
      <c r="JE11">
        <f t="shared" si="3"/>
        <v>0</v>
      </c>
      <c r="JF11">
        <f t="shared" si="3"/>
        <v>0</v>
      </c>
      <c r="JG11">
        <f t="shared" si="3"/>
        <v>0</v>
      </c>
      <c r="JH11">
        <f t="shared" si="3"/>
        <v>0</v>
      </c>
      <c r="JI11">
        <f t="shared" si="3"/>
        <v>0</v>
      </c>
      <c r="JJ11">
        <f t="shared" si="3"/>
        <v>0</v>
      </c>
      <c r="JK11">
        <f t="shared" si="3"/>
        <v>0</v>
      </c>
      <c r="JL11">
        <f t="shared" si="3"/>
        <v>0</v>
      </c>
      <c r="JM11">
        <f t="shared" si="3"/>
        <v>0</v>
      </c>
      <c r="JN11">
        <f t="shared" si="3"/>
        <v>0</v>
      </c>
      <c r="JO11">
        <f t="shared" si="3"/>
        <v>0.25</v>
      </c>
    </row>
    <row r="12" spans="1:277" x14ac:dyDescent="0.25">
      <c r="B12" s="51">
        <v>14</v>
      </c>
      <c r="C12" t="s">
        <v>16</v>
      </c>
      <c r="D12" t="s">
        <v>439</v>
      </c>
      <c r="E12">
        <v>97.375</v>
      </c>
      <c r="F12">
        <v>190</v>
      </c>
      <c r="G12">
        <v>166.75</v>
      </c>
      <c r="H12">
        <v>2.125</v>
      </c>
      <c r="I12" s="51">
        <v>14</v>
      </c>
      <c r="J12">
        <v>0</v>
      </c>
      <c r="K12">
        <v>0.25</v>
      </c>
      <c r="L12">
        <v>0</v>
      </c>
      <c r="M12">
        <v>0</v>
      </c>
      <c r="N12">
        <v>0</v>
      </c>
      <c r="O12">
        <v>0</v>
      </c>
      <c r="P12">
        <v>0.25</v>
      </c>
      <c r="Q12">
        <v>1</v>
      </c>
      <c r="R12">
        <v>0</v>
      </c>
      <c r="S12">
        <v>0</v>
      </c>
      <c r="T12">
        <v>0</v>
      </c>
      <c r="U12">
        <v>0.75</v>
      </c>
      <c r="V12">
        <v>0</v>
      </c>
      <c r="W12">
        <v>21</v>
      </c>
      <c r="X12">
        <v>0</v>
      </c>
      <c r="Y12">
        <v>18</v>
      </c>
      <c r="Z12">
        <v>0.25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0.25</v>
      </c>
      <c r="BB12">
        <v>0</v>
      </c>
      <c r="BC12">
        <v>0</v>
      </c>
      <c r="BD12">
        <v>0</v>
      </c>
      <c r="BE12">
        <v>7</v>
      </c>
      <c r="BF12">
        <v>1.5</v>
      </c>
      <c r="BG12">
        <v>0.25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1.75</v>
      </c>
      <c r="BX12">
        <v>17.75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2494.25</v>
      </c>
      <c r="CG12">
        <v>15.5</v>
      </c>
      <c r="CH12">
        <v>885</v>
      </c>
      <c r="CI12">
        <v>4.5</v>
      </c>
      <c r="CJ12">
        <v>0</v>
      </c>
      <c r="CK12">
        <v>26.5</v>
      </c>
      <c r="CL12">
        <v>5</v>
      </c>
      <c r="CM12">
        <v>0</v>
      </c>
      <c r="CN12">
        <v>0</v>
      </c>
      <c r="CO12">
        <v>0.5</v>
      </c>
      <c r="CP12">
        <v>0</v>
      </c>
      <c r="CQ12">
        <v>0</v>
      </c>
      <c r="CR12">
        <v>0</v>
      </c>
      <c r="CS12">
        <v>0.25</v>
      </c>
      <c r="CT12">
        <v>1.75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0.75</v>
      </c>
      <c r="DA12">
        <v>0</v>
      </c>
      <c r="DB12">
        <v>0</v>
      </c>
      <c r="DC12">
        <v>0.75</v>
      </c>
      <c r="DD12">
        <v>0</v>
      </c>
      <c r="DE12">
        <v>0</v>
      </c>
      <c r="DF12">
        <v>0.25</v>
      </c>
      <c r="DG12">
        <v>0</v>
      </c>
      <c r="DH12">
        <v>0.5</v>
      </c>
      <c r="DI12">
        <v>0</v>
      </c>
      <c r="DJ12">
        <v>0</v>
      </c>
      <c r="DK12">
        <v>0</v>
      </c>
      <c r="DL12">
        <v>0.5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0.5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3.5</v>
      </c>
      <c r="EP12" s="51">
        <v>14</v>
      </c>
      <c r="EQ12" t="s">
        <v>16</v>
      </c>
      <c r="ER12" t="s">
        <v>439</v>
      </c>
      <c r="ES12">
        <v>97.375</v>
      </c>
      <c r="ET12">
        <v>190</v>
      </c>
      <c r="EU12">
        <v>166.75</v>
      </c>
      <c r="EV12">
        <v>2.125</v>
      </c>
      <c r="EW12" s="51">
        <v>14</v>
      </c>
      <c r="EX12">
        <f t="shared" si="4"/>
        <v>0.25</v>
      </c>
      <c r="EY12">
        <f t="shared" si="5"/>
        <v>0</v>
      </c>
      <c r="EZ12">
        <f t="shared" si="6"/>
        <v>0</v>
      </c>
      <c r="FA12">
        <f t="shared" si="6"/>
        <v>0</v>
      </c>
      <c r="FB12">
        <f t="shared" si="6"/>
        <v>0.25</v>
      </c>
      <c r="FC12">
        <f t="shared" si="6"/>
        <v>1.75</v>
      </c>
      <c r="FD12">
        <f t="shared" si="7"/>
        <v>0</v>
      </c>
      <c r="FE12">
        <f t="shared" si="7"/>
        <v>39</v>
      </c>
      <c r="FF12">
        <f t="shared" si="8"/>
        <v>0.25</v>
      </c>
      <c r="FG12">
        <f t="shared" si="9"/>
        <v>0</v>
      </c>
      <c r="FH12">
        <f t="shared" si="10"/>
        <v>0</v>
      </c>
      <c r="FI12">
        <f t="shared" si="11"/>
        <v>0</v>
      </c>
      <c r="FJ12">
        <f t="shared" si="11"/>
        <v>0</v>
      </c>
      <c r="FK12">
        <f t="shared" si="11"/>
        <v>0</v>
      </c>
      <c r="FL12">
        <f t="shared" si="11"/>
        <v>0</v>
      </c>
      <c r="FM12">
        <f t="shared" si="12"/>
        <v>0</v>
      </c>
      <c r="FN12">
        <f t="shared" si="12"/>
        <v>0</v>
      </c>
      <c r="FO12">
        <f t="shared" si="12"/>
        <v>0</v>
      </c>
      <c r="FP12">
        <f t="shared" si="13"/>
        <v>0</v>
      </c>
      <c r="FQ12">
        <f t="shared" si="13"/>
        <v>0</v>
      </c>
      <c r="FR12">
        <f t="shared" si="13"/>
        <v>0</v>
      </c>
      <c r="FS12">
        <f t="shared" si="14"/>
        <v>0</v>
      </c>
      <c r="FT12">
        <f t="shared" si="14"/>
        <v>7.25</v>
      </c>
      <c r="FU12">
        <f t="shared" si="14"/>
        <v>1.5</v>
      </c>
      <c r="FV12">
        <f t="shared" si="14"/>
        <v>0.25</v>
      </c>
      <c r="FW12">
        <f t="shared" si="15"/>
        <v>0</v>
      </c>
      <c r="FX12">
        <f t="shared" si="15"/>
        <v>0</v>
      </c>
      <c r="FY12">
        <f t="shared" si="15"/>
        <v>0</v>
      </c>
      <c r="FZ12">
        <f t="shared" si="16"/>
        <v>0</v>
      </c>
      <c r="GA12">
        <f t="shared" si="16"/>
        <v>0</v>
      </c>
      <c r="GB12">
        <f t="shared" si="17"/>
        <v>0</v>
      </c>
      <c r="GC12">
        <f t="shared" si="18"/>
        <v>1.75</v>
      </c>
      <c r="GD12">
        <f t="shared" si="18"/>
        <v>17.75</v>
      </c>
      <c r="GE12">
        <f t="shared" si="18"/>
        <v>0</v>
      </c>
      <c r="GF12">
        <f t="shared" si="19"/>
        <v>0</v>
      </c>
      <c r="GG12">
        <f t="shared" si="19"/>
        <v>0</v>
      </c>
      <c r="GH12">
        <f t="shared" si="19"/>
        <v>0</v>
      </c>
      <c r="GI12">
        <f t="shared" si="20"/>
        <v>3379.25</v>
      </c>
      <c r="GJ12">
        <f t="shared" si="20"/>
        <v>20</v>
      </c>
      <c r="GK12">
        <f t="shared" si="21"/>
        <v>26.5</v>
      </c>
      <c r="GL12">
        <f t="shared" si="22"/>
        <v>5</v>
      </c>
      <c r="GM12">
        <f t="shared" si="23"/>
        <v>0.5</v>
      </c>
      <c r="GN12">
        <f t="shared" si="23"/>
        <v>0</v>
      </c>
      <c r="GO12">
        <f t="shared" si="24"/>
        <v>0</v>
      </c>
      <c r="GP12">
        <f t="shared" si="25"/>
        <v>2</v>
      </c>
      <c r="GQ12">
        <f t="shared" si="26"/>
        <v>0</v>
      </c>
      <c r="GR12">
        <f t="shared" si="27"/>
        <v>0</v>
      </c>
      <c r="GS12">
        <f t="shared" si="28"/>
        <v>0</v>
      </c>
      <c r="GT12">
        <f t="shared" si="28"/>
        <v>1.5</v>
      </c>
      <c r="GU12">
        <f t="shared" si="28"/>
        <v>0</v>
      </c>
      <c r="GV12">
        <f t="shared" si="29"/>
        <v>0.5</v>
      </c>
      <c r="GW12">
        <f t="shared" si="29"/>
        <v>0.25</v>
      </c>
      <c r="GX12">
        <f t="shared" si="29"/>
        <v>0</v>
      </c>
      <c r="GY12">
        <f t="shared" si="30"/>
        <v>0.5</v>
      </c>
      <c r="GZ12">
        <f t="shared" si="31"/>
        <v>0</v>
      </c>
      <c r="HA12">
        <f t="shared" si="32"/>
        <v>0</v>
      </c>
      <c r="HB12">
        <f t="shared" si="33"/>
        <v>0</v>
      </c>
      <c r="HC12">
        <f t="shared" si="34"/>
        <v>0.5</v>
      </c>
      <c r="HD12">
        <f t="shared" si="35"/>
        <v>0</v>
      </c>
      <c r="HE12">
        <f t="shared" si="36"/>
        <v>0</v>
      </c>
      <c r="HF12">
        <f t="shared" si="37"/>
        <v>0</v>
      </c>
      <c r="HG12">
        <f t="shared" si="38"/>
        <v>0</v>
      </c>
      <c r="HH12">
        <f t="shared" si="39"/>
        <v>0</v>
      </c>
      <c r="HI12">
        <f t="shared" si="40"/>
        <v>0</v>
      </c>
      <c r="HJ12">
        <f t="shared" si="41"/>
        <v>0</v>
      </c>
      <c r="HK12">
        <f t="shared" si="42"/>
        <v>0</v>
      </c>
      <c r="HL12">
        <f t="shared" si="43"/>
        <v>0</v>
      </c>
      <c r="HM12">
        <f t="shared" si="44"/>
        <v>3.5</v>
      </c>
      <c r="HO12" s="51">
        <v>14</v>
      </c>
      <c r="HP12" t="s">
        <v>16</v>
      </c>
      <c r="HQ12" t="s">
        <v>439</v>
      </c>
      <c r="HR12">
        <v>97.375</v>
      </c>
      <c r="HS12">
        <v>190</v>
      </c>
      <c r="HT12">
        <v>166.75</v>
      </c>
      <c r="HU12">
        <v>2.125</v>
      </c>
      <c r="HV12" s="51">
        <v>14</v>
      </c>
      <c r="HW12">
        <f t="shared" si="45"/>
        <v>0.25</v>
      </c>
      <c r="HX12">
        <f t="shared" si="45"/>
        <v>0</v>
      </c>
      <c r="HY12">
        <f t="shared" si="46"/>
        <v>2</v>
      </c>
      <c r="HZ12">
        <f t="shared" si="47"/>
        <v>39</v>
      </c>
      <c r="IA12">
        <f t="shared" si="48"/>
        <v>0.25</v>
      </c>
      <c r="IB12">
        <f t="shared" si="48"/>
        <v>0</v>
      </c>
      <c r="IC12">
        <f t="shared" si="48"/>
        <v>0</v>
      </c>
      <c r="ID12">
        <f t="shared" si="49"/>
        <v>0</v>
      </c>
      <c r="IE12">
        <f t="shared" si="50"/>
        <v>0</v>
      </c>
      <c r="IF12">
        <f t="shared" si="51"/>
        <v>0</v>
      </c>
      <c r="IG12">
        <f t="shared" si="52"/>
        <v>8.75</v>
      </c>
      <c r="IH12">
        <f t="shared" si="53"/>
        <v>0.25</v>
      </c>
      <c r="II12">
        <f t="shared" si="54"/>
        <v>0</v>
      </c>
      <c r="IJ12">
        <f t="shared" si="55"/>
        <v>0</v>
      </c>
      <c r="IK12">
        <f t="shared" si="56"/>
        <v>0</v>
      </c>
      <c r="IL12">
        <f t="shared" si="0"/>
        <v>0</v>
      </c>
      <c r="IM12">
        <f t="shared" si="57"/>
        <v>19.5</v>
      </c>
      <c r="IN12">
        <f t="shared" si="58"/>
        <v>0</v>
      </c>
      <c r="IO12">
        <f t="shared" si="1"/>
        <v>3379.25</v>
      </c>
      <c r="IP12">
        <f t="shared" si="1"/>
        <v>20</v>
      </c>
      <c r="IQ12">
        <f t="shared" si="1"/>
        <v>26.5</v>
      </c>
      <c r="IR12">
        <f t="shared" si="1"/>
        <v>5</v>
      </c>
      <c r="IS12">
        <f t="shared" si="1"/>
        <v>0.5</v>
      </c>
      <c r="IT12">
        <f t="shared" si="1"/>
        <v>0</v>
      </c>
      <c r="IU12">
        <f t="shared" si="1"/>
        <v>0</v>
      </c>
      <c r="IV12">
        <f t="shared" si="1"/>
        <v>2</v>
      </c>
      <c r="IW12">
        <f t="shared" si="1"/>
        <v>0</v>
      </c>
      <c r="IX12">
        <f t="shared" si="1"/>
        <v>0</v>
      </c>
      <c r="IY12">
        <f t="shared" si="59"/>
        <v>1.5</v>
      </c>
      <c r="IZ12">
        <f t="shared" si="2"/>
        <v>0.75</v>
      </c>
      <c r="JA12">
        <f t="shared" si="3"/>
        <v>0.5</v>
      </c>
      <c r="JB12">
        <f t="shared" si="3"/>
        <v>0</v>
      </c>
      <c r="JC12">
        <f t="shared" si="3"/>
        <v>0</v>
      </c>
      <c r="JD12">
        <f t="shared" si="3"/>
        <v>0</v>
      </c>
      <c r="JE12">
        <f t="shared" si="3"/>
        <v>0.5</v>
      </c>
      <c r="JF12">
        <f t="shared" si="3"/>
        <v>0</v>
      </c>
      <c r="JG12">
        <f t="shared" si="3"/>
        <v>0</v>
      </c>
      <c r="JH12">
        <f t="shared" si="3"/>
        <v>0</v>
      </c>
      <c r="JI12">
        <f t="shared" si="3"/>
        <v>0</v>
      </c>
      <c r="JJ12">
        <f t="shared" si="3"/>
        <v>0</v>
      </c>
      <c r="JK12">
        <f t="shared" si="3"/>
        <v>0</v>
      </c>
      <c r="JL12">
        <f t="shared" si="3"/>
        <v>0</v>
      </c>
      <c r="JM12">
        <f t="shared" si="3"/>
        <v>0</v>
      </c>
      <c r="JN12">
        <f t="shared" si="3"/>
        <v>0</v>
      </c>
      <c r="JO12">
        <f t="shared" si="3"/>
        <v>3.5</v>
      </c>
    </row>
    <row r="13" spans="1:277" x14ac:dyDescent="0.25">
      <c r="B13" s="51">
        <v>17</v>
      </c>
      <c r="C13" t="s">
        <v>440</v>
      </c>
      <c r="D13" t="s">
        <v>439</v>
      </c>
      <c r="E13">
        <v>80.25</v>
      </c>
      <c r="F13">
        <v>113.75</v>
      </c>
      <c r="G13">
        <v>90.875</v>
      </c>
      <c r="H13">
        <v>2.5</v>
      </c>
      <c r="I13" s="51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0.25</v>
      </c>
      <c r="U13">
        <v>0.75</v>
      </c>
      <c r="V13">
        <v>0</v>
      </c>
      <c r="W13">
        <v>20.25</v>
      </c>
      <c r="X13">
        <v>0</v>
      </c>
      <c r="Y13">
        <v>3.25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0.25</v>
      </c>
      <c r="BB13">
        <v>0.25</v>
      </c>
      <c r="BC13">
        <v>0</v>
      </c>
      <c r="BD13">
        <v>0</v>
      </c>
      <c r="BE13">
        <v>11.5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10.25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1028</v>
      </c>
      <c r="CG13">
        <v>0</v>
      </c>
      <c r="CH13">
        <v>135.5</v>
      </c>
      <c r="CI13">
        <v>22.5</v>
      </c>
      <c r="CJ13">
        <v>0</v>
      </c>
      <c r="CK13">
        <v>0.25</v>
      </c>
      <c r="CL13">
        <v>0</v>
      </c>
      <c r="CM13">
        <v>0</v>
      </c>
      <c r="CN13">
        <v>0</v>
      </c>
      <c r="CO13">
        <v>0.25</v>
      </c>
      <c r="CP13">
        <v>0.25</v>
      </c>
      <c r="CQ13">
        <v>0</v>
      </c>
      <c r="CR13">
        <v>0</v>
      </c>
      <c r="CS13">
        <v>0.75</v>
      </c>
      <c r="CT13">
        <v>3.75</v>
      </c>
      <c r="CU13">
        <v>0.25</v>
      </c>
      <c r="CV13">
        <v>0.25</v>
      </c>
      <c r="CW13">
        <v>0</v>
      </c>
      <c r="CX13">
        <v>0</v>
      </c>
      <c r="CY13">
        <v>0</v>
      </c>
      <c r="CZ13">
        <v>0.25</v>
      </c>
      <c r="DA13">
        <v>0</v>
      </c>
      <c r="DB13">
        <v>0</v>
      </c>
      <c r="DC13">
        <v>0.5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0.25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2</v>
      </c>
      <c r="EP13" s="51">
        <v>17</v>
      </c>
      <c r="EQ13" t="s">
        <v>440</v>
      </c>
      <c r="ER13" t="s">
        <v>439</v>
      </c>
      <c r="ES13">
        <v>80.25</v>
      </c>
      <c r="ET13">
        <v>113.75</v>
      </c>
      <c r="EU13">
        <v>90.875</v>
      </c>
      <c r="EV13">
        <v>2.5</v>
      </c>
      <c r="EW13" s="51">
        <v>17</v>
      </c>
      <c r="EX13">
        <f t="shared" si="4"/>
        <v>0</v>
      </c>
      <c r="EY13">
        <f t="shared" si="5"/>
        <v>0</v>
      </c>
      <c r="EZ13">
        <f t="shared" si="6"/>
        <v>0</v>
      </c>
      <c r="FA13">
        <f t="shared" si="6"/>
        <v>0</v>
      </c>
      <c r="FB13">
        <f t="shared" si="6"/>
        <v>0.25</v>
      </c>
      <c r="FC13">
        <f t="shared" si="6"/>
        <v>0.75</v>
      </c>
      <c r="FD13">
        <f t="shared" si="7"/>
        <v>0</v>
      </c>
      <c r="FE13">
        <f t="shared" si="7"/>
        <v>23.5</v>
      </c>
      <c r="FF13">
        <f t="shared" si="8"/>
        <v>0</v>
      </c>
      <c r="FG13">
        <f t="shared" si="9"/>
        <v>0</v>
      </c>
      <c r="FH13">
        <f t="shared" si="10"/>
        <v>0</v>
      </c>
      <c r="FI13">
        <f t="shared" si="11"/>
        <v>0</v>
      </c>
      <c r="FJ13">
        <f t="shared" si="11"/>
        <v>0</v>
      </c>
      <c r="FK13">
        <f t="shared" si="11"/>
        <v>0</v>
      </c>
      <c r="FL13">
        <f t="shared" si="11"/>
        <v>0</v>
      </c>
      <c r="FM13">
        <f t="shared" si="12"/>
        <v>0</v>
      </c>
      <c r="FN13">
        <f t="shared" si="12"/>
        <v>0</v>
      </c>
      <c r="FO13">
        <f t="shared" si="12"/>
        <v>0</v>
      </c>
      <c r="FP13">
        <f t="shared" si="13"/>
        <v>0</v>
      </c>
      <c r="FQ13">
        <f t="shared" si="13"/>
        <v>0</v>
      </c>
      <c r="FR13">
        <f t="shared" si="13"/>
        <v>0</v>
      </c>
      <c r="FS13">
        <f t="shared" si="14"/>
        <v>0</v>
      </c>
      <c r="FT13">
        <f t="shared" si="14"/>
        <v>11.75</v>
      </c>
      <c r="FU13">
        <f t="shared" si="14"/>
        <v>1.25</v>
      </c>
      <c r="FV13">
        <f t="shared" si="14"/>
        <v>0</v>
      </c>
      <c r="FW13">
        <f t="shared" si="15"/>
        <v>0</v>
      </c>
      <c r="FX13">
        <f t="shared" si="15"/>
        <v>0</v>
      </c>
      <c r="FY13">
        <f t="shared" si="15"/>
        <v>0</v>
      </c>
      <c r="FZ13">
        <f t="shared" si="16"/>
        <v>0</v>
      </c>
      <c r="GA13">
        <f t="shared" si="16"/>
        <v>0</v>
      </c>
      <c r="GB13">
        <f t="shared" si="17"/>
        <v>0</v>
      </c>
      <c r="GC13">
        <f t="shared" si="18"/>
        <v>0</v>
      </c>
      <c r="GD13">
        <f t="shared" si="18"/>
        <v>10.25</v>
      </c>
      <c r="GE13">
        <f t="shared" si="18"/>
        <v>0</v>
      </c>
      <c r="GF13">
        <f t="shared" si="19"/>
        <v>0</v>
      </c>
      <c r="GG13">
        <f t="shared" si="19"/>
        <v>0</v>
      </c>
      <c r="GH13">
        <f t="shared" si="19"/>
        <v>0</v>
      </c>
      <c r="GI13">
        <f t="shared" si="20"/>
        <v>1163.5</v>
      </c>
      <c r="GJ13">
        <f t="shared" si="20"/>
        <v>22.5</v>
      </c>
      <c r="GK13">
        <f t="shared" si="21"/>
        <v>0.25</v>
      </c>
      <c r="GL13">
        <f t="shared" si="22"/>
        <v>0</v>
      </c>
      <c r="GM13">
        <f t="shared" si="23"/>
        <v>0.25</v>
      </c>
      <c r="GN13">
        <f t="shared" si="23"/>
        <v>0.25</v>
      </c>
      <c r="GO13">
        <f t="shared" si="24"/>
        <v>0</v>
      </c>
      <c r="GP13">
        <f t="shared" si="25"/>
        <v>4.5</v>
      </c>
      <c r="GQ13">
        <f t="shared" si="26"/>
        <v>0.5</v>
      </c>
      <c r="GR13">
        <f t="shared" si="27"/>
        <v>0</v>
      </c>
      <c r="GS13">
        <f t="shared" si="28"/>
        <v>0</v>
      </c>
      <c r="GT13">
        <f t="shared" si="28"/>
        <v>0.75</v>
      </c>
      <c r="GU13">
        <f t="shared" si="28"/>
        <v>0</v>
      </c>
      <c r="GV13">
        <f t="shared" si="29"/>
        <v>0</v>
      </c>
      <c r="GW13">
        <f t="shared" si="29"/>
        <v>0</v>
      </c>
      <c r="GX13">
        <f t="shared" si="29"/>
        <v>0</v>
      </c>
      <c r="GY13">
        <f t="shared" si="30"/>
        <v>0</v>
      </c>
      <c r="GZ13">
        <f t="shared" si="31"/>
        <v>0</v>
      </c>
      <c r="HA13">
        <f t="shared" si="32"/>
        <v>0</v>
      </c>
      <c r="HB13">
        <f t="shared" si="33"/>
        <v>0</v>
      </c>
      <c r="HC13">
        <f t="shared" si="34"/>
        <v>0</v>
      </c>
      <c r="HD13">
        <f t="shared" si="35"/>
        <v>0.25</v>
      </c>
      <c r="HE13">
        <f t="shared" si="36"/>
        <v>0</v>
      </c>
      <c r="HF13">
        <f t="shared" si="37"/>
        <v>0</v>
      </c>
      <c r="HG13">
        <f t="shared" si="38"/>
        <v>0</v>
      </c>
      <c r="HH13">
        <f t="shared" si="39"/>
        <v>0</v>
      </c>
      <c r="HI13">
        <f t="shared" si="40"/>
        <v>0</v>
      </c>
      <c r="HJ13">
        <f t="shared" si="41"/>
        <v>0</v>
      </c>
      <c r="HK13">
        <f t="shared" si="42"/>
        <v>0</v>
      </c>
      <c r="HL13">
        <f t="shared" si="43"/>
        <v>0</v>
      </c>
      <c r="HM13">
        <f t="shared" si="44"/>
        <v>2</v>
      </c>
      <c r="HO13" s="51">
        <v>17</v>
      </c>
      <c r="HP13" t="s">
        <v>440</v>
      </c>
      <c r="HQ13" t="s">
        <v>439</v>
      </c>
      <c r="HR13">
        <v>80.25</v>
      </c>
      <c r="HS13">
        <v>113.75</v>
      </c>
      <c r="HT13">
        <v>90.875</v>
      </c>
      <c r="HU13">
        <v>2.5</v>
      </c>
      <c r="HV13" s="51">
        <v>17</v>
      </c>
      <c r="HW13">
        <f t="shared" si="45"/>
        <v>0</v>
      </c>
      <c r="HX13">
        <f t="shared" si="45"/>
        <v>0</v>
      </c>
      <c r="HY13">
        <f t="shared" si="46"/>
        <v>1</v>
      </c>
      <c r="HZ13">
        <f t="shared" si="47"/>
        <v>23.5</v>
      </c>
      <c r="IA13">
        <f t="shared" si="48"/>
        <v>0</v>
      </c>
      <c r="IB13">
        <f t="shared" si="48"/>
        <v>0</v>
      </c>
      <c r="IC13">
        <f t="shared" si="48"/>
        <v>0</v>
      </c>
      <c r="ID13">
        <f t="shared" si="49"/>
        <v>0</v>
      </c>
      <c r="IE13">
        <f t="shared" si="50"/>
        <v>0</v>
      </c>
      <c r="IF13">
        <f t="shared" si="51"/>
        <v>0</v>
      </c>
      <c r="IG13">
        <f t="shared" si="52"/>
        <v>13</v>
      </c>
      <c r="IH13">
        <f t="shared" si="53"/>
        <v>0</v>
      </c>
      <c r="II13">
        <f t="shared" si="54"/>
        <v>0</v>
      </c>
      <c r="IJ13">
        <f t="shared" si="55"/>
        <v>0</v>
      </c>
      <c r="IK13">
        <f t="shared" si="56"/>
        <v>0</v>
      </c>
      <c r="IL13">
        <f t="shared" si="0"/>
        <v>0</v>
      </c>
      <c r="IM13">
        <f t="shared" si="57"/>
        <v>10.25</v>
      </c>
      <c r="IN13">
        <f t="shared" si="58"/>
        <v>0</v>
      </c>
      <c r="IO13">
        <f t="shared" si="1"/>
        <v>1163.5</v>
      </c>
      <c r="IP13">
        <f t="shared" si="1"/>
        <v>22.5</v>
      </c>
      <c r="IQ13">
        <f t="shared" si="1"/>
        <v>0.25</v>
      </c>
      <c r="IR13">
        <f t="shared" si="1"/>
        <v>0</v>
      </c>
      <c r="IS13">
        <f t="shared" si="1"/>
        <v>0.25</v>
      </c>
      <c r="IT13">
        <f t="shared" si="1"/>
        <v>0.25</v>
      </c>
      <c r="IU13">
        <f t="shared" si="1"/>
        <v>0</v>
      </c>
      <c r="IV13">
        <f t="shared" si="1"/>
        <v>4.5</v>
      </c>
      <c r="IW13">
        <f t="shared" si="1"/>
        <v>0.5</v>
      </c>
      <c r="IX13">
        <f t="shared" si="1"/>
        <v>0</v>
      </c>
      <c r="IY13">
        <f t="shared" si="59"/>
        <v>0.75</v>
      </c>
      <c r="IZ13">
        <f t="shared" si="2"/>
        <v>0</v>
      </c>
      <c r="JA13">
        <f t="shared" si="3"/>
        <v>0</v>
      </c>
      <c r="JB13">
        <f t="shared" si="3"/>
        <v>0</v>
      </c>
      <c r="JC13">
        <f t="shared" si="3"/>
        <v>0</v>
      </c>
      <c r="JD13">
        <f t="shared" si="3"/>
        <v>0</v>
      </c>
      <c r="JE13">
        <f t="shared" si="3"/>
        <v>0</v>
      </c>
      <c r="JF13">
        <f t="shared" si="3"/>
        <v>0.25</v>
      </c>
      <c r="JG13">
        <f t="shared" si="3"/>
        <v>0</v>
      </c>
      <c r="JH13">
        <f t="shared" si="3"/>
        <v>0</v>
      </c>
      <c r="JI13">
        <f t="shared" si="3"/>
        <v>0</v>
      </c>
      <c r="JJ13">
        <f t="shared" si="3"/>
        <v>0</v>
      </c>
      <c r="JK13">
        <f t="shared" si="3"/>
        <v>0</v>
      </c>
      <c r="JL13">
        <f t="shared" si="3"/>
        <v>0</v>
      </c>
      <c r="JM13">
        <f t="shared" si="3"/>
        <v>0</v>
      </c>
      <c r="JN13">
        <f t="shared" si="3"/>
        <v>0</v>
      </c>
      <c r="JO13">
        <f t="shared" si="3"/>
        <v>2</v>
      </c>
    </row>
    <row r="14" spans="1:277" x14ac:dyDescent="0.25">
      <c r="B14" s="51">
        <v>18</v>
      </c>
      <c r="C14" t="s">
        <v>440</v>
      </c>
      <c r="D14" t="s">
        <v>439</v>
      </c>
      <c r="E14">
        <v>68.75</v>
      </c>
      <c r="F14">
        <v>71.375</v>
      </c>
      <c r="G14">
        <v>61</v>
      </c>
      <c r="H14">
        <v>3.5</v>
      </c>
      <c r="I14" s="51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0.5</v>
      </c>
      <c r="V14">
        <v>0</v>
      </c>
      <c r="W14">
        <v>9.75</v>
      </c>
      <c r="X14">
        <v>0</v>
      </c>
      <c r="Y14">
        <v>0</v>
      </c>
      <c r="Z14">
        <v>1.5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0.5</v>
      </c>
      <c r="AN14">
        <v>0</v>
      </c>
      <c r="AO14">
        <v>0</v>
      </c>
      <c r="AP14">
        <v>0</v>
      </c>
      <c r="AQ14">
        <v>0.5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0.5</v>
      </c>
      <c r="BB14">
        <v>0</v>
      </c>
      <c r="BC14">
        <v>0</v>
      </c>
      <c r="BD14">
        <v>0</v>
      </c>
      <c r="BE14">
        <v>5.5</v>
      </c>
      <c r="BF14">
        <v>7.5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45</v>
      </c>
      <c r="CG14">
        <v>0</v>
      </c>
      <c r="CH14">
        <v>60</v>
      </c>
      <c r="CI14">
        <v>0</v>
      </c>
      <c r="CJ14">
        <v>0.5</v>
      </c>
      <c r="CK14">
        <v>0</v>
      </c>
      <c r="CL14">
        <v>0</v>
      </c>
      <c r="CM14">
        <v>0</v>
      </c>
      <c r="CN14">
        <v>0</v>
      </c>
      <c r="CO14">
        <v>0.25</v>
      </c>
      <c r="CP14">
        <v>0</v>
      </c>
      <c r="CQ14">
        <v>0</v>
      </c>
      <c r="CR14">
        <v>0</v>
      </c>
      <c r="CS14">
        <v>1.5</v>
      </c>
      <c r="CT14">
        <v>4.25</v>
      </c>
      <c r="CU14">
        <v>0.5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2.5</v>
      </c>
      <c r="EP14" s="51">
        <v>18</v>
      </c>
      <c r="EQ14" t="s">
        <v>440</v>
      </c>
      <c r="ER14" t="s">
        <v>439</v>
      </c>
      <c r="ES14">
        <v>68.75</v>
      </c>
      <c r="ET14">
        <v>71.375</v>
      </c>
      <c r="EU14">
        <v>61</v>
      </c>
      <c r="EV14">
        <v>3.5</v>
      </c>
      <c r="EW14" s="51">
        <v>18</v>
      </c>
      <c r="EX14">
        <f t="shared" si="4"/>
        <v>0</v>
      </c>
      <c r="EY14">
        <f t="shared" si="5"/>
        <v>0</v>
      </c>
      <c r="EZ14">
        <f t="shared" si="6"/>
        <v>0</v>
      </c>
      <c r="FA14">
        <f t="shared" si="6"/>
        <v>0</v>
      </c>
      <c r="FB14">
        <f t="shared" si="6"/>
        <v>0</v>
      </c>
      <c r="FC14">
        <f t="shared" si="6"/>
        <v>0.5</v>
      </c>
      <c r="FD14">
        <f t="shared" si="7"/>
        <v>0</v>
      </c>
      <c r="FE14">
        <f t="shared" si="7"/>
        <v>9.75</v>
      </c>
      <c r="FF14">
        <f t="shared" si="8"/>
        <v>1.5</v>
      </c>
      <c r="FG14">
        <f t="shared" si="9"/>
        <v>0</v>
      </c>
      <c r="FH14">
        <f t="shared" si="10"/>
        <v>0</v>
      </c>
      <c r="FI14">
        <f t="shared" si="11"/>
        <v>0</v>
      </c>
      <c r="FJ14">
        <f t="shared" si="11"/>
        <v>0</v>
      </c>
      <c r="FK14">
        <f t="shared" si="11"/>
        <v>0</v>
      </c>
      <c r="FL14">
        <f t="shared" si="11"/>
        <v>0.5</v>
      </c>
      <c r="FM14">
        <f t="shared" si="12"/>
        <v>0.5</v>
      </c>
      <c r="FN14">
        <f t="shared" si="12"/>
        <v>0</v>
      </c>
      <c r="FO14">
        <f t="shared" si="12"/>
        <v>0</v>
      </c>
      <c r="FP14">
        <f t="shared" si="13"/>
        <v>0</v>
      </c>
      <c r="FQ14">
        <f t="shared" si="13"/>
        <v>0</v>
      </c>
      <c r="FR14">
        <f t="shared" si="13"/>
        <v>0</v>
      </c>
      <c r="FS14">
        <f t="shared" si="14"/>
        <v>0</v>
      </c>
      <c r="FT14">
        <f t="shared" si="14"/>
        <v>6</v>
      </c>
      <c r="FU14">
        <f t="shared" si="14"/>
        <v>7.5</v>
      </c>
      <c r="FV14">
        <f t="shared" si="14"/>
        <v>0</v>
      </c>
      <c r="FW14">
        <f t="shared" si="15"/>
        <v>0</v>
      </c>
      <c r="FX14">
        <f t="shared" si="15"/>
        <v>0</v>
      </c>
      <c r="FY14">
        <f t="shared" si="15"/>
        <v>0</v>
      </c>
      <c r="FZ14">
        <f t="shared" si="16"/>
        <v>0</v>
      </c>
      <c r="GA14">
        <f t="shared" si="16"/>
        <v>0</v>
      </c>
      <c r="GB14">
        <f t="shared" si="17"/>
        <v>0</v>
      </c>
      <c r="GC14">
        <f t="shared" si="18"/>
        <v>0</v>
      </c>
      <c r="GD14">
        <f t="shared" si="18"/>
        <v>14</v>
      </c>
      <c r="GE14">
        <f t="shared" si="18"/>
        <v>0</v>
      </c>
      <c r="GF14">
        <f t="shared" si="19"/>
        <v>0</v>
      </c>
      <c r="GG14">
        <f t="shared" si="19"/>
        <v>0</v>
      </c>
      <c r="GH14">
        <f t="shared" si="19"/>
        <v>0</v>
      </c>
      <c r="GI14">
        <f t="shared" si="20"/>
        <v>105</v>
      </c>
      <c r="GJ14">
        <f t="shared" si="20"/>
        <v>0</v>
      </c>
      <c r="GK14">
        <f t="shared" si="21"/>
        <v>0.5</v>
      </c>
      <c r="GL14">
        <f t="shared" si="22"/>
        <v>0</v>
      </c>
      <c r="GM14">
        <f t="shared" si="23"/>
        <v>0.25</v>
      </c>
      <c r="GN14">
        <f t="shared" si="23"/>
        <v>0</v>
      </c>
      <c r="GO14">
        <f t="shared" si="24"/>
        <v>0</v>
      </c>
      <c r="GP14">
        <f t="shared" si="25"/>
        <v>5.75</v>
      </c>
      <c r="GQ14">
        <f t="shared" si="26"/>
        <v>0.5</v>
      </c>
      <c r="GR14">
        <f t="shared" si="27"/>
        <v>0</v>
      </c>
      <c r="GS14">
        <f t="shared" si="28"/>
        <v>0</v>
      </c>
      <c r="GT14">
        <f t="shared" si="28"/>
        <v>0</v>
      </c>
      <c r="GU14">
        <f t="shared" si="28"/>
        <v>0</v>
      </c>
      <c r="GV14">
        <f t="shared" si="29"/>
        <v>0</v>
      </c>
      <c r="GW14">
        <f t="shared" si="29"/>
        <v>0</v>
      </c>
      <c r="GX14">
        <f t="shared" si="29"/>
        <v>0</v>
      </c>
      <c r="GY14">
        <f t="shared" si="30"/>
        <v>0</v>
      </c>
      <c r="GZ14">
        <f t="shared" si="31"/>
        <v>0</v>
      </c>
      <c r="HA14">
        <f t="shared" si="32"/>
        <v>0</v>
      </c>
      <c r="HB14">
        <f t="shared" si="33"/>
        <v>0</v>
      </c>
      <c r="HC14">
        <f t="shared" si="34"/>
        <v>0</v>
      </c>
      <c r="HD14">
        <f t="shared" si="35"/>
        <v>0</v>
      </c>
      <c r="HE14">
        <f t="shared" si="36"/>
        <v>0</v>
      </c>
      <c r="HF14">
        <f t="shared" si="37"/>
        <v>0</v>
      </c>
      <c r="HG14">
        <f t="shared" si="38"/>
        <v>0</v>
      </c>
      <c r="HH14">
        <f t="shared" si="39"/>
        <v>0</v>
      </c>
      <c r="HI14">
        <f t="shared" si="40"/>
        <v>0</v>
      </c>
      <c r="HJ14">
        <f t="shared" si="41"/>
        <v>0</v>
      </c>
      <c r="HK14">
        <f t="shared" si="42"/>
        <v>0</v>
      </c>
      <c r="HL14">
        <f t="shared" si="43"/>
        <v>0</v>
      </c>
      <c r="HM14">
        <f t="shared" si="44"/>
        <v>2.5</v>
      </c>
      <c r="HO14" s="51">
        <v>18</v>
      </c>
      <c r="HP14" t="s">
        <v>440</v>
      </c>
      <c r="HQ14" t="s">
        <v>439</v>
      </c>
      <c r="HR14">
        <v>68.75</v>
      </c>
      <c r="HS14">
        <v>71.375</v>
      </c>
      <c r="HT14">
        <v>61</v>
      </c>
      <c r="HU14">
        <v>3.5</v>
      </c>
      <c r="HV14" s="51">
        <v>18</v>
      </c>
      <c r="HW14">
        <f t="shared" si="45"/>
        <v>0</v>
      </c>
      <c r="HX14">
        <f t="shared" si="45"/>
        <v>0</v>
      </c>
      <c r="HY14">
        <f t="shared" si="46"/>
        <v>0.5</v>
      </c>
      <c r="HZ14">
        <f t="shared" si="47"/>
        <v>9.75</v>
      </c>
      <c r="IA14">
        <f t="shared" si="48"/>
        <v>1.5</v>
      </c>
      <c r="IB14">
        <f t="shared" si="48"/>
        <v>0</v>
      </c>
      <c r="IC14">
        <f t="shared" si="48"/>
        <v>0</v>
      </c>
      <c r="ID14">
        <f t="shared" si="49"/>
        <v>0.5</v>
      </c>
      <c r="IE14">
        <f t="shared" si="50"/>
        <v>0.5</v>
      </c>
      <c r="IF14">
        <f t="shared" si="51"/>
        <v>0</v>
      </c>
      <c r="IG14">
        <f t="shared" si="52"/>
        <v>13.5</v>
      </c>
      <c r="IH14">
        <f t="shared" si="53"/>
        <v>0</v>
      </c>
      <c r="II14">
        <f t="shared" si="54"/>
        <v>0</v>
      </c>
      <c r="IJ14">
        <f t="shared" si="55"/>
        <v>0</v>
      </c>
      <c r="IK14">
        <f t="shared" si="56"/>
        <v>0</v>
      </c>
      <c r="IL14">
        <f t="shared" si="0"/>
        <v>0</v>
      </c>
      <c r="IM14">
        <f t="shared" si="57"/>
        <v>14</v>
      </c>
      <c r="IN14">
        <f t="shared" si="58"/>
        <v>0</v>
      </c>
      <c r="IO14">
        <f t="shared" si="1"/>
        <v>105</v>
      </c>
      <c r="IP14">
        <f t="shared" si="1"/>
        <v>0</v>
      </c>
      <c r="IQ14">
        <f t="shared" si="1"/>
        <v>0.5</v>
      </c>
      <c r="IR14">
        <f t="shared" si="1"/>
        <v>0</v>
      </c>
      <c r="IS14">
        <f t="shared" si="1"/>
        <v>0.25</v>
      </c>
      <c r="IT14">
        <f t="shared" si="1"/>
        <v>0</v>
      </c>
      <c r="IU14">
        <f t="shared" si="1"/>
        <v>0</v>
      </c>
      <c r="IV14">
        <f t="shared" si="1"/>
        <v>5.75</v>
      </c>
      <c r="IW14">
        <f t="shared" si="1"/>
        <v>0.5</v>
      </c>
      <c r="IX14">
        <f t="shared" si="1"/>
        <v>0</v>
      </c>
      <c r="IY14">
        <f t="shared" si="59"/>
        <v>0</v>
      </c>
      <c r="IZ14">
        <f t="shared" si="2"/>
        <v>0</v>
      </c>
      <c r="JA14">
        <f t="shared" si="3"/>
        <v>0</v>
      </c>
      <c r="JB14">
        <f t="shared" si="3"/>
        <v>0</v>
      </c>
      <c r="JC14">
        <f t="shared" si="3"/>
        <v>0</v>
      </c>
      <c r="JD14">
        <f t="shared" si="3"/>
        <v>0</v>
      </c>
      <c r="JE14">
        <f t="shared" si="3"/>
        <v>0</v>
      </c>
      <c r="JF14">
        <f t="shared" si="3"/>
        <v>0</v>
      </c>
      <c r="JG14">
        <f t="shared" si="3"/>
        <v>0</v>
      </c>
      <c r="JH14">
        <f t="shared" si="3"/>
        <v>0</v>
      </c>
      <c r="JI14">
        <f t="shared" si="3"/>
        <v>0</v>
      </c>
      <c r="JJ14">
        <f t="shared" si="3"/>
        <v>0</v>
      </c>
      <c r="JK14">
        <f t="shared" si="3"/>
        <v>0</v>
      </c>
      <c r="JL14">
        <f t="shared" si="3"/>
        <v>0</v>
      </c>
      <c r="JM14">
        <f t="shared" si="3"/>
        <v>0</v>
      </c>
      <c r="JN14">
        <f t="shared" si="3"/>
        <v>0</v>
      </c>
      <c r="JO14">
        <f t="shared" si="3"/>
        <v>2.5</v>
      </c>
    </row>
    <row r="15" spans="1:277" x14ac:dyDescent="0.25">
      <c r="B15" s="51">
        <v>19</v>
      </c>
      <c r="C15" t="s">
        <v>16</v>
      </c>
      <c r="D15" t="s">
        <v>439</v>
      </c>
      <c r="E15">
        <v>93</v>
      </c>
      <c r="F15">
        <v>128.25</v>
      </c>
      <c r="G15">
        <v>143.625</v>
      </c>
      <c r="H15">
        <v>2.3125</v>
      </c>
      <c r="I15" s="51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0.25</v>
      </c>
      <c r="V15">
        <v>0</v>
      </c>
      <c r="W15">
        <v>30.75</v>
      </c>
      <c r="X15">
        <v>0</v>
      </c>
      <c r="Y15">
        <v>16.75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5.5</v>
      </c>
      <c r="BF15">
        <v>0.5</v>
      </c>
      <c r="BG15">
        <v>0.5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3.75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762.5</v>
      </c>
      <c r="CG15">
        <v>0</v>
      </c>
      <c r="CH15">
        <v>39</v>
      </c>
      <c r="CI15">
        <v>0.5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0.25</v>
      </c>
      <c r="CP15">
        <v>0</v>
      </c>
      <c r="CQ15">
        <v>0</v>
      </c>
      <c r="CR15">
        <v>0</v>
      </c>
      <c r="CS15">
        <v>0.25</v>
      </c>
      <c r="CT15">
        <v>1.75</v>
      </c>
      <c r="CU15">
        <v>0</v>
      </c>
      <c r="CV15">
        <v>0</v>
      </c>
      <c r="CW15">
        <v>0</v>
      </c>
      <c r="CX15">
        <v>0.75</v>
      </c>
      <c r="CY15">
        <v>0</v>
      </c>
      <c r="CZ15">
        <v>0</v>
      </c>
      <c r="DA15">
        <v>0</v>
      </c>
      <c r="DB15">
        <v>0.25</v>
      </c>
      <c r="DC15">
        <v>0</v>
      </c>
      <c r="DD15">
        <v>0</v>
      </c>
      <c r="DE15">
        <v>0</v>
      </c>
      <c r="DF15">
        <v>0</v>
      </c>
      <c r="DG15">
        <v>0.25</v>
      </c>
      <c r="DH15">
        <v>1.75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2.25</v>
      </c>
      <c r="EP15" s="51">
        <v>19</v>
      </c>
      <c r="EQ15" t="s">
        <v>16</v>
      </c>
      <c r="ER15" t="s">
        <v>439</v>
      </c>
      <c r="ES15">
        <v>93</v>
      </c>
      <c r="ET15">
        <v>128.25</v>
      </c>
      <c r="EU15">
        <v>143.625</v>
      </c>
      <c r="EV15">
        <v>2.3125</v>
      </c>
      <c r="EW15" s="51">
        <v>19</v>
      </c>
      <c r="EX15">
        <f t="shared" si="4"/>
        <v>0</v>
      </c>
      <c r="EY15">
        <f t="shared" si="5"/>
        <v>0</v>
      </c>
      <c r="EZ15">
        <f t="shared" si="6"/>
        <v>0</v>
      </c>
      <c r="FA15">
        <f t="shared" si="6"/>
        <v>0</v>
      </c>
      <c r="FB15">
        <f t="shared" si="6"/>
        <v>0</v>
      </c>
      <c r="FC15">
        <f t="shared" si="6"/>
        <v>0.25</v>
      </c>
      <c r="FD15">
        <f t="shared" si="7"/>
        <v>0</v>
      </c>
      <c r="FE15">
        <f t="shared" si="7"/>
        <v>47.5</v>
      </c>
      <c r="FF15">
        <f t="shared" si="8"/>
        <v>0</v>
      </c>
      <c r="FG15">
        <f t="shared" si="9"/>
        <v>0</v>
      </c>
      <c r="FH15">
        <f t="shared" si="10"/>
        <v>0</v>
      </c>
      <c r="FI15">
        <f t="shared" si="11"/>
        <v>0</v>
      </c>
      <c r="FJ15">
        <f t="shared" si="11"/>
        <v>0</v>
      </c>
      <c r="FK15">
        <f t="shared" si="11"/>
        <v>0</v>
      </c>
      <c r="FL15">
        <f t="shared" si="11"/>
        <v>0</v>
      </c>
      <c r="FM15">
        <f t="shared" si="12"/>
        <v>0</v>
      </c>
      <c r="FN15">
        <f t="shared" si="12"/>
        <v>0</v>
      </c>
      <c r="FO15">
        <f t="shared" si="12"/>
        <v>0</v>
      </c>
      <c r="FP15">
        <f t="shared" si="13"/>
        <v>0</v>
      </c>
      <c r="FQ15">
        <f t="shared" si="13"/>
        <v>0</v>
      </c>
      <c r="FR15">
        <f t="shared" si="13"/>
        <v>0</v>
      </c>
      <c r="FS15">
        <f t="shared" si="14"/>
        <v>0</v>
      </c>
      <c r="FT15">
        <f t="shared" si="14"/>
        <v>5.5</v>
      </c>
      <c r="FU15">
        <f t="shared" si="14"/>
        <v>0.5</v>
      </c>
      <c r="FV15">
        <f t="shared" si="14"/>
        <v>0.5</v>
      </c>
      <c r="FW15">
        <f t="shared" si="15"/>
        <v>0</v>
      </c>
      <c r="FX15">
        <f t="shared" si="15"/>
        <v>0</v>
      </c>
      <c r="FY15">
        <f t="shared" si="15"/>
        <v>0</v>
      </c>
      <c r="FZ15">
        <f t="shared" si="16"/>
        <v>0</v>
      </c>
      <c r="GA15">
        <f t="shared" si="16"/>
        <v>0</v>
      </c>
      <c r="GB15">
        <f t="shared" si="17"/>
        <v>0</v>
      </c>
      <c r="GC15">
        <f t="shared" si="18"/>
        <v>0</v>
      </c>
      <c r="GD15">
        <f t="shared" si="18"/>
        <v>3.75</v>
      </c>
      <c r="GE15">
        <f t="shared" si="18"/>
        <v>0</v>
      </c>
      <c r="GF15">
        <f t="shared" si="19"/>
        <v>0</v>
      </c>
      <c r="GG15">
        <f t="shared" si="19"/>
        <v>0</v>
      </c>
      <c r="GH15">
        <f t="shared" si="19"/>
        <v>0</v>
      </c>
      <c r="GI15">
        <f t="shared" si="20"/>
        <v>801.5</v>
      </c>
      <c r="GJ15">
        <f t="shared" si="20"/>
        <v>0.5</v>
      </c>
      <c r="GK15">
        <f t="shared" si="21"/>
        <v>0</v>
      </c>
      <c r="GL15">
        <f t="shared" si="22"/>
        <v>0</v>
      </c>
      <c r="GM15">
        <f t="shared" si="23"/>
        <v>0.25</v>
      </c>
      <c r="GN15">
        <f t="shared" si="23"/>
        <v>0</v>
      </c>
      <c r="GO15">
        <f t="shared" si="24"/>
        <v>0</v>
      </c>
      <c r="GP15">
        <f t="shared" si="25"/>
        <v>2</v>
      </c>
      <c r="GQ15">
        <f t="shared" si="26"/>
        <v>0</v>
      </c>
      <c r="GR15">
        <f t="shared" si="27"/>
        <v>0.75</v>
      </c>
      <c r="GS15">
        <f t="shared" si="28"/>
        <v>0.25</v>
      </c>
      <c r="GT15">
        <f t="shared" si="28"/>
        <v>0</v>
      </c>
      <c r="GU15">
        <f t="shared" si="28"/>
        <v>0</v>
      </c>
      <c r="GV15">
        <f t="shared" si="29"/>
        <v>1.75</v>
      </c>
      <c r="GW15">
        <f t="shared" si="29"/>
        <v>0</v>
      </c>
      <c r="GX15">
        <f t="shared" si="29"/>
        <v>0.25</v>
      </c>
      <c r="GY15">
        <f t="shared" si="30"/>
        <v>0</v>
      </c>
      <c r="GZ15">
        <f t="shared" si="31"/>
        <v>0</v>
      </c>
      <c r="HA15">
        <f t="shared" si="32"/>
        <v>0</v>
      </c>
      <c r="HB15">
        <f t="shared" si="33"/>
        <v>0</v>
      </c>
      <c r="HC15">
        <f t="shared" si="34"/>
        <v>0</v>
      </c>
      <c r="HD15">
        <f t="shared" si="35"/>
        <v>0</v>
      </c>
      <c r="HE15">
        <f t="shared" si="36"/>
        <v>0</v>
      </c>
      <c r="HF15">
        <f t="shared" si="37"/>
        <v>0</v>
      </c>
      <c r="HG15">
        <f t="shared" si="38"/>
        <v>0</v>
      </c>
      <c r="HH15">
        <f t="shared" si="39"/>
        <v>0</v>
      </c>
      <c r="HI15">
        <f t="shared" si="40"/>
        <v>0</v>
      </c>
      <c r="HJ15">
        <f t="shared" si="41"/>
        <v>0</v>
      </c>
      <c r="HK15">
        <f t="shared" si="42"/>
        <v>0</v>
      </c>
      <c r="HL15">
        <f t="shared" si="43"/>
        <v>0</v>
      </c>
      <c r="HM15">
        <f t="shared" si="44"/>
        <v>2.25</v>
      </c>
      <c r="HO15" s="51">
        <v>19</v>
      </c>
      <c r="HP15" t="s">
        <v>16</v>
      </c>
      <c r="HQ15" t="s">
        <v>439</v>
      </c>
      <c r="HR15">
        <v>93</v>
      </c>
      <c r="HS15">
        <v>128.25</v>
      </c>
      <c r="HT15">
        <v>143.625</v>
      </c>
      <c r="HU15">
        <v>2.3125</v>
      </c>
      <c r="HV15" s="51">
        <v>19</v>
      </c>
      <c r="HW15">
        <f t="shared" si="45"/>
        <v>0</v>
      </c>
      <c r="HX15">
        <f t="shared" si="45"/>
        <v>0</v>
      </c>
      <c r="HY15">
        <f t="shared" si="46"/>
        <v>0.25</v>
      </c>
      <c r="HZ15">
        <f t="shared" si="47"/>
        <v>47.5</v>
      </c>
      <c r="IA15">
        <f t="shared" si="48"/>
        <v>0</v>
      </c>
      <c r="IB15">
        <f t="shared" si="48"/>
        <v>0</v>
      </c>
      <c r="IC15">
        <f t="shared" si="48"/>
        <v>0</v>
      </c>
      <c r="ID15">
        <f t="shared" si="49"/>
        <v>0</v>
      </c>
      <c r="IE15">
        <f t="shared" si="50"/>
        <v>0</v>
      </c>
      <c r="IF15">
        <f t="shared" si="51"/>
        <v>0</v>
      </c>
      <c r="IG15">
        <f t="shared" si="52"/>
        <v>6</v>
      </c>
      <c r="IH15">
        <f t="shared" si="53"/>
        <v>0.5</v>
      </c>
      <c r="II15">
        <f t="shared" si="54"/>
        <v>0</v>
      </c>
      <c r="IJ15">
        <f t="shared" si="55"/>
        <v>0</v>
      </c>
      <c r="IK15">
        <f t="shared" si="56"/>
        <v>0</v>
      </c>
      <c r="IL15">
        <f t="shared" si="0"/>
        <v>0</v>
      </c>
      <c r="IM15">
        <f t="shared" si="57"/>
        <v>3.75</v>
      </c>
      <c r="IN15">
        <f t="shared" si="58"/>
        <v>0</v>
      </c>
      <c r="IO15">
        <f t="shared" si="1"/>
        <v>801.5</v>
      </c>
      <c r="IP15">
        <f t="shared" si="1"/>
        <v>0.5</v>
      </c>
      <c r="IQ15">
        <f t="shared" si="1"/>
        <v>0</v>
      </c>
      <c r="IR15">
        <f t="shared" si="1"/>
        <v>0</v>
      </c>
      <c r="IS15">
        <f t="shared" si="1"/>
        <v>0.25</v>
      </c>
      <c r="IT15">
        <f t="shared" si="1"/>
        <v>0</v>
      </c>
      <c r="IU15">
        <f t="shared" si="1"/>
        <v>0</v>
      </c>
      <c r="IV15">
        <f t="shared" si="1"/>
        <v>2</v>
      </c>
      <c r="IW15">
        <f t="shared" si="1"/>
        <v>0</v>
      </c>
      <c r="IX15">
        <f t="shared" si="1"/>
        <v>0.75</v>
      </c>
      <c r="IY15">
        <f t="shared" si="59"/>
        <v>0.25</v>
      </c>
      <c r="IZ15">
        <f t="shared" si="2"/>
        <v>2</v>
      </c>
      <c r="JA15">
        <f t="shared" si="3"/>
        <v>0</v>
      </c>
      <c r="JB15">
        <f t="shared" si="3"/>
        <v>0</v>
      </c>
      <c r="JC15">
        <f t="shared" si="3"/>
        <v>0</v>
      </c>
      <c r="JD15">
        <f t="shared" si="3"/>
        <v>0</v>
      </c>
      <c r="JE15">
        <f t="shared" si="3"/>
        <v>0</v>
      </c>
      <c r="JF15">
        <f t="shared" si="3"/>
        <v>0</v>
      </c>
      <c r="JG15">
        <f t="shared" si="3"/>
        <v>0</v>
      </c>
      <c r="JH15">
        <f t="shared" si="3"/>
        <v>0</v>
      </c>
      <c r="JI15">
        <f t="shared" si="3"/>
        <v>0</v>
      </c>
      <c r="JJ15">
        <f t="shared" si="3"/>
        <v>0</v>
      </c>
      <c r="JK15">
        <f t="shared" si="3"/>
        <v>0</v>
      </c>
      <c r="JL15">
        <f t="shared" si="3"/>
        <v>0</v>
      </c>
      <c r="JM15">
        <f t="shared" si="3"/>
        <v>0</v>
      </c>
      <c r="JN15">
        <f t="shared" si="3"/>
        <v>0</v>
      </c>
      <c r="JO15">
        <f t="shared" si="3"/>
        <v>2.25</v>
      </c>
    </row>
    <row r="16" spans="1:277" x14ac:dyDescent="0.25">
      <c r="B16" s="51">
        <v>20</v>
      </c>
      <c r="C16" t="s">
        <v>440</v>
      </c>
      <c r="D16" t="s">
        <v>439</v>
      </c>
      <c r="E16">
        <v>86.5</v>
      </c>
      <c r="F16">
        <v>148.75</v>
      </c>
      <c r="G16">
        <v>107.125</v>
      </c>
      <c r="H16">
        <v>2.3125</v>
      </c>
      <c r="I16" s="51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0.25</v>
      </c>
      <c r="R16">
        <v>0</v>
      </c>
      <c r="S16">
        <v>0</v>
      </c>
      <c r="T16">
        <v>0.25</v>
      </c>
      <c r="U16">
        <v>0</v>
      </c>
      <c r="V16">
        <v>0</v>
      </c>
      <c r="W16">
        <v>24.5</v>
      </c>
      <c r="X16">
        <v>0</v>
      </c>
      <c r="Y16">
        <v>15.25</v>
      </c>
      <c r="Z16">
        <v>0.5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0.75</v>
      </c>
      <c r="BB16">
        <v>0</v>
      </c>
      <c r="BC16">
        <v>0</v>
      </c>
      <c r="BD16">
        <v>0</v>
      </c>
      <c r="BE16">
        <v>4.75</v>
      </c>
      <c r="BF16">
        <v>0.5</v>
      </c>
      <c r="BG16">
        <v>0.25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4.5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0.25</v>
      </c>
      <c r="CF16">
        <v>941.25</v>
      </c>
      <c r="CG16">
        <v>2</v>
      </c>
      <c r="CH16">
        <v>87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0.25</v>
      </c>
      <c r="CP16">
        <v>0</v>
      </c>
      <c r="CQ16">
        <v>0</v>
      </c>
      <c r="CR16">
        <v>0</v>
      </c>
      <c r="CS16">
        <v>0.25</v>
      </c>
      <c r="CT16">
        <v>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0.25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0.5</v>
      </c>
      <c r="EP16" s="51">
        <v>20</v>
      </c>
      <c r="EQ16" t="s">
        <v>440</v>
      </c>
      <c r="ER16" t="s">
        <v>439</v>
      </c>
      <c r="ES16">
        <v>86.5</v>
      </c>
      <c r="ET16">
        <v>148.75</v>
      </c>
      <c r="EU16">
        <v>107.125</v>
      </c>
      <c r="EV16">
        <v>2.3125</v>
      </c>
      <c r="EW16" s="51">
        <v>20</v>
      </c>
      <c r="EX16">
        <f t="shared" si="4"/>
        <v>0</v>
      </c>
      <c r="EY16">
        <f t="shared" si="5"/>
        <v>0</v>
      </c>
      <c r="EZ16">
        <f t="shared" si="6"/>
        <v>0</v>
      </c>
      <c r="FA16">
        <f t="shared" si="6"/>
        <v>0</v>
      </c>
      <c r="FB16">
        <f t="shared" si="6"/>
        <v>0.25</v>
      </c>
      <c r="FC16">
        <f t="shared" si="6"/>
        <v>0.25</v>
      </c>
      <c r="FD16">
        <f t="shared" si="7"/>
        <v>0</v>
      </c>
      <c r="FE16">
        <f t="shared" si="7"/>
        <v>39.75</v>
      </c>
      <c r="FF16">
        <f t="shared" si="8"/>
        <v>0.5</v>
      </c>
      <c r="FG16">
        <f t="shared" si="9"/>
        <v>0</v>
      </c>
      <c r="FH16">
        <f t="shared" si="10"/>
        <v>0</v>
      </c>
      <c r="FI16">
        <f t="shared" si="11"/>
        <v>0</v>
      </c>
      <c r="FJ16">
        <f t="shared" si="11"/>
        <v>0</v>
      </c>
      <c r="FK16">
        <f t="shared" si="11"/>
        <v>0</v>
      </c>
      <c r="FL16">
        <f t="shared" si="11"/>
        <v>0</v>
      </c>
      <c r="FM16">
        <f t="shared" si="12"/>
        <v>0.5</v>
      </c>
      <c r="FN16">
        <f t="shared" si="12"/>
        <v>0</v>
      </c>
      <c r="FO16">
        <f t="shared" si="12"/>
        <v>0</v>
      </c>
      <c r="FP16">
        <f t="shared" si="13"/>
        <v>0</v>
      </c>
      <c r="FQ16">
        <f t="shared" si="13"/>
        <v>0</v>
      </c>
      <c r="FR16">
        <f t="shared" si="13"/>
        <v>0</v>
      </c>
      <c r="FS16">
        <f t="shared" si="14"/>
        <v>0</v>
      </c>
      <c r="FT16">
        <f t="shared" si="14"/>
        <v>5.5</v>
      </c>
      <c r="FU16">
        <f t="shared" si="14"/>
        <v>0.5</v>
      </c>
      <c r="FV16">
        <f t="shared" si="14"/>
        <v>0.25</v>
      </c>
      <c r="FW16">
        <f t="shared" si="15"/>
        <v>0</v>
      </c>
      <c r="FX16">
        <f t="shared" si="15"/>
        <v>0</v>
      </c>
      <c r="FY16">
        <f t="shared" si="15"/>
        <v>0</v>
      </c>
      <c r="FZ16">
        <f t="shared" si="16"/>
        <v>0</v>
      </c>
      <c r="GA16">
        <f t="shared" si="16"/>
        <v>0</v>
      </c>
      <c r="GB16">
        <f t="shared" si="17"/>
        <v>0</v>
      </c>
      <c r="GC16">
        <f t="shared" si="18"/>
        <v>0</v>
      </c>
      <c r="GD16">
        <f t="shared" si="18"/>
        <v>4.5</v>
      </c>
      <c r="GE16">
        <f t="shared" si="18"/>
        <v>0</v>
      </c>
      <c r="GF16">
        <f t="shared" si="19"/>
        <v>0</v>
      </c>
      <c r="GG16">
        <f t="shared" si="19"/>
        <v>0</v>
      </c>
      <c r="GH16">
        <f t="shared" si="19"/>
        <v>0.25</v>
      </c>
      <c r="GI16">
        <f t="shared" si="20"/>
        <v>1028.25</v>
      </c>
      <c r="GJ16">
        <f t="shared" si="20"/>
        <v>2</v>
      </c>
      <c r="GK16">
        <f t="shared" si="21"/>
        <v>0</v>
      </c>
      <c r="GL16">
        <f t="shared" si="22"/>
        <v>0</v>
      </c>
      <c r="GM16">
        <f t="shared" si="23"/>
        <v>0.25</v>
      </c>
      <c r="GN16">
        <f t="shared" si="23"/>
        <v>0</v>
      </c>
      <c r="GO16">
        <f t="shared" si="24"/>
        <v>0</v>
      </c>
      <c r="GP16">
        <f t="shared" si="25"/>
        <v>2.25</v>
      </c>
      <c r="GQ16">
        <f t="shared" si="26"/>
        <v>0</v>
      </c>
      <c r="GR16">
        <f t="shared" si="27"/>
        <v>0</v>
      </c>
      <c r="GS16">
        <f t="shared" si="28"/>
        <v>0</v>
      </c>
      <c r="GT16">
        <f t="shared" si="28"/>
        <v>0</v>
      </c>
      <c r="GU16">
        <f t="shared" si="28"/>
        <v>0</v>
      </c>
      <c r="GV16">
        <f t="shared" si="29"/>
        <v>0</v>
      </c>
      <c r="GW16">
        <f t="shared" si="29"/>
        <v>0</v>
      </c>
      <c r="GX16">
        <f t="shared" si="29"/>
        <v>0</v>
      </c>
      <c r="GY16">
        <f t="shared" si="30"/>
        <v>0</v>
      </c>
      <c r="GZ16">
        <f t="shared" si="31"/>
        <v>0</v>
      </c>
      <c r="HA16">
        <f t="shared" si="32"/>
        <v>0</v>
      </c>
      <c r="HB16">
        <f t="shared" si="33"/>
        <v>0</v>
      </c>
      <c r="HC16">
        <f t="shared" si="34"/>
        <v>0</v>
      </c>
      <c r="HD16">
        <f t="shared" si="35"/>
        <v>0</v>
      </c>
      <c r="HE16">
        <f t="shared" si="36"/>
        <v>0</v>
      </c>
      <c r="HF16">
        <f t="shared" si="37"/>
        <v>0</v>
      </c>
      <c r="HG16">
        <f t="shared" si="38"/>
        <v>0.25</v>
      </c>
      <c r="HH16">
        <f t="shared" si="39"/>
        <v>0</v>
      </c>
      <c r="HI16">
        <f t="shared" si="40"/>
        <v>0</v>
      </c>
      <c r="HJ16">
        <f t="shared" si="41"/>
        <v>0</v>
      </c>
      <c r="HK16">
        <f t="shared" si="42"/>
        <v>0</v>
      </c>
      <c r="HL16">
        <f t="shared" si="43"/>
        <v>0</v>
      </c>
      <c r="HM16">
        <f t="shared" si="44"/>
        <v>0.5</v>
      </c>
      <c r="HO16" s="51">
        <v>20</v>
      </c>
      <c r="HP16" t="s">
        <v>440</v>
      </c>
      <c r="HQ16" t="s">
        <v>439</v>
      </c>
      <c r="HR16">
        <v>86.5</v>
      </c>
      <c r="HS16">
        <v>148.75</v>
      </c>
      <c r="HT16">
        <v>107.125</v>
      </c>
      <c r="HU16">
        <v>2.3125</v>
      </c>
      <c r="HV16" s="51">
        <v>20</v>
      </c>
      <c r="HW16">
        <f t="shared" si="45"/>
        <v>0</v>
      </c>
      <c r="HX16">
        <f t="shared" si="45"/>
        <v>0</v>
      </c>
      <c r="HY16">
        <f t="shared" si="46"/>
        <v>0.5</v>
      </c>
      <c r="HZ16">
        <f t="shared" si="47"/>
        <v>39.75</v>
      </c>
      <c r="IA16">
        <f t="shared" si="48"/>
        <v>0.5</v>
      </c>
      <c r="IB16">
        <f t="shared" si="48"/>
        <v>0</v>
      </c>
      <c r="IC16">
        <f t="shared" si="48"/>
        <v>0</v>
      </c>
      <c r="ID16">
        <f t="shared" si="49"/>
        <v>0</v>
      </c>
      <c r="IE16">
        <f t="shared" si="50"/>
        <v>0.5</v>
      </c>
      <c r="IF16">
        <f t="shared" si="51"/>
        <v>0</v>
      </c>
      <c r="IG16">
        <f t="shared" si="52"/>
        <v>6</v>
      </c>
      <c r="IH16">
        <f t="shared" si="53"/>
        <v>0.25</v>
      </c>
      <c r="II16">
        <f t="shared" si="54"/>
        <v>0</v>
      </c>
      <c r="IJ16">
        <f t="shared" si="55"/>
        <v>0</v>
      </c>
      <c r="IK16">
        <f t="shared" si="56"/>
        <v>0</v>
      </c>
      <c r="IL16">
        <f t="shared" si="0"/>
        <v>0</v>
      </c>
      <c r="IM16">
        <f t="shared" si="57"/>
        <v>4.5</v>
      </c>
      <c r="IN16">
        <f t="shared" si="58"/>
        <v>0.25</v>
      </c>
      <c r="IO16">
        <f t="shared" si="1"/>
        <v>1028.25</v>
      </c>
      <c r="IP16">
        <f t="shared" si="1"/>
        <v>2</v>
      </c>
      <c r="IQ16">
        <f t="shared" si="1"/>
        <v>0</v>
      </c>
      <c r="IR16">
        <f t="shared" si="1"/>
        <v>0</v>
      </c>
      <c r="IS16">
        <f t="shared" si="1"/>
        <v>0.25</v>
      </c>
      <c r="IT16">
        <f t="shared" si="1"/>
        <v>0</v>
      </c>
      <c r="IU16">
        <f t="shared" si="1"/>
        <v>0</v>
      </c>
      <c r="IV16">
        <f t="shared" si="1"/>
        <v>2.25</v>
      </c>
      <c r="IW16">
        <f t="shared" si="1"/>
        <v>0</v>
      </c>
      <c r="IX16">
        <f t="shared" si="1"/>
        <v>0</v>
      </c>
      <c r="IY16">
        <f t="shared" si="59"/>
        <v>0</v>
      </c>
      <c r="IZ16">
        <f t="shared" si="2"/>
        <v>0</v>
      </c>
      <c r="JA16">
        <f t="shared" si="3"/>
        <v>0</v>
      </c>
      <c r="JB16">
        <f t="shared" si="3"/>
        <v>0</v>
      </c>
      <c r="JC16">
        <f t="shared" si="3"/>
        <v>0</v>
      </c>
      <c r="JD16">
        <f t="shared" si="3"/>
        <v>0</v>
      </c>
      <c r="JE16">
        <f t="shared" si="3"/>
        <v>0</v>
      </c>
      <c r="JF16">
        <f t="shared" si="3"/>
        <v>0</v>
      </c>
      <c r="JG16">
        <f t="shared" si="3"/>
        <v>0</v>
      </c>
      <c r="JH16">
        <f t="shared" si="3"/>
        <v>0</v>
      </c>
      <c r="JI16">
        <f t="shared" si="3"/>
        <v>0.25</v>
      </c>
      <c r="JJ16">
        <f t="shared" si="3"/>
        <v>0</v>
      </c>
      <c r="JK16">
        <f t="shared" si="3"/>
        <v>0</v>
      </c>
      <c r="JL16">
        <f t="shared" si="3"/>
        <v>0</v>
      </c>
      <c r="JM16">
        <f t="shared" si="3"/>
        <v>0</v>
      </c>
      <c r="JN16">
        <f t="shared" si="3"/>
        <v>0</v>
      </c>
      <c r="JO16">
        <f t="shared" si="3"/>
        <v>0.5</v>
      </c>
    </row>
    <row r="17" spans="2:275" x14ac:dyDescent="0.25">
      <c r="B17" s="51">
        <v>21</v>
      </c>
      <c r="C17" t="s">
        <v>16</v>
      </c>
      <c r="D17" t="s">
        <v>439</v>
      </c>
      <c r="E17">
        <v>75.875</v>
      </c>
      <c r="F17">
        <v>131.875</v>
      </c>
      <c r="G17">
        <v>85</v>
      </c>
      <c r="H17">
        <v>3.5</v>
      </c>
      <c r="I17" s="51">
        <v>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0.25</v>
      </c>
      <c r="Q17">
        <v>0.75</v>
      </c>
      <c r="R17">
        <v>0</v>
      </c>
      <c r="S17">
        <v>0</v>
      </c>
      <c r="T17">
        <v>0.75</v>
      </c>
      <c r="U17">
        <v>1.25</v>
      </c>
      <c r="V17">
        <v>0</v>
      </c>
      <c r="W17">
        <v>16.75</v>
      </c>
      <c r="X17">
        <v>0</v>
      </c>
      <c r="Y17">
        <v>11.75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1.5</v>
      </c>
      <c r="BB17">
        <v>0.25</v>
      </c>
      <c r="BC17">
        <v>0</v>
      </c>
      <c r="BD17">
        <v>0.25</v>
      </c>
      <c r="BE17">
        <v>10</v>
      </c>
      <c r="BF17">
        <v>0.75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0.5</v>
      </c>
      <c r="BV17">
        <v>0</v>
      </c>
      <c r="BW17">
        <v>2</v>
      </c>
      <c r="BX17">
        <v>8.75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297.5</v>
      </c>
      <c r="CG17">
        <v>0</v>
      </c>
      <c r="CH17">
        <v>62.5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4.5</v>
      </c>
      <c r="CP17">
        <v>0</v>
      </c>
      <c r="CQ17">
        <v>0</v>
      </c>
      <c r="CR17">
        <v>0</v>
      </c>
      <c r="CS17">
        <v>0.25</v>
      </c>
      <c r="CT17">
        <v>2.5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0.25</v>
      </c>
      <c r="EP17" s="51">
        <v>21</v>
      </c>
      <c r="EQ17" t="s">
        <v>16</v>
      </c>
      <c r="ER17" t="s">
        <v>439</v>
      </c>
      <c r="ES17">
        <v>75.875</v>
      </c>
      <c r="ET17">
        <v>131.875</v>
      </c>
      <c r="EU17">
        <v>85</v>
      </c>
      <c r="EV17">
        <v>3.5</v>
      </c>
      <c r="EW17" s="51">
        <v>21</v>
      </c>
      <c r="EX17">
        <f t="shared" si="4"/>
        <v>0</v>
      </c>
      <c r="EY17">
        <f t="shared" si="5"/>
        <v>0</v>
      </c>
      <c r="EZ17">
        <f t="shared" si="6"/>
        <v>0</v>
      </c>
      <c r="FA17">
        <f t="shared" si="6"/>
        <v>0</v>
      </c>
      <c r="FB17">
        <f t="shared" si="6"/>
        <v>1</v>
      </c>
      <c r="FC17">
        <f t="shared" si="6"/>
        <v>2</v>
      </c>
      <c r="FD17">
        <f t="shared" si="7"/>
        <v>0</v>
      </c>
      <c r="FE17">
        <f t="shared" si="7"/>
        <v>28.5</v>
      </c>
      <c r="FF17">
        <f t="shared" si="8"/>
        <v>1</v>
      </c>
      <c r="FG17">
        <f t="shared" si="9"/>
        <v>0</v>
      </c>
      <c r="FH17">
        <f t="shared" si="10"/>
        <v>0</v>
      </c>
      <c r="FI17">
        <f t="shared" si="11"/>
        <v>0</v>
      </c>
      <c r="FJ17">
        <f t="shared" si="11"/>
        <v>0</v>
      </c>
      <c r="FK17">
        <f t="shared" si="11"/>
        <v>0</v>
      </c>
      <c r="FL17">
        <f t="shared" si="11"/>
        <v>0</v>
      </c>
      <c r="FM17">
        <f t="shared" si="12"/>
        <v>0</v>
      </c>
      <c r="FN17">
        <f t="shared" si="12"/>
        <v>0</v>
      </c>
      <c r="FO17">
        <f t="shared" si="12"/>
        <v>0</v>
      </c>
      <c r="FP17">
        <f t="shared" si="13"/>
        <v>0</v>
      </c>
      <c r="FQ17">
        <f t="shared" si="13"/>
        <v>0</v>
      </c>
      <c r="FR17">
        <f t="shared" si="13"/>
        <v>0</v>
      </c>
      <c r="FS17">
        <f t="shared" si="14"/>
        <v>0.25</v>
      </c>
      <c r="FT17">
        <f t="shared" si="14"/>
        <v>11.5</v>
      </c>
      <c r="FU17">
        <f t="shared" si="14"/>
        <v>1</v>
      </c>
      <c r="FV17">
        <f t="shared" si="14"/>
        <v>0</v>
      </c>
      <c r="FW17">
        <f t="shared" si="15"/>
        <v>0</v>
      </c>
      <c r="FX17">
        <f t="shared" si="15"/>
        <v>0</v>
      </c>
      <c r="FY17">
        <f t="shared" si="15"/>
        <v>0</v>
      </c>
      <c r="FZ17">
        <f t="shared" si="16"/>
        <v>0</v>
      </c>
      <c r="GA17">
        <f t="shared" si="16"/>
        <v>0</v>
      </c>
      <c r="GB17">
        <f t="shared" si="17"/>
        <v>0</v>
      </c>
      <c r="GC17">
        <f t="shared" si="18"/>
        <v>2</v>
      </c>
      <c r="GD17">
        <f t="shared" si="18"/>
        <v>9.25</v>
      </c>
      <c r="GE17">
        <f t="shared" si="18"/>
        <v>0</v>
      </c>
      <c r="GF17">
        <f t="shared" si="19"/>
        <v>0</v>
      </c>
      <c r="GG17">
        <f t="shared" si="19"/>
        <v>0</v>
      </c>
      <c r="GH17">
        <f t="shared" si="19"/>
        <v>0</v>
      </c>
      <c r="GI17">
        <f t="shared" si="20"/>
        <v>360</v>
      </c>
      <c r="GJ17">
        <f t="shared" si="20"/>
        <v>0</v>
      </c>
      <c r="GK17">
        <f t="shared" si="21"/>
        <v>1</v>
      </c>
      <c r="GL17">
        <f t="shared" si="22"/>
        <v>0</v>
      </c>
      <c r="GM17">
        <f t="shared" si="23"/>
        <v>4.5</v>
      </c>
      <c r="GN17">
        <f t="shared" si="23"/>
        <v>0</v>
      </c>
      <c r="GO17">
        <f t="shared" si="24"/>
        <v>0</v>
      </c>
      <c r="GP17">
        <f t="shared" si="25"/>
        <v>2.75</v>
      </c>
      <c r="GQ17">
        <f t="shared" si="26"/>
        <v>0</v>
      </c>
      <c r="GR17">
        <f t="shared" si="27"/>
        <v>0</v>
      </c>
      <c r="GS17">
        <f t="shared" si="28"/>
        <v>0</v>
      </c>
      <c r="GT17">
        <f t="shared" si="28"/>
        <v>0</v>
      </c>
      <c r="GU17">
        <f t="shared" si="28"/>
        <v>0</v>
      </c>
      <c r="GV17">
        <f t="shared" si="29"/>
        <v>0</v>
      </c>
      <c r="GW17">
        <f t="shared" si="29"/>
        <v>0</v>
      </c>
      <c r="GX17">
        <f t="shared" si="29"/>
        <v>0</v>
      </c>
      <c r="GY17">
        <f t="shared" si="30"/>
        <v>0</v>
      </c>
      <c r="GZ17">
        <f t="shared" si="31"/>
        <v>0</v>
      </c>
      <c r="HA17">
        <f t="shared" si="32"/>
        <v>0</v>
      </c>
      <c r="HB17">
        <f t="shared" si="33"/>
        <v>0</v>
      </c>
      <c r="HC17">
        <f t="shared" si="34"/>
        <v>0</v>
      </c>
      <c r="HD17">
        <f t="shared" si="35"/>
        <v>0</v>
      </c>
      <c r="HE17">
        <f t="shared" si="36"/>
        <v>0</v>
      </c>
      <c r="HF17">
        <f t="shared" si="37"/>
        <v>0</v>
      </c>
      <c r="HG17">
        <f t="shared" si="38"/>
        <v>0</v>
      </c>
      <c r="HH17">
        <f t="shared" si="39"/>
        <v>0</v>
      </c>
      <c r="HI17">
        <f t="shared" si="40"/>
        <v>0</v>
      </c>
      <c r="HJ17">
        <f t="shared" si="41"/>
        <v>0</v>
      </c>
      <c r="HK17">
        <f t="shared" si="42"/>
        <v>0</v>
      </c>
      <c r="HL17">
        <f t="shared" si="43"/>
        <v>0</v>
      </c>
      <c r="HM17">
        <f t="shared" si="44"/>
        <v>0.25</v>
      </c>
      <c r="HO17" s="51">
        <v>21</v>
      </c>
      <c r="HP17" t="s">
        <v>16</v>
      </c>
      <c r="HQ17" t="s">
        <v>439</v>
      </c>
      <c r="HR17">
        <v>75.875</v>
      </c>
      <c r="HS17">
        <v>131.875</v>
      </c>
      <c r="HT17">
        <v>85</v>
      </c>
      <c r="HU17">
        <v>3.5</v>
      </c>
      <c r="HV17" s="51">
        <v>21</v>
      </c>
      <c r="HW17">
        <f t="shared" si="45"/>
        <v>0</v>
      </c>
      <c r="HX17">
        <f t="shared" si="45"/>
        <v>0</v>
      </c>
      <c r="HY17">
        <f t="shared" si="46"/>
        <v>3</v>
      </c>
      <c r="HZ17">
        <f t="shared" si="47"/>
        <v>28.5</v>
      </c>
      <c r="IA17">
        <f t="shared" si="48"/>
        <v>1</v>
      </c>
      <c r="IB17">
        <f t="shared" si="48"/>
        <v>0</v>
      </c>
      <c r="IC17">
        <f t="shared" si="48"/>
        <v>0</v>
      </c>
      <c r="ID17">
        <f t="shared" si="49"/>
        <v>0</v>
      </c>
      <c r="IE17">
        <f t="shared" si="50"/>
        <v>0</v>
      </c>
      <c r="IF17">
        <f t="shared" si="51"/>
        <v>0</v>
      </c>
      <c r="IG17">
        <f t="shared" si="52"/>
        <v>12.75</v>
      </c>
      <c r="IH17">
        <f t="shared" si="53"/>
        <v>0</v>
      </c>
      <c r="II17">
        <f t="shared" si="54"/>
        <v>0</v>
      </c>
      <c r="IJ17">
        <f t="shared" si="55"/>
        <v>0</v>
      </c>
      <c r="IK17">
        <f t="shared" si="56"/>
        <v>0</v>
      </c>
      <c r="IL17">
        <f t="shared" si="0"/>
        <v>0</v>
      </c>
      <c r="IM17">
        <f t="shared" si="57"/>
        <v>11.25</v>
      </c>
      <c r="IN17">
        <f t="shared" si="58"/>
        <v>0</v>
      </c>
      <c r="IO17">
        <f t="shared" si="1"/>
        <v>360</v>
      </c>
      <c r="IP17">
        <f t="shared" si="1"/>
        <v>0</v>
      </c>
      <c r="IQ17">
        <f t="shared" si="1"/>
        <v>1</v>
      </c>
      <c r="IR17">
        <f t="shared" si="1"/>
        <v>0</v>
      </c>
      <c r="IS17">
        <f t="shared" si="1"/>
        <v>4.5</v>
      </c>
      <c r="IT17">
        <f t="shared" si="1"/>
        <v>0</v>
      </c>
      <c r="IU17">
        <f t="shared" si="1"/>
        <v>0</v>
      </c>
      <c r="IV17">
        <f t="shared" si="1"/>
        <v>2.75</v>
      </c>
      <c r="IW17">
        <f t="shared" si="1"/>
        <v>0</v>
      </c>
      <c r="IX17">
        <f t="shared" si="1"/>
        <v>0</v>
      </c>
      <c r="IY17">
        <f t="shared" si="59"/>
        <v>0</v>
      </c>
      <c r="IZ17">
        <f t="shared" si="2"/>
        <v>0</v>
      </c>
      <c r="JA17">
        <f t="shared" si="3"/>
        <v>0</v>
      </c>
      <c r="JB17">
        <f t="shared" si="3"/>
        <v>0</v>
      </c>
      <c r="JC17">
        <f t="shared" si="3"/>
        <v>0</v>
      </c>
      <c r="JD17">
        <f t="shared" si="3"/>
        <v>0</v>
      </c>
      <c r="JE17">
        <f t="shared" si="3"/>
        <v>0</v>
      </c>
      <c r="JF17">
        <f t="shared" si="3"/>
        <v>0</v>
      </c>
      <c r="JG17">
        <f t="shared" si="3"/>
        <v>0</v>
      </c>
      <c r="JH17">
        <f t="shared" si="3"/>
        <v>0</v>
      </c>
      <c r="JI17">
        <f t="shared" si="3"/>
        <v>0</v>
      </c>
      <c r="JJ17">
        <f t="shared" si="3"/>
        <v>0</v>
      </c>
      <c r="JK17">
        <f t="shared" si="3"/>
        <v>0</v>
      </c>
      <c r="JL17">
        <f t="shared" si="3"/>
        <v>0</v>
      </c>
      <c r="JM17">
        <f t="shared" si="3"/>
        <v>0</v>
      </c>
      <c r="JN17">
        <f t="shared" si="3"/>
        <v>0</v>
      </c>
      <c r="JO17">
        <f t="shared" si="3"/>
        <v>0.25</v>
      </c>
    </row>
    <row r="18" spans="2:275" x14ac:dyDescent="0.25">
      <c r="B18" s="51">
        <v>23</v>
      </c>
      <c r="C18" t="s">
        <v>0</v>
      </c>
      <c r="D18" t="s">
        <v>439</v>
      </c>
      <c r="E18">
        <v>71.875</v>
      </c>
      <c r="F18">
        <v>83.125</v>
      </c>
      <c r="G18">
        <v>37.75</v>
      </c>
      <c r="H18">
        <v>3.5</v>
      </c>
      <c r="I18" s="51">
        <v>23</v>
      </c>
      <c r="J18">
        <v>0</v>
      </c>
      <c r="K18">
        <v>0</v>
      </c>
      <c r="L18">
        <v>0</v>
      </c>
      <c r="M18">
        <v>0</v>
      </c>
      <c r="N18">
        <v>0</v>
      </c>
      <c r="O18">
        <v>0.75</v>
      </c>
      <c r="P18">
        <v>0</v>
      </c>
      <c r="Q18">
        <v>0.25</v>
      </c>
      <c r="R18">
        <v>0</v>
      </c>
      <c r="S18">
        <v>0.25</v>
      </c>
      <c r="T18">
        <v>0.25</v>
      </c>
      <c r="U18">
        <v>0.25</v>
      </c>
      <c r="V18">
        <v>0</v>
      </c>
      <c r="W18">
        <v>13.25</v>
      </c>
      <c r="X18">
        <v>0</v>
      </c>
      <c r="Y18">
        <v>7.75</v>
      </c>
      <c r="Z18">
        <v>0.25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40.5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10.5</v>
      </c>
      <c r="BF18">
        <v>1.25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14.75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533.25</v>
      </c>
      <c r="CG18">
        <v>7.5</v>
      </c>
      <c r="CH18">
        <v>76.25</v>
      </c>
      <c r="CI18">
        <v>0</v>
      </c>
      <c r="CJ18">
        <v>0</v>
      </c>
      <c r="CK18">
        <v>0.75</v>
      </c>
      <c r="CL18">
        <v>0</v>
      </c>
      <c r="CM18">
        <v>0</v>
      </c>
      <c r="CN18">
        <v>0</v>
      </c>
      <c r="CO18">
        <v>2.25</v>
      </c>
      <c r="CP18">
        <v>0</v>
      </c>
      <c r="CQ18">
        <v>0</v>
      </c>
      <c r="CR18">
        <v>0</v>
      </c>
      <c r="CS18">
        <v>0</v>
      </c>
      <c r="CT18">
        <v>1.75</v>
      </c>
      <c r="CU18">
        <v>0.5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0.75</v>
      </c>
      <c r="EP18" s="51">
        <v>23</v>
      </c>
      <c r="EQ18" t="s">
        <v>0</v>
      </c>
      <c r="ER18" t="s">
        <v>439</v>
      </c>
      <c r="ES18">
        <v>71.875</v>
      </c>
      <c r="ET18">
        <v>83.125</v>
      </c>
      <c r="EU18">
        <v>37.75</v>
      </c>
      <c r="EV18">
        <v>3.5</v>
      </c>
      <c r="EW18" s="51">
        <v>23</v>
      </c>
      <c r="EX18">
        <f t="shared" si="4"/>
        <v>0</v>
      </c>
      <c r="EY18">
        <f t="shared" si="5"/>
        <v>0</v>
      </c>
      <c r="EZ18">
        <f t="shared" si="6"/>
        <v>0</v>
      </c>
      <c r="FA18">
        <f t="shared" si="6"/>
        <v>1</v>
      </c>
      <c r="FB18">
        <f t="shared" si="6"/>
        <v>0.25</v>
      </c>
      <c r="FC18">
        <f t="shared" si="6"/>
        <v>0.5</v>
      </c>
      <c r="FD18">
        <f t="shared" si="7"/>
        <v>0</v>
      </c>
      <c r="FE18">
        <f t="shared" si="7"/>
        <v>21</v>
      </c>
      <c r="FF18">
        <f t="shared" si="8"/>
        <v>0.25</v>
      </c>
      <c r="FG18">
        <f t="shared" si="9"/>
        <v>0</v>
      </c>
      <c r="FH18">
        <f t="shared" si="10"/>
        <v>0</v>
      </c>
      <c r="FI18">
        <f t="shared" si="11"/>
        <v>40.5</v>
      </c>
      <c r="FJ18">
        <f t="shared" si="11"/>
        <v>0</v>
      </c>
      <c r="FK18">
        <f t="shared" si="11"/>
        <v>0</v>
      </c>
      <c r="FL18">
        <f t="shared" si="11"/>
        <v>0</v>
      </c>
      <c r="FM18">
        <f t="shared" si="12"/>
        <v>0</v>
      </c>
      <c r="FN18">
        <f t="shared" si="12"/>
        <v>0</v>
      </c>
      <c r="FO18">
        <f t="shared" si="12"/>
        <v>0</v>
      </c>
      <c r="FP18">
        <f t="shared" si="13"/>
        <v>0</v>
      </c>
      <c r="FQ18">
        <f t="shared" si="13"/>
        <v>0</v>
      </c>
      <c r="FR18">
        <f t="shared" si="13"/>
        <v>0</v>
      </c>
      <c r="FS18">
        <f t="shared" si="14"/>
        <v>0</v>
      </c>
      <c r="FT18">
        <f t="shared" si="14"/>
        <v>10.5</v>
      </c>
      <c r="FU18">
        <f t="shared" si="14"/>
        <v>1.25</v>
      </c>
      <c r="FV18">
        <f t="shared" si="14"/>
        <v>0</v>
      </c>
      <c r="FW18">
        <f t="shared" si="15"/>
        <v>0</v>
      </c>
      <c r="FX18">
        <f t="shared" si="15"/>
        <v>0</v>
      </c>
      <c r="FY18">
        <f t="shared" si="15"/>
        <v>0</v>
      </c>
      <c r="FZ18">
        <f t="shared" si="16"/>
        <v>0</v>
      </c>
      <c r="GA18">
        <f t="shared" si="16"/>
        <v>0</v>
      </c>
      <c r="GB18">
        <f t="shared" si="17"/>
        <v>0</v>
      </c>
      <c r="GC18">
        <f t="shared" si="18"/>
        <v>0</v>
      </c>
      <c r="GD18">
        <f t="shared" si="18"/>
        <v>14.75</v>
      </c>
      <c r="GE18">
        <f t="shared" si="18"/>
        <v>0</v>
      </c>
      <c r="GF18">
        <f t="shared" si="19"/>
        <v>0</v>
      </c>
      <c r="GG18">
        <f t="shared" si="19"/>
        <v>0</v>
      </c>
      <c r="GH18">
        <f t="shared" si="19"/>
        <v>0</v>
      </c>
      <c r="GI18">
        <f t="shared" si="20"/>
        <v>609.5</v>
      </c>
      <c r="GJ18">
        <f t="shared" si="20"/>
        <v>7.5</v>
      </c>
      <c r="GK18">
        <f t="shared" si="21"/>
        <v>0.75</v>
      </c>
      <c r="GL18">
        <f t="shared" si="22"/>
        <v>0</v>
      </c>
      <c r="GM18">
        <f t="shared" si="23"/>
        <v>2.25</v>
      </c>
      <c r="GN18">
        <f t="shared" si="23"/>
        <v>0</v>
      </c>
      <c r="GO18">
        <f t="shared" si="24"/>
        <v>0</v>
      </c>
      <c r="GP18">
        <f t="shared" si="25"/>
        <v>1.75</v>
      </c>
      <c r="GQ18">
        <f t="shared" si="26"/>
        <v>0.5</v>
      </c>
      <c r="GR18">
        <f t="shared" si="27"/>
        <v>0</v>
      </c>
      <c r="GS18">
        <f t="shared" si="28"/>
        <v>0</v>
      </c>
      <c r="GT18">
        <f t="shared" si="28"/>
        <v>0</v>
      </c>
      <c r="GU18">
        <f t="shared" si="28"/>
        <v>0</v>
      </c>
      <c r="GV18">
        <f t="shared" si="29"/>
        <v>0</v>
      </c>
      <c r="GW18">
        <f t="shared" si="29"/>
        <v>0</v>
      </c>
      <c r="GX18">
        <f t="shared" si="29"/>
        <v>0</v>
      </c>
      <c r="GY18">
        <f t="shared" si="30"/>
        <v>0</v>
      </c>
      <c r="GZ18">
        <f t="shared" si="31"/>
        <v>0</v>
      </c>
      <c r="HA18">
        <f t="shared" si="32"/>
        <v>0</v>
      </c>
      <c r="HB18">
        <f t="shared" si="33"/>
        <v>0</v>
      </c>
      <c r="HC18">
        <f t="shared" si="34"/>
        <v>0</v>
      </c>
      <c r="HD18">
        <f t="shared" si="35"/>
        <v>0</v>
      </c>
      <c r="HE18">
        <f t="shared" si="36"/>
        <v>0</v>
      </c>
      <c r="HF18">
        <f t="shared" si="37"/>
        <v>0</v>
      </c>
      <c r="HG18">
        <f t="shared" si="38"/>
        <v>0</v>
      </c>
      <c r="HH18">
        <f t="shared" si="39"/>
        <v>0</v>
      </c>
      <c r="HI18">
        <f t="shared" si="40"/>
        <v>0</v>
      </c>
      <c r="HJ18">
        <f t="shared" si="41"/>
        <v>0</v>
      </c>
      <c r="HK18">
        <f t="shared" si="42"/>
        <v>0</v>
      </c>
      <c r="HL18">
        <f t="shared" si="43"/>
        <v>0</v>
      </c>
      <c r="HM18">
        <f t="shared" si="44"/>
        <v>0.75</v>
      </c>
      <c r="HO18" s="51">
        <v>23</v>
      </c>
      <c r="HP18" t="s">
        <v>0</v>
      </c>
      <c r="HQ18" t="s">
        <v>439</v>
      </c>
      <c r="HR18">
        <v>71.875</v>
      </c>
      <c r="HS18">
        <v>83.125</v>
      </c>
      <c r="HT18">
        <v>37.75</v>
      </c>
      <c r="HU18">
        <v>3.5</v>
      </c>
      <c r="HV18" s="51">
        <v>23</v>
      </c>
      <c r="HW18">
        <f t="shared" si="45"/>
        <v>0</v>
      </c>
      <c r="HX18">
        <f t="shared" si="45"/>
        <v>0</v>
      </c>
      <c r="HY18">
        <f t="shared" si="46"/>
        <v>1.75</v>
      </c>
      <c r="HZ18">
        <f t="shared" si="47"/>
        <v>21</v>
      </c>
      <c r="IA18">
        <f t="shared" si="48"/>
        <v>0.25</v>
      </c>
      <c r="IB18">
        <f t="shared" si="48"/>
        <v>0</v>
      </c>
      <c r="IC18">
        <f t="shared" si="48"/>
        <v>0</v>
      </c>
      <c r="ID18">
        <f>SUM(FI18:FL18)</f>
        <v>40.5</v>
      </c>
      <c r="IE18">
        <f t="shared" si="50"/>
        <v>0</v>
      </c>
      <c r="IF18">
        <f t="shared" si="51"/>
        <v>0</v>
      </c>
      <c r="IG18">
        <f t="shared" si="52"/>
        <v>11.75</v>
      </c>
      <c r="IH18">
        <f t="shared" si="53"/>
        <v>0</v>
      </c>
      <c r="II18">
        <f t="shared" si="54"/>
        <v>0</v>
      </c>
      <c r="IJ18">
        <f t="shared" si="55"/>
        <v>0</v>
      </c>
      <c r="IK18">
        <f t="shared" si="56"/>
        <v>0</v>
      </c>
      <c r="IL18">
        <f t="shared" si="0"/>
        <v>0</v>
      </c>
      <c r="IM18">
        <f t="shared" si="57"/>
        <v>14.75</v>
      </c>
      <c r="IN18">
        <f t="shared" si="58"/>
        <v>0</v>
      </c>
      <c r="IO18">
        <f t="shared" si="1"/>
        <v>609.5</v>
      </c>
      <c r="IP18">
        <f t="shared" si="1"/>
        <v>7.5</v>
      </c>
      <c r="IQ18">
        <f t="shared" si="1"/>
        <v>0.75</v>
      </c>
      <c r="IR18">
        <f t="shared" si="1"/>
        <v>0</v>
      </c>
      <c r="IS18">
        <f t="shared" si="1"/>
        <v>2.25</v>
      </c>
      <c r="IT18">
        <f t="shared" si="1"/>
        <v>0</v>
      </c>
      <c r="IU18">
        <f t="shared" si="1"/>
        <v>0</v>
      </c>
      <c r="IV18">
        <f t="shared" si="1"/>
        <v>1.75</v>
      </c>
      <c r="IW18">
        <f t="shared" si="1"/>
        <v>0.5</v>
      </c>
      <c r="IX18">
        <f t="shared" si="1"/>
        <v>0</v>
      </c>
      <c r="IY18">
        <f t="shared" si="59"/>
        <v>0</v>
      </c>
      <c r="IZ18">
        <f t="shared" si="2"/>
        <v>0</v>
      </c>
      <c r="JA18">
        <f t="shared" si="3"/>
        <v>0</v>
      </c>
      <c r="JB18">
        <f t="shared" si="3"/>
        <v>0</v>
      </c>
      <c r="JC18">
        <f t="shared" si="3"/>
        <v>0</v>
      </c>
      <c r="JD18">
        <f t="shared" si="3"/>
        <v>0</v>
      </c>
      <c r="JE18">
        <f t="shared" si="3"/>
        <v>0</v>
      </c>
      <c r="JF18">
        <f t="shared" si="3"/>
        <v>0</v>
      </c>
      <c r="JG18">
        <f t="shared" si="3"/>
        <v>0</v>
      </c>
      <c r="JH18">
        <f t="shared" si="3"/>
        <v>0</v>
      </c>
      <c r="JI18">
        <f t="shared" si="3"/>
        <v>0</v>
      </c>
      <c r="JJ18">
        <f t="shared" si="3"/>
        <v>0</v>
      </c>
      <c r="JK18">
        <f t="shared" si="3"/>
        <v>0</v>
      </c>
      <c r="JL18">
        <f t="shared" si="3"/>
        <v>0</v>
      </c>
      <c r="JM18">
        <f t="shared" si="3"/>
        <v>0</v>
      </c>
      <c r="JN18">
        <f t="shared" si="3"/>
        <v>0</v>
      </c>
      <c r="JO18">
        <f t="shared" si="3"/>
        <v>0.75</v>
      </c>
    </row>
    <row r="19" spans="2:275" x14ac:dyDescent="0.25">
      <c r="B19" s="51">
        <v>31</v>
      </c>
      <c r="C19" t="s">
        <v>440</v>
      </c>
      <c r="D19" t="s">
        <v>439</v>
      </c>
      <c r="E19">
        <v>86.625</v>
      </c>
      <c r="F19">
        <v>124.375</v>
      </c>
      <c r="G19">
        <v>101.25</v>
      </c>
      <c r="H19">
        <v>2.8125</v>
      </c>
      <c r="I19" s="51">
        <v>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1.25</v>
      </c>
      <c r="R19">
        <v>0</v>
      </c>
      <c r="S19">
        <v>0</v>
      </c>
      <c r="T19">
        <v>0</v>
      </c>
      <c r="U19">
        <v>0.5</v>
      </c>
      <c r="V19">
        <v>0</v>
      </c>
      <c r="W19">
        <v>29.25</v>
      </c>
      <c r="X19">
        <v>0</v>
      </c>
      <c r="Y19">
        <v>0.25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1.25</v>
      </c>
      <c r="BB19">
        <v>0.25</v>
      </c>
      <c r="BC19">
        <v>0</v>
      </c>
      <c r="BD19">
        <v>0</v>
      </c>
      <c r="BE19">
        <v>4.5</v>
      </c>
      <c r="BF19">
        <v>1.5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0.25</v>
      </c>
      <c r="BT19">
        <v>0</v>
      </c>
      <c r="BU19">
        <v>0</v>
      </c>
      <c r="BV19">
        <v>0</v>
      </c>
      <c r="BW19">
        <v>0</v>
      </c>
      <c r="BX19">
        <v>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396.25</v>
      </c>
      <c r="CG19">
        <v>8</v>
      </c>
      <c r="CH19">
        <v>32.5</v>
      </c>
      <c r="CI19">
        <v>0.75</v>
      </c>
      <c r="CJ19">
        <v>0</v>
      </c>
      <c r="CK19">
        <v>3.75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0.25</v>
      </c>
      <c r="CR19">
        <v>0</v>
      </c>
      <c r="CS19">
        <v>0.5</v>
      </c>
      <c r="CT19">
        <v>1.75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0.25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0.25</v>
      </c>
      <c r="DW19">
        <v>0</v>
      </c>
      <c r="DX19">
        <v>0.25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0.25</v>
      </c>
      <c r="EP19" s="51">
        <v>31</v>
      </c>
      <c r="EQ19" t="s">
        <v>440</v>
      </c>
      <c r="ER19" t="s">
        <v>439</v>
      </c>
      <c r="ES19">
        <v>86.625</v>
      </c>
      <c r="ET19">
        <v>124.375</v>
      </c>
      <c r="EU19">
        <v>101.25</v>
      </c>
      <c r="EV19">
        <v>2.8125</v>
      </c>
      <c r="EW19" s="51">
        <v>31</v>
      </c>
      <c r="EX19">
        <f t="shared" si="4"/>
        <v>0</v>
      </c>
      <c r="EY19">
        <f t="shared" si="5"/>
        <v>0</v>
      </c>
      <c r="EZ19">
        <f t="shared" si="6"/>
        <v>0</v>
      </c>
      <c r="FA19">
        <f t="shared" si="6"/>
        <v>0</v>
      </c>
      <c r="FB19">
        <f t="shared" si="6"/>
        <v>0</v>
      </c>
      <c r="FC19">
        <f t="shared" si="6"/>
        <v>1.75</v>
      </c>
      <c r="FD19">
        <f t="shared" si="7"/>
        <v>0</v>
      </c>
      <c r="FE19">
        <f t="shared" si="7"/>
        <v>29.5</v>
      </c>
      <c r="FF19">
        <f t="shared" si="8"/>
        <v>1</v>
      </c>
      <c r="FG19">
        <f t="shared" si="9"/>
        <v>0</v>
      </c>
      <c r="FH19">
        <f t="shared" si="10"/>
        <v>0</v>
      </c>
      <c r="FI19">
        <f t="shared" si="11"/>
        <v>0</v>
      </c>
      <c r="FJ19">
        <f t="shared" si="11"/>
        <v>0</v>
      </c>
      <c r="FK19">
        <f t="shared" si="11"/>
        <v>0</v>
      </c>
      <c r="FL19">
        <f t="shared" si="11"/>
        <v>0</v>
      </c>
      <c r="FM19">
        <f t="shared" si="12"/>
        <v>0</v>
      </c>
      <c r="FN19">
        <f t="shared" si="12"/>
        <v>0</v>
      </c>
      <c r="FO19">
        <f t="shared" si="12"/>
        <v>0</v>
      </c>
      <c r="FP19">
        <f t="shared" si="13"/>
        <v>0</v>
      </c>
      <c r="FQ19">
        <f t="shared" si="13"/>
        <v>0</v>
      </c>
      <c r="FR19">
        <f t="shared" si="13"/>
        <v>0</v>
      </c>
      <c r="FS19">
        <f t="shared" si="14"/>
        <v>0</v>
      </c>
      <c r="FT19">
        <f t="shared" si="14"/>
        <v>5.75</v>
      </c>
      <c r="FU19">
        <f t="shared" si="14"/>
        <v>1.75</v>
      </c>
      <c r="FV19">
        <f t="shared" si="14"/>
        <v>0</v>
      </c>
      <c r="FW19">
        <f t="shared" si="15"/>
        <v>0</v>
      </c>
      <c r="FX19">
        <f t="shared" si="15"/>
        <v>0</v>
      </c>
      <c r="FY19">
        <f t="shared" si="15"/>
        <v>0</v>
      </c>
      <c r="FZ19">
        <f t="shared" si="16"/>
        <v>0</v>
      </c>
      <c r="GA19">
        <f t="shared" si="16"/>
        <v>0</v>
      </c>
      <c r="GB19">
        <f t="shared" si="17"/>
        <v>0.25</v>
      </c>
      <c r="GC19">
        <f t="shared" si="18"/>
        <v>0</v>
      </c>
      <c r="GD19">
        <f t="shared" si="18"/>
        <v>7</v>
      </c>
      <c r="GE19">
        <f t="shared" si="18"/>
        <v>0</v>
      </c>
      <c r="GF19">
        <f t="shared" si="19"/>
        <v>0</v>
      </c>
      <c r="GG19">
        <f t="shared" si="19"/>
        <v>0</v>
      </c>
      <c r="GH19">
        <f t="shared" si="19"/>
        <v>0</v>
      </c>
      <c r="GI19">
        <f t="shared" si="20"/>
        <v>428.75</v>
      </c>
      <c r="GJ19">
        <f t="shared" si="20"/>
        <v>8.75</v>
      </c>
      <c r="GK19">
        <f t="shared" si="21"/>
        <v>3.75</v>
      </c>
      <c r="GL19">
        <f t="shared" si="22"/>
        <v>0</v>
      </c>
      <c r="GM19">
        <f t="shared" si="23"/>
        <v>0</v>
      </c>
      <c r="GN19">
        <f t="shared" si="23"/>
        <v>0</v>
      </c>
      <c r="GO19">
        <f t="shared" si="24"/>
        <v>0.25</v>
      </c>
      <c r="GP19">
        <f t="shared" si="25"/>
        <v>2.25</v>
      </c>
      <c r="GQ19">
        <f t="shared" si="26"/>
        <v>0</v>
      </c>
      <c r="GR19">
        <f t="shared" si="27"/>
        <v>0</v>
      </c>
      <c r="GS19">
        <f t="shared" si="28"/>
        <v>0</v>
      </c>
      <c r="GT19">
        <f t="shared" si="28"/>
        <v>0</v>
      </c>
      <c r="GU19">
        <f t="shared" si="28"/>
        <v>0</v>
      </c>
      <c r="GV19">
        <f t="shared" si="29"/>
        <v>0.25</v>
      </c>
      <c r="GW19">
        <f t="shared" si="29"/>
        <v>0</v>
      </c>
      <c r="GX19">
        <f t="shared" si="29"/>
        <v>0</v>
      </c>
      <c r="GY19">
        <f t="shared" si="30"/>
        <v>0</v>
      </c>
      <c r="GZ19">
        <f t="shared" si="31"/>
        <v>0</v>
      </c>
      <c r="HA19">
        <f t="shared" si="32"/>
        <v>0</v>
      </c>
      <c r="HB19">
        <f t="shared" si="33"/>
        <v>0</v>
      </c>
      <c r="HC19">
        <f t="shared" si="34"/>
        <v>0</v>
      </c>
      <c r="HD19">
        <f t="shared" si="35"/>
        <v>0.25</v>
      </c>
      <c r="HE19">
        <f t="shared" si="36"/>
        <v>0.25</v>
      </c>
      <c r="HF19">
        <f t="shared" si="37"/>
        <v>0</v>
      </c>
      <c r="HG19">
        <f t="shared" si="38"/>
        <v>0</v>
      </c>
      <c r="HH19">
        <f t="shared" si="39"/>
        <v>0</v>
      </c>
      <c r="HI19">
        <f t="shared" si="40"/>
        <v>0</v>
      </c>
      <c r="HJ19">
        <f t="shared" si="41"/>
        <v>0</v>
      </c>
      <c r="HK19">
        <f t="shared" si="42"/>
        <v>0</v>
      </c>
      <c r="HL19">
        <f t="shared" si="43"/>
        <v>0</v>
      </c>
      <c r="HM19">
        <f t="shared" si="44"/>
        <v>0.25</v>
      </c>
      <c r="HO19" s="51">
        <v>31</v>
      </c>
      <c r="HP19" t="s">
        <v>440</v>
      </c>
      <c r="HQ19" t="s">
        <v>439</v>
      </c>
      <c r="HR19">
        <v>86.625</v>
      </c>
      <c r="HS19">
        <v>124.375</v>
      </c>
      <c r="HT19">
        <v>101.25</v>
      </c>
      <c r="HU19">
        <v>2.8125</v>
      </c>
      <c r="HV19" s="51">
        <v>31</v>
      </c>
      <c r="HW19">
        <f t="shared" si="45"/>
        <v>0</v>
      </c>
      <c r="HX19">
        <f t="shared" si="45"/>
        <v>0</v>
      </c>
      <c r="HY19">
        <f t="shared" si="46"/>
        <v>1.75</v>
      </c>
      <c r="HZ19">
        <f t="shared" si="47"/>
        <v>29.5</v>
      </c>
      <c r="IA19">
        <f t="shared" si="48"/>
        <v>1</v>
      </c>
      <c r="IB19">
        <f t="shared" si="48"/>
        <v>0</v>
      </c>
      <c r="IC19">
        <f t="shared" si="48"/>
        <v>0</v>
      </c>
      <c r="ID19">
        <f t="shared" si="49"/>
        <v>0</v>
      </c>
      <c r="IE19">
        <f t="shared" si="50"/>
        <v>0</v>
      </c>
      <c r="IF19">
        <f t="shared" si="51"/>
        <v>0</v>
      </c>
      <c r="IG19">
        <f t="shared" si="52"/>
        <v>7.5</v>
      </c>
      <c r="IH19">
        <f t="shared" si="53"/>
        <v>0</v>
      </c>
      <c r="II19">
        <f t="shared" si="54"/>
        <v>0</v>
      </c>
      <c r="IJ19">
        <f t="shared" si="55"/>
        <v>0</v>
      </c>
      <c r="IK19">
        <f t="shared" si="56"/>
        <v>0</v>
      </c>
      <c r="IL19">
        <f t="shared" si="0"/>
        <v>0.25</v>
      </c>
      <c r="IM19">
        <f t="shared" si="57"/>
        <v>7</v>
      </c>
      <c r="IN19">
        <f t="shared" si="58"/>
        <v>0</v>
      </c>
      <c r="IO19">
        <f t="shared" si="1"/>
        <v>428.75</v>
      </c>
      <c r="IP19">
        <f t="shared" si="1"/>
        <v>8.75</v>
      </c>
      <c r="IQ19">
        <f t="shared" si="1"/>
        <v>3.75</v>
      </c>
      <c r="IR19">
        <f t="shared" si="1"/>
        <v>0</v>
      </c>
      <c r="IS19">
        <f t="shared" si="1"/>
        <v>0</v>
      </c>
      <c r="IT19">
        <f t="shared" si="1"/>
        <v>0</v>
      </c>
      <c r="IU19">
        <f t="shared" si="1"/>
        <v>0.25</v>
      </c>
      <c r="IV19">
        <f t="shared" si="1"/>
        <v>2.25</v>
      </c>
      <c r="IW19">
        <f t="shared" si="1"/>
        <v>0</v>
      </c>
      <c r="IX19">
        <f t="shared" si="1"/>
        <v>0</v>
      </c>
      <c r="IY19">
        <f t="shared" si="59"/>
        <v>0</v>
      </c>
      <c r="IZ19">
        <f t="shared" si="2"/>
        <v>0.25</v>
      </c>
      <c r="JA19">
        <f t="shared" si="3"/>
        <v>0</v>
      </c>
      <c r="JB19">
        <f t="shared" si="3"/>
        <v>0</v>
      </c>
      <c r="JC19">
        <f t="shared" si="3"/>
        <v>0</v>
      </c>
      <c r="JD19">
        <f t="shared" si="3"/>
        <v>0</v>
      </c>
      <c r="JE19">
        <f t="shared" si="3"/>
        <v>0</v>
      </c>
      <c r="JF19">
        <f t="shared" si="3"/>
        <v>0.25</v>
      </c>
      <c r="JG19">
        <f t="shared" si="3"/>
        <v>0.25</v>
      </c>
      <c r="JH19">
        <f t="shared" si="3"/>
        <v>0</v>
      </c>
      <c r="JI19">
        <f t="shared" si="3"/>
        <v>0</v>
      </c>
      <c r="JJ19">
        <f t="shared" si="3"/>
        <v>0</v>
      </c>
      <c r="JK19">
        <f t="shared" si="3"/>
        <v>0</v>
      </c>
      <c r="JL19">
        <f t="shared" si="3"/>
        <v>0</v>
      </c>
      <c r="JM19">
        <f t="shared" si="3"/>
        <v>0</v>
      </c>
      <c r="JN19">
        <f t="shared" si="3"/>
        <v>0</v>
      </c>
      <c r="JO19">
        <f t="shared" si="3"/>
        <v>0.25</v>
      </c>
    </row>
    <row r="20" spans="2:275" x14ac:dyDescent="0.25">
      <c r="B20" s="51">
        <v>34</v>
      </c>
      <c r="C20" t="s">
        <v>16</v>
      </c>
      <c r="D20" t="s">
        <v>439</v>
      </c>
      <c r="E20">
        <v>90.125</v>
      </c>
      <c r="F20">
        <v>135.625</v>
      </c>
      <c r="G20">
        <v>112.5</v>
      </c>
      <c r="H20">
        <v>2.25</v>
      </c>
      <c r="I20" s="51">
        <v>34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</v>
      </c>
      <c r="Q20">
        <v>0.25</v>
      </c>
      <c r="R20">
        <v>0</v>
      </c>
      <c r="S20">
        <v>0</v>
      </c>
      <c r="T20">
        <v>0</v>
      </c>
      <c r="U20">
        <v>0.25</v>
      </c>
      <c r="V20">
        <v>0</v>
      </c>
      <c r="W20">
        <v>19.75</v>
      </c>
      <c r="X20">
        <v>0</v>
      </c>
      <c r="Y20">
        <v>0.5</v>
      </c>
      <c r="Z20">
        <v>0.25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0.5</v>
      </c>
      <c r="BB20">
        <v>1.25</v>
      </c>
      <c r="BC20">
        <v>0.25</v>
      </c>
      <c r="BD20">
        <v>0</v>
      </c>
      <c r="BE20">
        <v>6.25</v>
      </c>
      <c r="BF20">
        <v>4.5</v>
      </c>
      <c r="BG20">
        <v>1.25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7.25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512.5</v>
      </c>
      <c r="CG20">
        <v>7</v>
      </c>
      <c r="CH20">
        <v>86.25</v>
      </c>
      <c r="CI20">
        <v>0.75</v>
      </c>
      <c r="CJ20">
        <v>0</v>
      </c>
      <c r="CK20">
        <v>0.25</v>
      </c>
      <c r="CL20">
        <v>0</v>
      </c>
      <c r="CM20">
        <v>0</v>
      </c>
      <c r="CN20">
        <v>0</v>
      </c>
      <c r="CO20">
        <v>2.25</v>
      </c>
      <c r="CP20">
        <v>0</v>
      </c>
      <c r="CQ20">
        <v>0</v>
      </c>
      <c r="CR20">
        <v>0</v>
      </c>
      <c r="CS20">
        <v>1</v>
      </c>
      <c r="CT20">
        <v>3.5</v>
      </c>
      <c r="CU20">
        <v>1.25</v>
      </c>
      <c r="CV20">
        <v>0.25</v>
      </c>
      <c r="CW20">
        <v>0</v>
      </c>
      <c r="CX20">
        <v>0</v>
      </c>
      <c r="CY20">
        <v>0</v>
      </c>
      <c r="CZ20">
        <v>0.75</v>
      </c>
      <c r="DA20">
        <v>0</v>
      </c>
      <c r="DB20">
        <v>0</v>
      </c>
      <c r="DC20">
        <v>0.25</v>
      </c>
      <c r="DD20">
        <v>0</v>
      </c>
      <c r="DE20">
        <v>0</v>
      </c>
      <c r="DF20">
        <v>0</v>
      </c>
      <c r="DG20">
        <v>0</v>
      </c>
      <c r="DH20">
        <v>1.25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0.25</v>
      </c>
      <c r="DQ20">
        <v>0</v>
      </c>
      <c r="DR20">
        <v>0</v>
      </c>
      <c r="DS20">
        <v>0</v>
      </c>
      <c r="DT20">
        <v>0.25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0.5</v>
      </c>
      <c r="EP20" s="51">
        <v>34</v>
      </c>
      <c r="EQ20" t="s">
        <v>16</v>
      </c>
      <c r="ER20" t="s">
        <v>439</v>
      </c>
      <c r="ES20">
        <v>90.125</v>
      </c>
      <c r="ET20">
        <v>135.625</v>
      </c>
      <c r="EU20">
        <v>112.5</v>
      </c>
      <c r="EV20">
        <v>2.25</v>
      </c>
      <c r="EW20" s="51">
        <v>34</v>
      </c>
      <c r="EX20">
        <f t="shared" si="4"/>
        <v>0</v>
      </c>
      <c r="EY20">
        <f t="shared" si="5"/>
        <v>0</v>
      </c>
      <c r="EZ20">
        <f t="shared" si="6"/>
        <v>0</v>
      </c>
      <c r="FA20">
        <f t="shared" si="6"/>
        <v>0</v>
      </c>
      <c r="FB20">
        <f t="shared" si="6"/>
        <v>0.25</v>
      </c>
      <c r="FC20">
        <f t="shared" si="6"/>
        <v>0.5</v>
      </c>
      <c r="FD20">
        <f t="shared" si="7"/>
        <v>0</v>
      </c>
      <c r="FE20">
        <f t="shared" si="7"/>
        <v>20.25</v>
      </c>
      <c r="FF20">
        <f t="shared" si="8"/>
        <v>0.25</v>
      </c>
      <c r="FG20">
        <f t="shared" si="9"/>
        <v>0</v>
      </c>
      <c r="FH20">
        <f t="shared" si="10"/>
        <v>0</v>
      </c>
      <c r="FI20">
        <f t="shared" si="11"/>
        <v>0.5</v>
      </c>
      <c r="FJ20">
        <f t="shared" si="11"/>
        <v>0</v>
      </c>
      <c r="FK20">
        <f t="shared" si="11"/>
        <v>0</v>
      </c>
      <c r="FL20">
        <f t="shared" si="11"/>
        <v>0</v>
      </c>
      <c r="FM20">
        <f t="shared" si="12"/>
        <v>0</v>
      </c>
      <c r="FN20">
        <f t="shared" si="12"/>
        <v>0</v>
      </c>
      <c r="FO20">
        <f t="shared" si="12"/>
        <v>0</v>
      </c>
      <c r="FP20">
        <f t="shared" si="13"/>
        <v>0</v>
      </c>
      <c r="FQ20">
        <f t="shared" si="13"/>
        <v>0</v>
      </c>
      <c r="FR20">
        <f t="shared" si="13"/>
        <v>0</v>
      </c>
      <c r="FS20">
        <f t="shared" si="14"/>
        <v>0</v>
      </c>
      <c r="FT20">
        <f t="shared" si="14"/>
        <v>6.75</v>
      </c>
      <c r="FU20">
        <f t="shared" si="14"/>
        <v>5.75</v>
      </c>
      <c r="FV20">
        <f t="shared" si="14"/>
        <v>1.5</v>
      </c>
      <c r="FW20">
        <f t="shared" si="15"/>
        <v>0</v>
      </c>
      <c r="FX20">
        <f t="shared" si="15"/>
        <v>0</v>
      </c>
      <c r="FY20">
        <f t="shared" si="15"/>
        <v>0</v>
      </c>
      <c r="FZ20">
        <f t="shared" si="16"/>
        <v>0</v>
      </c>
      <c r="GA20">
        <f t="shared" si="16"/>
        <v>0</v>
      </c>
      <c r="GB20">
        <f t="shared" si="17"/>
        <v>0</v>
      </c>
      <c r="GC20">
        <f t="shared" si="18"/>
        <v>0</v>
      </c>
      <c r="GD20">
        <f t="shared" si="18"/>
        <v>7.25</v>
      </c>
      <c r="GE20">
        <f t="shared" si="18"/>
        <v>0</v>
      </c>
      <c r="GF20">
        <f t="shared" si="19"/>
        <v>0</v>
      </c>
      <c r="GG20">
        <f t="shared" si="19"/>
        <v>0</v>
      </c>
      <c r="GH20">
        <f t="shared" si="19"/>
        <v>0</v>
      </c>
      <c r="GI20">
        <f t="shared" si="20"/>
        <v>598.75</v>
      </c>
      <c r="GJ20">
        <f t="shared" si="20"/>
        <v>7.75</v>
      </c>
      <c r="GK20">
        <f t="shared" si="21"/>
        <v>0.25</v>
      </c>
      <c r="GL20">
        <f t="shared" si="22"/>
        <v>0</v>
      </c>
      <c r="GM20">
        <f t="shared" si="23"/>
        <v>2.25</v>
      </c>
      <c r="GN20">
        <f t="shared" si="23"/>
        <v>0</v>
      </c>
      <c r="GO20">
        <f t="shared" si="24"/>
        <v>0</v>
      </c>
      <c r="GP20">
        <f t="shared" si="25"/>
        <v>4.5</v>
      </c>
      <c r="GQ20">
        <f t="shared" si="26"/>
        <v>1.5</v>
      </c>
      <c r="GR20">
        <f t="shared" si="27"/>
        <v>0</v>
      </c>
      <c r="GS20">
        <f t="shared" si="28"/>
        <v>0</v>
      </c>
      <c r="GT20">
        <f t="shared" si="28"/>
        <v>1</v>
      </c>
      <c r="GU20">
        <f t="shared" si="28"/>
        <v>0</v>
      </c>
      <c r="GV20">
        <f t="shared" si="29"/>
        <v>1.25</v>
      </c>
      <c r="GW20">
        <f t="shared" si="29"/>
        <v>0</v>
      </c>
      <c r="GX20">
        <f t="shared" si="29"/>
        <v>0</v>
      </c>
      <c r="GY20">
        <f t="shared" si="30"/>
        <v>0</v>
      </c>
      <c r="GZ20">
        <f t="shared" si="31"/>
        <v>0</v>
      </c>
      <c r="HA20">
        <f t="shared" si="32"/>
        <v>0.25</v>
      </c>
      <c r="HB20">
        <f t="shared" si="33"/>
        <v>0</v>
      </c>
      <c r="HC20">
        <f t="shared" si="34"/>
        <v>0.25</v>
      </c>
      <c r="HD20">
        <f t="shared" si="35"/>
        <v>0</v>
      </c>
      <c r="HE20">
        <f t="shared" si="36"/>
        <v>0</v>
      </c>
      <c r="HF20">
        <f t="shared" si="37"/>
        <v>0</v>
      </c>
      <c r="HG20">
        <f t="shared" si="38"/>
        <v>0</v>
      </c>
      <c r="HH20">
        <f t="shared" si="39"/>
        <v>0</v>
      </c>
      <c r="HI20">
        <f t="shared" si="40"/>
        <v>0</v>
      </c>
      <c r="HJ20">
        <f t="shared" si="41"/>
        <v>0</v>
      </c>
      <c r="HK20">
        <f t="shared" si="42"/>
        <v>0</v>
      </c>
      <c r="HL20">
        <f t="shared" si="43"/>
        <v>0</v>
      </c>
      <c r="HM20">
        <f t="shared" si="44"/>
        <v>0.5</v>
      </c>
      <c r="HO20" s="51">
        <v>34</v>
      </c>
      <c r="HP20" t="s">
        <v>16</v>
      </c>
      <c r="HQ20" t="s">
        <v>439</v>
      </c>
      <c r="HR20">
        <v>90.125</v>
      </c>
      <c r="HS20">
        <v>135.625</v>
      </c>
      <c r="HT20">
        <v>112.5</v>
      </c>
      <c r="HU20">
        <v>2.25</v>
      </c>
      <c r="HV20" s="51">
        <v>34</v>
      </c>
      <c r="HW20">
        <f t="shared" si="45"/>
        <v>0</v>
      </c>
      <c r="HX20">
        <f t="shared" si="45"/>
        <v>0</v>
      </c>
      <c r="HY20">
        <f t="shared" si="46"/>
        <v>0.75</v>
      </c>
      <c r="HZ20">
        <f t="shared" si="47"/>
        <v>20.25</v>
      </c>
      <c r="IA20">
        <f t="shared" si="48"/>
        <v>0.25</v>
      </c>
      <c r="IB20">
        <f t="shared" si="48"/>
        <v>0</v>
      </c>
      <c r="IC20">
        <f t="shared" si="48"/>
        <v>0</v>
      </c>
      <c r="ID20">
        <f t="shared" si="49"/>
        <v>0.5</v>
      </c>
      <c r="IE20">
        <f t="shared" si="50"/>
        <v>0</v>
      </c>
      <c r="IF20">
        <f t="shared" si="51"/>
        <v>0</v>
      </c>
      <c r="IG20">
        <f t="shared" si="52"/>
        <v>12.5</v>
      </c>
      <c r="IH20">
        <f t="shared" si="53"/>
        <v>1.5</v>
      </c>
      <c r="II20">
        <f t="shared" si="54"/>
        <v>0</v>
      </c>
      <c r="IJ20">
        <f t="shared" si="55"/>
        <v>0</v>
      </c>
      <c r="IK20">
        <f t="shared" si="56"/>
        <v>0</v>
      </c>
      <c r="IL20">
        <f t="shared" si="0"/>
        <v>0</v>
      </c>
      <c r="IM20">
        <f t="shared" si="57"/>
        <v>7.25</v>
      </c>
      <c r="IN20">
        <f t="shared" si="58"/>
        <v>0</v>
      </c>
      <c r="IO20">
        <f t="shared" si="1"/>
        <v>598.75</v>
      </c>
      <c r="IP20">
        <f t="shared" si="1"/>
        <v>7.75</v>
      </c>
      <c r="IQ20">
        <f t="shared" si="1"/>
        <v>0.25</v>
      </c>
      <c r="IR20">
        <f t="shared" si="1"/>
        <v>0</v>
      </c>
      <c r="IS20">
        <f t="shared" si="1"/>
        <v>2.25</v>
      </c>
      <c r="IT20">
        <f t="shared" si="1"/>
        <v>0</v>
      </c>
      <c r="IU20">
        <f t="shared" si="1"/>
        <v>0</v>
      </c>
      <c r="IV20">
        <f t="shared" si="1"/>
        <v>4.5</v>
      </c>
      <c r="IW20">
        <f t="shared" si="1"/>
        <v>1.5</v>
      </c>
      <c r="IX20">
        <f t="shared" si="1"/>
        <v>0</v>
      </c>
      <c r="IY20">
        <f t="shared" si="59"/>
        <v>1</v>
      </c>
      <c r="IZ20">
        <f t="shared" si="2"/>
        <v>1.25</v>
      </c>
      <c r="JA20">
        <f t="shared" si="3"/>
        <v>0</v>
      </c>
      <c r="JB20">
        <f t="shared" si="3"/>
        <v>0</v>
      </c>
      <c r="JC20">
        <f t="shared" si="3"/>
        <v>0.25</v>
      </c>
      <c r="JD20">
        <f t="shared" si="3"/>
        <v>0</v>
      </c>
      <c r="JE20">
        <f t="shared" si="3"/>
        <v>0.25</v>
      </c>
      <c r="JF20">
        <f t="shared" si="3"/>
        <v>0</v>
      </c>
      <c r="JG20">
        <f t="shared" si="3"/>
        <v>0</v>
      </c>
      <c r="JH20">
        <f t="shared" si="3"/>
        <v>0</v>
      </c>
      <c r="JI20">
        <f t="shared" si="3"/>
        <v>0</v>
      </c>
      <c r="JJ20">
        <f t="shared" si="3"/>
        <v>0</v>
      </c>
      <c r="JK20">
        <f t="shared" si="3"/>
        <v>0</v>
      </c>
      <c r="JL20">
        <f t="shared" si="3"/>
        <v>0</v>
      </c>
      <c r="JM20">
        <f t="shared" si="3"/>
        <v>0</v>
      </c>
      <c r="JN20">
        <f t="shared" si="3"/>
        <v>0</v>
      </c>
      <c r="JO20">
        <f t="shared" si="3"/>
        <v>0.5</v>
      </c>
    </row>
    <row r="21" spans="2:275" x14ac:dyDescent="0.25">
      <c r="B21" s="51">
        <v>35</v>
      </c>
      <c r="C21" t="s">
        <v>16</v>
      </c>
      <c r="D21" t="s">
        <v>439</v>
      </c>
      <c r="E21">
        <v>71</v>
      </c>
      <c r="F21">
        <v>59.125</v>
      </c>
      <c r="G21">
        <v>25.875</v>
      </c>
      <c r="H21">
        <v>3.375</v>
      </c>
      <c r="I21" s="51">
        <v>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</v>
      </c>
      <c r="R21">
        <v>0</v>
      </c>
      <c r="S21">
        <v>0</v>
      </c>
      <c r="T21">
        <v>0.25</v>
      </c>
      <c r="U21">
        <v>0</v>
      </c>
      <c r="V21">
        <v>0</v>
      </c>
      <c r="W21">
        <v>5.25</v>
      </c>
      <c r="X21">
        <v>0</v>
      </c>
      <c r="Y21">
        <v>0.25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1.75</v>
      </c>
      <c r="BB21">
        <v>1.5</v>
      </c>
      <c r="BC21">
        <v>0</v>
      </c>
      <c r="BD21">
        <v>0</v>
      </c>
      <c r="BE21">
        <v>4.5</v>
      </c>
      <c r="BF21">
        <v>3.25</v>
      </c>
      <c r="BG21">
        <v>0.5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6.25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332.5</v>
      </c>
      <c r="CG21">
        <v>2.25</v>
      </c>
      <c r="CH21">
        <v>100.5</v>
      </c>
      <c r="CI21">
        <v>0.5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0.25</v>
      </c>
      <c r="CP21">
        <v>0</v>
      </c>
      <c r="CQ21">
        <v>0</v>
      </c>
      <c r="CR21">
        <v>0</v>
      </c>
      <c r="CS21">
        <v>0.5</v>
      </c>
      <c r="CT21">
        <v>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0.25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0.25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P21" s="51">
        <v>35</v>
      </c>
      <c r="EQ21" t="s">
        <v>16</v>
      </c>
      <c r="ER21" t="s">
        <v>439</v>
      </c>
      <c r="ES21">
        <v>71</v>
      </c>
      <c r="ET21">
        <v>59.125</v>
      </c>
      <c r="EU21">
        <v>25.875</v>
      </c>
      <c r="EV21">
        <v>3.375</v>
      </c>
      <c r="EW21" s="51">
        <v>35</v>
      </c>
      <c r="EX21">
        <f t="shared" si="4"/>
        <v>0</v>
      </c>
      <c r="EY21">
        <f t="shared" si="5"/>
        <v>0</v>
      </c>
      <c r="EZ21">
        <f t="shared" si="6"/>
        <v>0</v>
      </c>
      <c r="FA21">
        <f t="shared" si="6"/>
        <v>0</v>
      </c>
      <c r="FB21">
        <f t="shared" si="6"/>
        <v>0.25</v>
      </c>
      <c r="FC21">
        <f t="shared" si="6"/>
        <v>0.25</v>
      </c>
      <c r="FD21">
        <f t="shared" si="7"/>
        <v>0</v>
      </c>
      <c r="FE21">
        <f t="shared" si="7"/>
        <v>5.5</v>
      </c>
      <c r="FF21">
        <f t="shared" si="8"/>
        <v>0</v>
      </c>
      <c r="FG21">
        <f t="shared" si="9"/>
        <v>0</v>
      </c>
      <c r="FH21">
        <f t="shared" si="10"/>
        <v>0</v>
      </c>
      <c r="FI21">
        <f t="shared" si="11"/>
        <v>0</v>
      </c>
      <c r="FJ21">
        <f t="shared" si="11"/>
        <v>0</v>
      </c>
      <c r="FK21">
        <f t="shared" si="11"/>
        <v>0</v>
      </c>
      <c r="FL21">
        <f t="shared" si="11"/>
        <v>0</v>
      </c>
      <c r="FM21">
        <f t="shared" si="12"/>
        <v>0</v>
      </c>
      <c r="FN21">
        <f t="shared" si="12"/>
        <v>0</v>
      </c>
      <c r="FO21">
        <f t="shared" si="12"/>
        <v>0</v>
      </c>
      <c r="FP21">
        <f t="shared" si="13"/>
        <v>0</v>
      </c>
      <c r="FQ21">
        <f t="shared" si="13"/>
        <v>0</v>
      </c>
      <c r="FR21">
        <f t="shared" si="13"/>
        <v>0</v>
      </c>
      <c r="FS21">
        <f t="shared" si="14"/>
        <v>0</v>
      </c>
      <c r="FT21">
        <f t="shared" si="14"/>
        <v>6.25</v>
      </c>
      <c r="FU21">
        <f t="shared" si="14"/>
        <v>4.75</v>
      </c>
      <c r="FV21">
        <f t="shared" si="14"/>
        <v>0.5</v>
      </c>
      <c r="FW21">
        <f t="shared" si="15"/>
        <v>0</v>
      </c>
      <c r="FX21">
        <f t="shared" si="15"/>
        <v>0</v>
      </c>
      <c r="FY21">
        <f t="shared" si="15"/>
        <v>0</v>
      </c>
      <c r="FZ21">
        <f t="shared" si="16"/>
        <v>0</v>
      </c>
      <c r="GA21">
        <f t="shared" si="16"/>
        <v>0</v>
      </c>
      <c r="GB21">
        <f t="shared" si="17"/>
        <v>0</v>
      </c>
      <c r="GC21">
        <f t="shared" si="18"/>
        <v>0</v>
      </c>
      <c r="GD21">
        <f t="shared" si="18"/>
        <v>6.25</v>
      </c>
      <c r="GE21">
        <f t="shared" si="18"/>
        <v>0</v>
      </c>
      <c r="GF21">
        <f t="shared" si="19"/>
        <v>0</v>
      </c>
      <c r="GG21">
        <f t="shared" si="19"/>
        <v>0</v>
      </c>
      <c r="GH21">
        <f t="shared" si="19"/>
        <v>0</v>
      </c>
      <c r="GI21">
        <f t="shared" si="20"/>
        <v>433</v>
      </c>
      <c r="GJ21">
        <f t="shared" si="20"/>
        <v>2.75</v>
      </c>
      <c r="GK21">
        <f t="shared" si="21"/>
        <v>0</v>
      </c>
      <c r="GL21">
        <f t="shared" si="22"/>
        <v>0</v>
      </c>
      <c r="GM21">
        <f t="shared" si="23"/>
        <v>0.25</v>
      </c>
      <c r="GN21">
        <f t="shared" si="23"/>
        <v>0</v>
      </c>
      <c r="GO21">
        <f t="shared" si="24"/>
        <v>0</v>
      </c>
      <c r="GP21">
        <f t="shared" si="25"/>
        <v>2.5</v>
      </c>
      <c r="GQ21">
        <f t="shared" si="26"/>
        <v>0</v>
      </c>
      <c r="GR21">
        <f t="shared" si="27"/>
        <v>0</v>
      </c>
      <c r="GS21">
        <f t="shared" si="28"/>
        <v>0</v>
      </c>
      <c r="GT21">
        <f t="shared" si="28"/>
        <v>0</v>
      </c>
      <c r="GU21">
        <f t="shared" si="28"/>
        <v>0</v>
      </c>
      <c r="GV21">
        <f t="shared" si="29"/>
        <v>0.25</v>
      </c>
      <c r="GW21">
        <f t="shared" si="29"/>
        <v>0</v>
      </c>
      <c r="GX21">
        <f t="shared" si="29"/>
        <v>0</v>
      </c>
      <c r="GY21">
        <f t="shared" si="30"/>
        <v>0</v>
      </c>
      <c r="GZ21">
        <f t="shared" si="31"/>
        <v>0</v>
      </c>
      <c r="HA21">
        <f t="shared" si="32"/>
        <v>0</v>
      </c>
      <c r="HB21">
        <f t="shared" si="33"/>
        <v>0</v>
      </c>
      <c r="HC21">
        <f t="shared" si="34"/>
        <v>0.25</v>
      </c>
      <c r="HD21">
        <f t="shared" si="35"/>
        <v>0</v>
      </c>
      <c r="HE21">
        <f t="shared" si="36"/>
        <v>0</v>
      </c>
      <c r="HF21">
        <f t="shared" si="37"/>
        <v>0</v>
      </c>
      <c r="HG21">
        <f t="shared" si="38"/>
        <v>0</v>
      </c>
      <c r="HH21">
        <f t="shared" si="39"/>
        <v>0</v>
      </c>
      <c r="HI21">
        <f t="shared" si="40"/>
        <v>0</v>
      </c>
      <c r="HJ21">
        <f t="shared" si="41"/>
        <v>0</v>
      </c>
      <c r="HK21">
        <f t="shared" si="42"/>
        <v>0</v>
      </c>
      <c r="HL21">
        <f t="shared" si="43"/>
        <v>0</v>
      </c>
      <c r="HM21">
        <f t="shared" si="44"/>
        <v>0</v>
      </c>
      <c r="HO21" s="51">
        <v>35</v>
      </c>
      <c r="HP21" t="s">
        <v>16</v>
      </c>
      <c r="HQ21" t="s">
        <v>439</v>
      </c>
      <c r="HR21">
        <v>71</v>
      </c>
      <c r="HS21">
        <v>59.125</v>
      </c>
      <c r="HT21">
        <v>25.875</v>
      </c>
      <c r="HU21">
        <v>3.375</v>
      </c>
      <c r="HV21" s="51">
        <v>35</v>
      </c>
      <c r="HW21">
        <f t="shared" si="45"/>
        <v>0</v>
      </c>
      <c r="HX21">
        <f t="shared" si="45"/>
        <v>0</v>
      </c>
      <c r="HY21">
        <f t="shared" si="46"/>
        <v>0.5</v>
      </c>
      <c r="HZ21">
        <f t="shared" si="47"/>
        <v>5.5</v>
      </c>
      <c r="IA21">
        <f t="shared" si="48"/>
        <v>0</v>
      </c>
      <c r="IB21">
        <f t="shared" si="48"/>
        <v>0</v>
      </c>
      <c r="IC21">
        <f t="shared" si="48"/>
        <v>0</v>
      </c>
      <c r="ID21">
        <f t="shared" si="49"/>
        <v>0</v>
      </c>
      <c r="IE21">
        <f t="shared" si="50"/>
        <v>0</v>
      </c>
      <c r="IF21">
        <f t="shared" si="51"/>
        <v>0</v>
      </c>
      <c r="IG21">
        <f t="shared" si="52"/>
        <v>11</v>
      </c>
      <c r="IH21">
        <f t="shared" si="53"/>
        <v>0.5</v>
      </c>
      <c r="II21">
        <f t="shared" si="54"/>
        <v>0</v>
      </c>
      <c r="IJ21">
        <f t="shared" si="55"/>
        <v>0</v>
      </c>
      <c r="IK21">
        <f t="shared" si="56"/>
        <v>0</v>
      </c>
      <c r="IL21">
        <f t="shared" si="0"/>
        <v>0</v>
      </c>
      <c r="IM21">
        <f t="shared" si="57"/>
        <v>6.25</v>
      </c>
      <c r="IN21">
        <f t="shared" si="58"/>
        <v>0</v>
      </c>
      <c r="IO21">
        <f t="shared" si="1"/>
        <v>433</v>
      </c>
      <c r="IP21">
        <f t="shared" si="1"/>
        <v>2.75</v>
      </c>
      <c r="IQ21">
        <f t="shared" si="1"/>
        <v>0</v>
      </c>
      <c r="IR21">
        <f t="shared" si="1"/>
        <v>0</v>
      </c>
      <c r="IS21">
        <f t="shared" si="1"/>
        <v>0.25</v>
      </c>
      <c r="IT21">
        <f t="shared" si="1"/>
        <v>0</v>
      </c>
      <c r="IU21">
        <f t="shared" si="1"/>
        <v>0</v>
      </c>
      <c r="IV21">
        <f t="shared" si="1"/>
        <v>2.5</v>
      </c>
      <c r="IW21">
        <f t="shared" si="1"/>
        <v>0</v>
      </c>
      <c r="IX21">
        <f t="shared" si="1"/>
        <v>0</v>
      </c>
      <c r="IY21">
        <f t="shared" si="59"/>
        <v>0</v>
      </c>
      <c r="IZ21">
        <f t="shared" si="2"/>
        <v>0.25</v>
      </c>
      <c r="JA21">
        <f t="shared" si="3"/>
        <v>0</v>
      </c>
      <c r="JB21">
        <f t="shared" si="3"/>
        <v>0</v>
      </c>
      <c r="JC21">
        <f t="shared" si="3"/>
        <v>0</v>
      </c>
      <c r="JD21">
        <f t="shared" si="3"/>
        <v>0</v>
      </c>
      <c r="JE21">
        <f t="shared" si="3"/>
        <v>0.25</v>
      </c>
      <c r="JF21">
        <f t="shared" si="3"/>
        <v>0</v>
      </c>
      <c r="JG21">
        <f t="shared" si="3"/>
        <v>0</v>
      </c>
      <c r="JH21">
        <f t="shared" si="3"/>
        <v>0</v>
      </c>
      <c r="JI21">
        <f t="shared" si="3"/>
        <v>0</v>
      </c>
      <c r="JJ21">
        <f t="shared" si="3"/>
        <v>0</v>
      </c>
      <c r="JK21">
        <f t="shared" si="3"/>
        <v>0</v>
      </c>
      <c r="JL21">
        <f t="shared" si="3"/>
        <v>0</v>
      </c>
      <c r="JM21">
        <f t="shared" si="3"/>
        <v>0</v>
      </c>
      <c r="JN21">
        <f t="shared" si="3"/>
        <v>0</v>
      </c>
      <c r="JO21">
        <f t="shared" si="3"/>
        <v>0</v>
      </c>
    </row>
    <row r="22" spans="2:275" x14ac:dyDescent="0.25">
      <c r="B22" s="51">
        <v>36</v>
      </c>
      <c r="C22" t="s">
        <v>440</v>
      </c>
      <c r="D22" t="s">
        <v>439</v>
      </c>
      <c r="E22">
        <v>75.875</v>
      </c>
      <c r="F22">
        <v>93.125</v>
      </c>
      <c r="G22">
        <v>85.625</v>
      </c>
      <c r="H22">
        <v>3.125</v>
      </c>
      <c r="I22" s="51">
        <v>36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0.75</v>
      </c>
      <c r="R22">
        <v>0</v>
      </c>
      <c r="S22">
        <v>0</v>
      </c>
      <c r="T22">
        <v>0.25</v>
      </c>
      <c r="U22">
        <v>0.25</v>
      </c>
      <c r="V22">
        <v>0</v>
      </c>
      <c r="W22">
        <v>14.25</v>
      </c>
      <c r="X22">
        <v>0</v>
      </c>
      <c r="Y22">
        <v>0.25</v>
      </c>
      <c r="Z22">
        <v>0</v>
      </c>
      <c r="AA22">
        <v>0.25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0.25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0.5</v>
      </c>
      <c r="AY22">
        <v>0</v>
      </c>
      <c r="AZ22">
        <v>0</v>
      </c>
      <c r="BA22">
        <v>0.75</v>
      </c>
      <c r="BB22">
        <v>2</v>
      </c>
      <c r="BC22">
        <v>0.5</v>
      </c>
      <c r="BD22">
        <v>0</v>
      </c>
      <c r="BE22">
        <v>3</v>
      </c>
      <c r="BF22">
        <v>3.5</v>
      </c>
      <c r="BG22">
        <v>0.75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323.75</v>
      </c>
      <c r="CG22">
        <v>11</v>
      </c>
      <c r="CH22">
        <v>9.5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0.5</v>
      </c>
      <c r="CT22">
        <v>3.5</v>
      </c>
      <c r="CU22">
        <v>0.75</v>
      </c>
      <c r="CV22">
        <v>0</v>
      </c>
      <c r="CW22">
        <v>0</v>
      </c>
      <c r="CX22">
        <v>0</v>
      </c>
      <c r="CY22">
        <v>0</v>
      </c>
      <c r="CZ22">
        <v>1.75</v>
      </c>
      <c r="DA22">
        <v>0</v>
      </c>
      <c r="DB22">
        <v>0</v>
      </c>
      <c r="DC22">
        <v>0.25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3.25</v>
      </c>
      <c r="EP22" s="51">
        <v>36</v>
      </c>
      <c r="EQ22" t="s">
        <v>440</v>
      </c>
      <c r="ER22" t="s">
        <v>439</v>
      </c>
      <c r="ES22">
        <v>75.875</v>
      </c>
      <c r="ET22">
        <v>93.125</v>
      </c>
      <c r="EU22">
        <v>85.625</v>
      </c>
      <c r="EV22">
        <v>3.125</v>
      </c>
      <c r="EW22" s="51">
        <v>36</v>
      </c>
      <c r="EX22">
        <f t="shared" si="4"/>
        <v>0</v>
      </c>
      <c r="EY22">
        <f t="shared" si="5"/>
        <v>0</v>
      </c>
      <c r="EZ22">
        <f t="shared" si="6"/>
        <v>0</v>
      </c>
      <c r="FA22">
        <f t="shared" si="6"/>
        <v>0</v>
      </c>
      <c r="FB22">
        <f t="shared" si="6"/>
        <v>0.25</v>
      </c>
      <c r="FC22">
        <f t="shared" si="6"/>
        <v>1</v>
      </c>
      <c r="FD22">
        <f t="shared" si="7"/>
        <v>0</v>
      </c>
      <c r="FE22">
        <f t="shared" si="7"/>
        <v>14.5</v>
      </c>
      <c r="FF22">
        <f t="shared" si="8"/>
        <v>0.25</v>
      </c>
      <c r="FG22">
        <f t="shared" si="9"/>
        <v>0</v>
      </c>
      <c r="FH22">
        <f t="shared" si="10"/>
        <v>0</v>
      </c>
      <c r="FI22">
        <f t="shared" si="11"/>
        <v>0</v>
      </c>
      <c r="FJ22">
        <f t="shared" si="11"/>
        <v>0</v>
      </c>
      <c r="FK22">
        <f t="shared" si="11"/>
        <v>0</v>
      </c>
      <c r="FL22">
        <f t="shared" si="11"/>
        <v>0</v>
      </c>
      <c r="FM22">
        <f t="shared" si="12"/>
        <v>0.25</v>
      </c>
      <c r="FN22">
        <f t="shared" si="12"/>
        <v>0</v>
      </c>
      <c r="FO22">
        <f t="shared" si="12"/>
        <v>0</v>
      </c>
      <c r="FP22">
        <f t="shared" si="13"/>
        <v>0</v>
      </c>
      <c r="FQ22">
        <f t="shared" si="13"/>
        <v>0.5</v>
      </c>
      <c r="FR22">
        <f t="shared" si="13"/>
        <v>0</v>
      </c>
      <c r="FS22">
        <f t="shared" si="14"/>
        <v>0</v>
      </c>
      <c r="FT22">
        <f t="shared" si="14"/>
        <v>3.75</v>
      </c>
      <c r="FU22">
        <f t="shared" si="14"/>
        <v>5.5</v>
      </c>
      <c r="FV22">
        <f t="shared" si="14"/>
        <v>1.25</v>
      </c>
      <c r="FW22">
        <f t="shared" si="15"/>
        <v>0</v>
      </c>
      <c r="FX22">
        <f t="shared" si="15"/>
        <v>0</v>
      </c>
      <c r="FY22">
        <f t="shared" si="15"/>
        <v>0</v>
      </c>
      <c r="FZ22">
        <f t="shared" si="16"/>
        <v>0</v>
      </c>
      <c r="GA22">
        <f t="shared" si="16"/>
        <v>0</v>
      </c>
      <c r="GB22">
        <f t="shared" si="17"/>
        <v>8</v>
      </c>
      <c r="GC22">
        <f t="shared" si="18"/>
        <v>0</v>
      </c>
      <c r="GD22">
        <f t="shared" si="18"/>
        <v>0</v>
      </c>
      <c r="GE22">
        <f t="shared" si="18"/>
        <v>0</v>
      </c>
      <c r="GF22">
        <f t="shared" si="19"/>
        <v>0</v>
      </c>
      <c r="GG22">
        <f t="shared" si="19"/>
        <v>0</v>
      </c>
      <c r="GH22">
        <f t="shared" si="19"/>
        <v>0</v>
      </c>
      <c r="GI22">
        <f t="shared" si="20"/>
        <v>333.25</v>
      </c>
      <c r="GJ22">
        <f t="shared" si="20"/>
        <v>11</v>
      </c>
      <c r="GK22">
        <f t="shared" si="21"/>
        <v>0</v>
      </c>
      <c r="GL22">
        <f t="shared" si="22"/>
        <v>0</v>
      </c>
      <c r="GM22">
        <f t="shared" si="23"/>
        <v>0</v>
      </c>
      <c r="GN22">
        <f t="shared" si="23"/>
        <v>0</v>
      </c>
      <c r="GO22">
        <f t="shared" si="24"/>
        <v>0</v>
      </c>
      <c r="GP22">
        <f t="shared" si="25"/>
        <v>4</v>
      </c>
      <c r="GQ22">
        <f t="shared" si="26"/>
        <v>0.75</v>
      </c>
      <c r="GR22">
        <f t="shared" si="27"/>
        <v>0</v>
      </c>
      <c r="GS22">
        <f t="shared" si="28"/>
        <v>0</v>
      </c>
      <c r="GT22">
        <f t="shared" si="28"/>
        <v>2</v>
      </c>
      <c r="GU22">
        <f t="shared" si="28"/>
        <v>0</v>
      </c>
      <c r="GV22">
        <f t="shared" si="29"/>
        <v>0</v>
      </c>
      <c r="GW22">
        <f t="shared" si="29"/>
        <v>0</v>
      </c>
      <c r="GX22">
        <f t="shared" si="29"/>
        <v>0</v>
      </c>
      <c r="GY22">
        <f t="shared" si="30"/>
        <v>0</v>
      </c>
      <c r="GZ22">
        <f t="shared" si="31"/>
        <v>0</v>
      </c>
      <c r="HA22">
        <f t="shared" si="32"/>
        <v>0</v>
      </c>
      <c r="HB22">
        <f t="shared" si="33"/>
        <v>0</v>
      </c>
      <c r="HC22">
        <f t="shared" si="34"/>
        <v>0</v>
      </c>
      <c r="HD22">
        <f t="shared" si="35"/>
        <v>0</v>
      </c>
      <c r="HE22">
        <f t="shared" si="36"/>
        <v>0</v>
      </c>
      <c r="HF22">
        <f t="shared" si="37"/>
        <v>0</v>
      </c>
      <c r="HG22">
        <f t="shared" si="38"/>
        <v>0</v>
      </c>
      <c r="HH22">
        <f t="shared" si="39"/>
        <v>0</v>
      </c>
      <c r="HI22">
        <f t="shared" si="40"/>
        <v>0</v>
      </c>
      <c r="HJ22">
        <f t="shared" si="41"/>
        <v>0</v>
      </c>
      <c r="HK22">
        <f t="shared" si="42"/>
        <v>0</v>
      </c>
      <c r="HL22">
        <f t="shared" si="43"/>
        <v>0</v>
      </c>
      <c r="HM22">
        <f t="shared" si="44"/>
        <v>3.25</v>
      </c>
      <c r="HO22" s="51">
        <v>36</v>
      </c>
      <c r="HP22" t="s">
        <v>440</v>
      </c>
      <c r="HQ22" t="s">
        <v>439</v>
      </c>
      <c r="HR22">
        <v>75.875</v>
      </c>
      <c r="HS22">
        <v>93.125</v>
      </c>
      <c r="HT22">
        <v>85.625</v>
      </c>
      <c r="HU22">
        <v>3.125</v>
      </c>
      <c r="HV22" s="51">
        <v>36</v>
      </c>
      <c r="HW22">
        <f t="shared" si="45"/>
        <v>0</v>
      </c>
      <c r="HX22">
        <f t="shared" si="45"/>
        <v>0</v>
      </c>
      <c r="HY22">
        <f t="shared" si="46"/>
        <v>1.25</v>
      </c>
      <c r="HZ22">
        <f t="shared" si="47"/>
        <v>14.5</v>
      </c>
      <c r="IA22">
        <f t="shared" si="48"/>
        <v>0.25</v>
      </c>
      <c r="IB22">
        <f t="shared" si="48"/>
        <v>0</v>
      </c>
      <c r="IC22">
        <f t="shared" si="48"/>
        <v>0</v>
      </c>
      <c r="ID22">
        <f t="shared" si="49"/>
        <v>0</v>
      </c>
      <c r="IE22">
        <f t="shared" si="50"/>
        <v>0.25</v>
      </c>
      <c r="IF22">
        <f t="shared" si="51"/>
        <v>0.5</v>
      </c>
      <c r="IG22">
        <f t="shared" si="52"/>
        <v>9.25</v>
      </c>
      <c r="IH22">
        <f t="shared" si="53"/>
        <v>1.25</v>
      </c>
      <c r="II22">
        <f t="shared" si="54"/>
        <v>0</v>
      </c>
      <c r="IJ22">
        <f t="shared" si="55"/>
        <v>0</v>
      </c>
      <c r="IK22">
        <f t="shared" si="56"/>
        <v>0</v>
      </c>
      <c r="IL22">
        <f t="shared" si="0"/>
        <v>8</v>
      </c>
      <c r="IM22">
        <f t="shared" si="57"/>
        <v>0</v>
      </c>
      <c r="IN22">
        <f t="shared" si="58"/>
        <v>0</v>
      </c>
      <c r="IO22">
        <f t="shared" ref="IO22:IX49" si="60">GI22</f>
        <v>333.25</v>
      </c>
      <c r="IP22">
        <f t="shared" si="60"/>
        <v>11</v>
      </c>
      <c r="IQ22">
        <f t="shared" si="60"/>
        <v>0</v>
      </c>
      <c r="IR22">
        <f t="shared" si="60"/>
        <v>0</v>
      </c>
      <c r="IS22">
        <f t="shared" si="60"/>
        <v>0</v>
      </c>
      <c r="IT22">
        <f t="shared" si="60"/>
        <v>0</v>
      </c>
      <c r="IU22">
        <f t="shared" si="60"/>
        <v>0</v>
      </c>
      <c r="IV22">
        <f t="shared" si="60"/>
        <v>4</v>
      </c>
      <c r="IW22">
        <f t="shared" si="60"/>
        <v>0.75</v>
      </c>
      <c r="IX22">
        <f t="shared" si="60"/>
        <v>0</v>
      </c>
      <c r="IY22">
        <f t="shared" si="59"/>
        <v>2</v>
      </c>
      <c r="IZ22">
        <f t="shared" si="2"/>
        <v>0</v>
      </c>
      <c r="JA22">
        <f t="shared" ref="JA22:JO39" si="61">GY22</f>
        <v>0</v>
      </c>
      <c r="JB22">
        <f t="shared" si="61"/>
        <v>0</v>
      </c>
      <c r="JC22">
        <f t="shared" si="61"/>
        <v>0</v>
      </c>
      <c r="JD22">
        <f t="shared" si="61"/>
        <v>0</v>
      </c>
      <c r="JE22">
        <f t="shared" si="61"/>
        <v>0</v>
      </c>
      <c r="JF22">
        <f t="shared" si="61"/>
        <v>0</v>
      </c>
      <c r="JG22">
        <f t="shared" si="61"/>
        <v>0</v>
      </c>
      <c r="JH22">
        <f t="shared" si="61"/>
        <v>0</v>
      </c>
      <c r="JI22">
        <f t="shared" si="61"/>
        <v>0</v>
      </c>
      <c r="JJ22">
        <f t="shared" si="61"/>
        <v>0</v>
      </c>
      <c r="JK22">
        <f t="shared" si="61"/>
        <v>0</v>
      </c>
      <c r="JL22">
        <f t="shared" si="61"/>
        <v>0</v>
      </c>
      <c r="JM22">
        <f t="shared" si="61"/>
        <v>0</v>
      </c>
      <c r="JN22">
        <f t="shared" si="61"/>
        <v>0</v>
      </c>
      <c r="JO22">
        <f t="shared" si="61"/>
        <v>3.25</v>
      </c>
    </row>
    <row r="23" spans="2:275" x14ac:dyDescent="0.25">
      <c r="B23" s="51">
        <v>38</v>
      </c>
      <c r="C23" t="s">
        <v>16</v>
      </c>
      <c r="D23" t="s">
        <v>439</v>
      </c>
      <c r="E23">
        <v>95</v>
      </c>
      <c r="F23">
        <v>130.875</v>
      </c>
      <c r="G23">
        <v>205.125</v>
      </c>
      <c r="H23">
        <v>2.625</v>
      </c>
      <c r="I23" s="51">
        <v>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0.5</v>
      </c>
      <c r="U23">
        <v>2.75</v>
      </c>
      <c r="V23">
        <v>0</v>
      </c>
      <c r="W23">
        <v>22.75</v>
      </c>
      <c r="X23">
        <v>0</v>
      </c>
      <c r="Y23">
        <v>0.25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0.5</v>
      </c>
      <c r="BC23">
        <v>0</v>
      </c>
      <c r="BD23">
        <v>0</v>
      </c>
      <c r="BE23">
        <v>0.5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1.5</v>
      </c>
      <c r="BS23">
        <v>5.5</v>
      </c>
      <c r="BT23">
        <v>0</v>
      </c>
      <c r="BU23">
        <v>0</v>
      </c>
      <c r="BV23">
        <v>0</v>
      </c>
      <c r="BW23">
        <v>4.5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5745</v>
      </c>
      <c r="CG23">
        <v>35</v>
      </c>
      <c r="CH23">
        <v>165</v>
      </c>
      <c r="CI23">
        <v>3.5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1.5</v>
      </c>
      <c r="CT23">
        <v>2.75</v>
      </c>
      <c r="CU23">
        <v>0</v>
      </c>
      <c r="CV23">
        <v>0.5</v>
      </c>
      <c r="CW23">
        <v>0</v>
      </c>
      <c r="CX23">
        <v>0</v>
      </c>
      <c r="CY23">
        <v>0</v>
      </c>
      <c r="CZ23">
        <v>0.5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0.5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0.75</v>
      </c>
      <c r="EP23" s="51">
        <v>38</v>
      </c>
      <c r="EQ23" t="s">
        <v>16</v>
      </c>
      <c r="ER23" t="s">
        <v>439</v>
      </c>
      <c r="ES23">
        <v>95</v>
      </c>
      <c r="ET23">
        <v>130.875</v>
      </c>
      <c r="EU23">
        <v>205.125</v>
      </c>
      <c r="EV23">
        <v>2.625</v>
      </c>
      <c r="EW23" s="51">
        <v>38</v>
      </c>
      <c r="EX23">
        <f t="shared" si="4"/>
        <v>0</v>
      </c>
      <c r="EY23">
        <f t="shared" si="5"/>
        <v>0</v>
      </c>
      <c r="EZ23">
        <f t="shared" si="6"/>
        <v>0</v>
      </c>
      <c r="FA23">
        <f t="shared" si="6"/>
        <v>0</v>
      </c>
      <c r="FB23">
        <f t="shared" si="6"/>
        <v>0.5</v>
      </c>
      <c r="FC23">
        <f t="shared" si="6"/>
        <v>2.75</v>
      </c>
      <c r="FD23">
        <f t="shared" si="7"/>
        <v>0</v>
      </c>
      <c r="FE23">
        <f t="shared" si="7"/>
        <v>23</v>
      </c>
      <c r="FF23">
        <f t="shared" si="8"/>
        <v>0</v>
      </c>
      <c r="FG23">
        <f t="shared" si="9"/>
        <v>0</v>
      </c>
      <c r="FH23">
        <f t="shared" si="10"/>
        <v>0</v>
      </c>
      <c r="FI23">
        <f t="shared" si="11"/>
        <v>0</v>
      </c>
      <c r="FJ23">
        <f t="shared" si="11"/>
        <v>0</v>
      </c>
      <c r="FK23">
        <f t="shared" si="11"/>
        <v>0</v>
      </c>
      <c r="FL23">
        <f t="shared" si="11"/>
        <v>0</v>
      </c>
      <c r="FM23">
        <f t="shared" si="12"/>
        <v>0</v>
      </c>
      <c r="FN23">
        <f t="shared" si="12"/>
        <v>0</v>
      </c>
      <c r="FO23">
        <f t="shared" si="12"/>
        <v>0</v>
      </c>
      <c r="FP23">
        <f t="shared" si="13"/>
        <v>0</v>
      </c>
      <c r="FQ23">
        <f t="shared" si="13"/>
        <v>0</v>
      </c>
      <c r="FR23">
        <f t="shared" si="13"/>
        <v>0</v>
      </c>
      <c r="FS23">
        <f t="shared" si="14"/>
        <v>0</v>
      </c>
      <c r="FT23">
        <f t="shared" si="14"/>
        <v>0.5</v>
      </c>
      <c r="FU23">
        <f t="shared" si="14"/>
        <v>1.5</v>
      </c>
      <c r="FV23">
        <f t="shared" si="14"/>
        <v>0</v>
      </c>
      <c r="FW23">
        <f t="shared" si="15"/>
        <v>0</v>
      </c>
      <c r="FX23">
        <f t="shared" si="15"/>
        <v>0</v>
      </c>
      <c r="FY23">
        <f t="shared" si="15"/>
        <v>0</v>
      </c>
      <c r="FZ23">
        <f t="shared" si="16"/>
        <v>0</v>
      </c>
      <c r="GA23">
        <f t="shared" si="16"/>
        <v>0</v>
      </c>
      <c r="GB23">
        <f t="shared" si="17"/>
        <v>7</v>
      </c>
      <c r="GC23">
        <f t="shared" si="18"/>
        <v>4.5</v>
      </c>
      <c r="GD23">
        <f t="shared" si="18"/>
        <v>0</v>
      </c>
      <c r="GE23">
        <f t="shared" si="18"/>
        <v>0</v>
      </c>
      <c r="GF23">
        <f t="shared" si="19"/>
        <v>0</v>
      </c>
      <c r="GG23">
        <f t="shared" si="19"/>
        <v>0</v>
      </c>
      <c r="GH23">
        <f t="shared" si="19"/>
        <v>0</v>
      </c>
      <c r="GI23">
        <f t="shared" si="20"/>
        <v>5910</v>
      </c>
      <c r="GJ23">
        <f t="shared" si="20"/>
        <v>38.5</v>
      </c>
      <c r="GK23">
        <f t="shared" si="21"/>
        <v>0</v>
      </c>
      <c r="GL23">
        <f t="shared" si="22"/>
        <v>0</v>
      </c>
      <c r="GM23">
        <f t="shared" si="23"/>
        <v>0</v>
      </c>
      <c r="GN23">
        <f t="shared" si="23"/>
        <v>0</v>
      </c>
      <c r="GO23">
        <f t="shared" si="24"/>
        <v>0</v>
      </c>
      <c r="GP23">
        <f t="shared" si="25"/>
        <v>4.25</v>
      </c>
      <c r="GQ23">
        <f t="shared" si="26"/>
        <v>0.5</v>
      </c>
      <c r="GR23">
        <f t="shared" si="27"/>
        <v>0</v>
      </c>
      <c r="GS23">
        <f t="shared" si="28"/>
        <v>0</v>
      </c>
      <c r="GT23">
        <f t="shared" si="28"/>
        <v>0.5</v>
      </c>
      <c r="GU23">
        <f t="shared" si="28"/>
        <v>0</v>
      </c>
      <c r="GV23">
        <f t="shared" si="29"/>
        <v>4</v>
      </c>
      <c r="GW23">
        <f t="shared" si="29"/>
        <v>0</v>
      </c>
      <c r="GX23">
        <f t="shared" si="29"/>
        <v>0</v>
      </c>
      <c r="GY23">
        <f t="shared" si="30"/>
        <v>0</v>
      </c>
      <c r="GZ23">
        <f t="shared" si="31"/>
        <v>0</v>
      </c>
      <c r="HA23">
        <f t="shared" si="32"/>
        <v>0</v>
      </c>
      <c r="HB23">
        <f t="shared" si="33"/>
        <v>0</v>
      </c>
      <c r="HC23">
        <f t="shared" si="34"/>
        <v>0</v>
      </c>
      <c r="HD23">
        <f t="shared" si="35"/>
        <v>0.5</v>
      </c>
      <c r="HE23">
        <f t="shared" si="36"/>
        <v>0</v>
      </c>
      <c r="HF23">
        <f t="shared" si="37"/>
        <v>0</v>
      </c>
      <c r="HG23">
        <f t="shared" si="38"/>
        <v>0</v>
      </c>
      <c r="HH23">
        <f t="shared" si="39"/>
        <v>0</v>
      </c>
      <c r="HI23">
        <f t="shared" si="40"/>
        <v>0</v>
      </c>
      <c r="HJ23">
        <f t="shared" si="41"/>
        <v>0</v>
      </c>
      <c r="HK23">
        <f t="shared" si="42"/>
        <v>0</v>
      </c>
      <c r="HL23">
        <f t="shared" si="43"/>
        <v>0</v>
      </c>
      <c r="HM23">
        <f t="shared" si="44"/>
        <v>0.75</v>
      </c>
      <c r="HO23" s="51">
        <v>38</v>
      </c>
      <c r="HP23" t="s">
        <v>16</v>
      </c>
      <c r="HQ23" t="s">
        <v>439</v>
      </c>
      <c r="HR23">
        <v>95</v>
      </c>
      <c r="HS23">
        <v>130.875</v>
      </c>
      <c r="HT23">
        <v>205.125</v>
      </c>
      <c r="HU23">
        <v>2.625</v>
      </c>
      <c r="HV23" s="51">
        <v>38</v>
      </c>
      <c r="HW23">
        <f t="shared" si="45"/>
        <v>0</v>
      </c>
      <c r="HX23">
        <f t="shared" si="45"/>
        <v>0</v>
      </c>
      <c r="HY23">
        <f t="shared" si="46"/>
        <v>3.25</v>
      </c>
      <c r="HZ23">
        <f t="shared" si="47"/>
        <v>23</v>
      </c>
      <c r="IA23">
        <f t="shared" si="48"/>
        <v>0</v>
      </c>
      <c r="IB23">
        <f t="shared" si="48"/>
        <v>0</v>
      </c>
      <c r="IC23">
        <f t="shared" si="48"/>
        <v>0</v>
      </c>
      <c r="ID23">
        <f t="shared" si="49"/>
        <v>0</v>
      </c>
      <c r="IE23">
        <f t="shared" si="50"/>
        <v>0</v>
      </c>
      <c r="IF23">
        <f t="shared" si="51"/>
        <v>0</v>
      </c>
      <c r="IG23">
        <f t="shared" si="52"/>
        <v>2</v>
      </c>
      <c r="IH23">
        <f t="shared" si="53"/>
        <v>0</v>
      </c>
      <c r="II23">
        <f t="shared" si="54"/>
        <v>0</v>
      </c>
      <c r="IJ23">
        <f t="shared" si="55"/>
        <v>0</v>
      </c>
      <c r="IK23">
        <f t="shared" si="56"/>
        <v>0</v>
      </c>
      <c r="IL23">
        <f t="shared" si="0"/>
        <v>7</v>
      </c>
      <c r="IM23">
        <f t="shared" si="57"/>
        <v>4.5</v>
      </c>
      <c r="IN23">
        <f t="shared" si="58"/>
        <v>0</v>
      </c>
      <c r="IO23">
        <f t="shared" si="60"/>
        <v>5910</v>
      </c>
      <c r="IP23">
        <f t="shared" si="60"/>
        <v>38.5</v>
      </c>
      <c r="IQ23">
        <f t="shared" si="60"/>
        <v>0</v>
      </c>
      <c r="IR23">
        <f t="shared" si="60"/>
        <v>0</v>
      </c>
      <c r="IS23">
        <f t="shared" si="60"/>
        <v>0</v>
      </c>
      <c r="IT23">
        <f t="shared" si="60"/>
        <v>0</v>
      </c>
      <c r="IU23">
        <f t="shared" si="60"/>
        <v>0</v>
      </c>
      <c r="IV23">
        <f t="shared" si="60"/>
        <v>4.25</v>
      </c>
      <c r="IW23">
        <f t="shared" si="60"/>
        <v>0.5</v>
      </c>
      <c r="IX23">
        <f t="shared" si="60"/>
        <v>0</v>
      </c>
      <c r="IY23">
        <f t="shared" si="59"/>
        <v>0.5</v>
      </c>
      <c r="IZ23">
        <f t="shared" si="2"/>
        <v>4</v>
      </c>
      <c r="JA23">
        <f t="shared" si="61"/>
        <v>0</v>
      </c>
      <c r="JB23">
        <f t="shared" si="61"/>
        <v>0</v>
      </c>
      <c r="JC23">
        <f t="shared" si="61"/>
        <v>0</v>
      </c>
      <c r="JD23">
        <f t="shared" si="61"/>
        <v>0</v>
      </c>
      <c r="JE23">
        <f t="shared" si="61"/>
        <v>0</v>
      </c>
      <c r="JF23">
        <f t="shared" si="61"/>
        <v>0.5</v>
      </c>
      <c r="JG23">
        <f t="shared" si="61"/>
        <v>0</v>
      </c>
      <c r="JH23">
        <f t="shared" si="61"/>
        <v>0</v>
      </c>
      <c r="JI23">
        <f t="shared" si="61"/>
        <v>0</v>
      </c>
      <c r="JJ23">
        <f t="shared" si="61"/>
        <v>0</v>
      </c>
      <c r="JK23">
        <f t="shared" si="61"/>
        <v>0</v>
      </c>
      <c r="JL23">
        <f t="shared" si="61"/>
        <v>0</v>
      </c>
      <c r="JM23">
        <f t="shared" si="61"/>
        <v>0</v>
      </c>
      <c r="JN23">
        <f t="shared" si="61"/>
        <v>0</v>
      </c>
      <c r="JO23">
        <f t="shared" si="61"/>
        <v>0.75</v>
      </c>
    </row>
    <row r="24" spans="2:275" x14ac:dyDescent="0.25">
      <c r="B24" s="51">
        <v>40</v>
      </c>
      <c r="C24" t="s">
        <v>440</v>
      </c>
      <c r="D24" t="s">
        <v>439</v>
      </c>
      <c r="E24">
        <v>67.875</v>
      </c>
      <c r="F24">
        <v>113.75</v>
      </c>
      <c r="G24">
        <v>90</v>
      </c>
      <c r="H24">
        <v>2.25</v>
      </c>
      <c r="I24" s="51">
        <v>40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1.75</v>
      </c>
      <c r="R24">
        <v>0</v>
      </c>
      <c r="S24">
        <v>0</v>
      </c>
      <c r="T24">
        <v>0</v>
      </c>
      <c r="U24">
        <v>1.25</v>
      </c>
      <c r="V24">
        <v>0</v>
      </c>
      <c r="W24">
        <v>16.75</v>
      </c>
      <c r="X24">
        <v>0</v>
      </c>
      <c r="Y24">
        <v>1.5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0.25</v>
      </c>
      <c r="BB24">
        <v>1.5</v>
      </c>
      <c r="BC24">
        <v>0.25</v>
      </c>
      <c r="BD24">
        <v>0</v>
      </c>
      <c r="BE24">
        <v>7.75</v>
      </c>
      <c r="BF24">
        <v>4.25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4.5</v>
      </c>
      <c r="BT24">
        <v>0</v>
      </c>
      <c r="BU24">
        <v>0</v>
      </c>
      <c r="BV24">
        <v>0</v>
      </c>
      <c r="BW24">
        <v>2.75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3267.5</v>
      </c>
      <c r="CG24">
        <v>118.5</v>
      </c>
      <c r="CH24">
        <v>649.75</v>
      </c>
      <c r="CI24">
        <v>15.75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0.25</v>
      </c>
      <c r="CP24">
        <v>0</v>
      </c>
      <c r="CQ24">
        <v>0</v>
      </c>
      <c r="CR24">
        <v>0</v>
      </c>
      <c r="CS24">
        <v>0.75</v>
      </c>
      <c r="CT24">
        <v>2</v>
      </c>
      <c r="CU24">
        <v>0.5</v>
      </c>
      <c r="CV24">
        <v>1.25</v>
      </c>
      <c r="CW24">
        <v>0</v>
      </c>
      <c r="CX24">
        <v>4.75</v>
      </c>
      <c r="CY24">
        <v>0</v>
      </c>
      <c r="CZ24">
        <v>1.25</v>
      </c>
      <c r="DA24">
        <v>0</v>
      </c>
      <c r="DB24">
        <v>0</v>
      </c>
      <c r="DC24">
        <v>2.25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1.25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1.25</v>
      </c>
      <c r="EP24" s="51">
        <v>40</v>
      </c>
      <c r="EQ24" t="s">
        <v>440</v>
      </c>
      <c r="ER24" t="s">
        <v>439</v>
      </c>
      <c r="ES24">
        <v>67.875</v>
      </c>
      <c r="ET24">
        <v>113.75</v>
      </c>
      <c r="EU24">
        <v>90</v>
      </c>
      <c r="EV24">
        <v>2.25</v>
      </c>
      <c r="EW24" s="51">
        <v>40</v>
      </c>
      <c r="EX24">
        <f t="shared" si="4"/>
        <v>0</v>
      </c>
      <c r="EY24">
        <f t="shared" si="5"/>
        <v>0</v>
      </c>
      <c r="EZ24">
        <f t="shared" si="6"/>
        <v>0</v>
      </c>
      <c r="FA24">
        <f t="shared" si="6"/>
        <v>0</v>
      </c>
      <c r="FB24">
        <f t="shared" si="6"/>
        <v>0</v>
      </c>
      <c r="FC24">
        <f t="shared" si="6"/>
        <v>3</v>
      </c>
      <c r="FD24">
        <f t="shared" si="7"/>
        <v>0</v>
      </c>
      <c r="FE24">
        <f t="shared" si="7"/>
        <v>18.25</v>
      </c>
      <c r="FF24">
        <f t="shared" si="8"/>
        <v>0</v>
      </c>
      <c r="FG24">
        <f t="shared" si="9"/>
        <v>0</v>
      </c>
      <c r="FH24">
        <f t="shared" si="10"/>
        <v>0</v>
      </c>
      <c r="FI24">
        <f t="shared" si="11"/>
        <v>3</v>
      </c>
      <c r="FJ24">
        <f t="shared" si="11"/>
        <v>0</v>
      </c>
      <c r="FK24">
        <f t="shared" si="11"/>
        <v>0</v>
      </c>
      <c r="FL24">
        <f t="shared" si="11"/>
        <v>0</v>
      </c>
      <c r="FM24">
        <f t="shared" si="12"/>
        <v>0</v>
      </c>
      <c r="FN24">
        <f t="shared" si="12"/>
        <v>0</v>
      </c>
      <c r="FO24">
        <f t="shared" si="12"/>
        <v>0</v>
      </c>
      <c r="FP24">
        <f t="shared" si="13"/>
        <v>0</v>
      </c>
      <c r="FQ24">
        <f t="shared" si="13"/>
        <v>0</v>
      </c>
      <c r="FR24">
        <f t="shared" si="13"/>
        <v>0</v>
      </c>
      <c r="FS24">
        <f t="shared" si="14"/>
        <v>0</v>
      </c>
      <c r="FT24">
        <f t="shared" si="14"/>
        <v>8</v>
      </c>
      <c r="FU24">
        <f t="shared" si="14"/>
        <v>5.75</v>
      </c>
      <c r="FV24">
        <f t="shared" si="14"/>
        <v>1.25</v>
      </c>
      <c r="FW24">
        <f t="shared" si="15"/>
        <v>0</v>
      </c>
      <c r="FX24">
        <f t="shared" si="15"/>
        <v>0</v>
      </c>
      <c r="FY24">
        <f t="shared" si="15"/>
        <v>0</v>
      </c>
      <c r="FZ24">
        <f t="shared" si="16"/>
        <v>0</v>
      </c>
      <c r="GA24">
        <f t="shared" si="16"/>
        <v>0</v>
      </c>
      <c r="GB24">
        <f t="shared" si="17"/>
        <v>4.5</v>
      </c>
      <c r="GC24">
        <f t="shared" si="18"/>
        <v>2.75</v>
      </c>
      <c r="GD24">
        <f t="shared" si="18"/>
        <v>0</v>
      </c>
      <c r="GE24">
        <f t="shared" si="18"/>
        <v>0</v>
      </c>
      <c r="GF24">
        <f t="shared" si="19"/>
        <v>0</v>
      </c>
      <c r="GG24">
        <f t="shared" si="19"/>
        <v>0</v>
      </c>
      <c r="GH24">
        <f t="shared" si="19"/>
        <v>0</v>
      </c>
      <c r="GI24">
        <f t="shared" si="20"/>
        <v>3917.25</v>
      </c>
      <c r="GJ24">
        <f t="shared" si="20"/>
        <v>134.25</v>
      </c>
      <c r="GK24">
        <f t="shared" si="21"/>
        <v>0</v>
      </c>
      <c r="GL24">
        <f t="shared" si="22"/>
        <v>0</v>
      </c>
      <c r="GM24">
        <f t="shared" si="23"/>
        <v>0.25</v>
      </c>
      <c r="GN24">
        <f t="shared" si="23"/>
        <v>0</v>
      </c>
      <c r="GO24">
        <f t="shared" si="24"/>
        <v>0</v>
      </c>
      <c r="GP24">
        <f t="shared" si="25"/>
        <v>2.75</v>
      </c>
      <c r="GQ24">
        <f t="shared" si="26"/>
        <v>1.75</v>
      </c>
      <c r="GR24">
        <f t="shared" si="27"/>
        <v>4.75</v>
      </c>
      <c r="GS24">
        <f t="shared" si="28"/>
        <v>0</v>
      </c>
      <c r="GT24">
        <f t="shared" si="28"/>
        <v>3.5</v>
      </c>
      <c r="GU24">
        <f t="shared" si="28"/>
        <v>0</v>
      </c>
      <c r="GV24">
        <f t="shared" si="29"/>
        <v>0</v>
      </c>
      <c r="GW24">
        <f t="shared" si="29"/>
        <v>0.25</v>
      </c>
      <c r="GX24">
        <f t="shared" si="29"/>
        <v>0</v>
      </c>
      <c r="GY24">
        <f t="shared" si="30"/>
        <v>0</v>
      </c>
      <c r="GZ24">
        <f t="shared" si="31"/>
        <v>0</v>
      </c>
      <c r="HA24">
        <f t="shared" si="32"/>
        <v>0</v>
      </c>
      <c r="HB24">
        <f t="shared" si="33"/>
        <v>0</v>
      </c>
      <c r="HC24">
        <f t="shared" si="34"/>
        <v>0</v>
      </c>
      <c r="HD24">
        <f t="shared" si="35"/>
        <v>1.25</v>
      </c>
      <c r="HE24">
        <f t="shared" si="36"/>
        <v>0</v>
      </c>
      <c r="HF24">
        <f t="shared" si="37"/>
        <v>0</v>
      </c>
      <c r="HG24">
        <f t="shared" si="38"/>
        <v>0</v>
      </c>
      <c r="HH24">
        <f t="shared" si="39"/>
        <v>0</v>
      </c>
      <c r="HI24">
        <f t="shared" si="40"/>
        <v>0</v>
      </c>
      <c r="HJ24">
        <f t="shared" si="41"/>
        <v>0</v>
      </c>
      <c r="HK24">
        <f t="shared" si="42"/>
        <v>0</v>
      </c>
      <c r="HL24">
        <f t="shared" si="43"/>
        <v>0</v>
      </c>
      <c r="HM24">
        <f t="shared" si="44"/>
        <v>1.25</v>
      </c>
      <c r="HO24" s="51">
        <v>40</v>
      </c>
      <c r="HP24" t="s">
        <v>440</v>
      </c>
      <c r="HQ24" t="s">
        <v>439</v>
      </c>
      <c r="HR24">
        <v>67.875</v>
      </c>
      <c r="HS24">
        <v>113.75</v>
      </c>
      <c r="HT24">
        <v>90</v>
      </c>
      <c r="HU24">
        <v>2.25</v>
      </c>
      <c r="HV24" s="51">
        <v>40</v>
      </c>
      <c r="HW24">
        <f t="shared" si="45"/>
        <v>0</v>
      </c>
      <c r="HX24">
        <f t="shared" si="45"/>
        <v>0</v>
      </c>
      <c r="HY24">
        <f t="shared" si="46"/>
        <v>3</v>
      </c>
      <c r="HZ24">
        <f t="shared" si="47"/>
        <v>18.25</v>
      </c>
      <c r="IA24">
        <f t="shared" si="48"/>
        <v>0</v>
      </c>
      <c r="IB24">
        <f t="shared" si="48"/>
        <v>0</v>
      </c>
      <c r="IC24">
        <f t="shared" si="48"/>
        <v>0</v>
      </c>
      <c r="ID24">
        <f t="shared" si="49"/>
        <v>3</v>
      </c>
      <c r="IE24">
        <f t="shared" si="50"/>
        <v>0</v>
      </c>
      <c r="IF24">
        <f t="shared" si="51"/>
        <v>0</v>
      </c>
      <c r="IG24">
        <f t="shared" si="52"/>
        <v>13.75</v>
      </c>
      <c r="IH24">
        <f t="shared" si="53"/>
        <v>1.25</v>
      </c>
      <c r="II24">
        <f t="shared" si="54"/>
        <v>0</v>
      </c>
      <c r="IJ24">
        <f t="shared" si="55"/>
        <v>0</v>
      </c>
      <c r="IK24">
        <f t="shared" si="56"/>
        <v>0</v>
      </c>
      <c r="IL24">
        <f t="shared" si="0"/>
        <v>4.5</v>
      </c>
      <c r="IM24">
        <f t="shared" si="57"/>
        <v>2.75</v>
      </c>
      <c r="IN24">
        <f t="shared" si="58"/>
        <v>0</v>
      </c>
      <c r="IO24">
        <f t="shared" si="60"/>
        <v>3917.25</v>
      </c>
      <c r="IP24">
        <f t="shared" si="60"/>
        <v>134.25</v>
      </c>
      <c r="IQ24">
        <f t="shared" si="60"/>
        <v>0</v>
      </c>
      <c r="IR24">
        <f t="shared" si="60"/>
        <v>0</v>
      </c>
      <c r="IS24">
        <f t="shared" si="60"/>
        <v>0.25</v>
      </c>
      <c r="IT24">
        <f t="shared" si="60"/>
        <v>0</v>
      </c>
      <c r="IU24">
        <f t="shared" si="60"/>
        <v>0</v>
      </c>
      <c r="IV24">
        <f t="shared" si="60"/>
        <v>2.75</v>
      </c>
      <c r="IW24">
        <f t="shared" si="60"/>
        <v>1.75</v>
      </c>
      <c r="IX24">
        <f t="shared" si="60"/>
        <v>4.75</v>
      </c>
      <c r="IY24">
        <f t="shared" si="59"/>
        <v>3.5</v>
      </c>
      <c r="IZ24">
        <f t="shared" si="2"/>
        <v>0.25</v>
      </c>
      <c r="JA24">
        <f t="shared" si="61"/>
        <v>0</v>
      </c>
      <c r="JB24">
        <f t="shared" si="61"/>
        <v>0</v>
      </c>
      <c r="JC24">
        <f t="shared" si="61"/>
        <v>0</v>
      </c>
      <c r="JD24">
        <f t="shared" si="61"/>
        <v>0</v>
      </c>
      <c r="JE24">
        <f t="shared" si="61"/>
        <v>0</v>
      </c>
      <c r="JF24">
        <f t="shared" si="61"/>
        <v>1.25</v>
      </c>
      <c r="JG24">
        <f t="shared" si="61"/>
        <v>0</v>
      </c>
      <c r="JH24">
        <f t="shared" si="61"/>
        <v>0</v>
      </c>
      <c r="JI24">
        <f t="shared" si="61"/>
        <v>0</v>
      </c>
      <c r="JJ24">
        <f t="shared" si="61"/>
        <v>0</v>
      </c>
      <c r="JK24">
        <f t="shared" si="61"/>
        <v>0</v>
      </c>
      <c r="JL24">
        <f t="shared" si="61"/>
        <v>0</v>
      </c>
      <c r="JM24">
        <f t="shared" si="61"/>
        <v>0</v>
      </c>
      <c r="JN24">
        <f t="shared" si="61"/>
        <v>0</v>
      </c>
      <c r="JO24">
        <f t="shared" si="61"/>
        <v>1.25</v>
      </c>
    </row>
    <row r="25" spans="2:275" x14ac:dyDescent="0.25">
      <c r="B25" s="51">
        <v>42</v>
      </c>
      <c r="C25" t="s">
        <v>0</v>
      </c>
      <c r="D25" t="s">
        <v>439</v>
      </c>
      <c r="E25">
        <v>51.875</v>
      </c>
      <c r="F25">
        <v>47.5</v>
      </c>
      <c r="G25">
        <v>37.125</v>
      </c>
      <c r="H25">
        <v>3.5</v>
      </c>
      <c r="I25" s="51">
        <v>42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0.25</v>
      </c>
      <c r="Q25">
        <v>0.5</v>
      </c>
      <c r="R25">
        <v>0</v>
      </c>
      <c r="S25">
        <v>0</v>
      </c>
      <c r="T25">
        <v>0</v>
      </c>
      <c r="U25">
        <v>0.5</v>
      </c>
      <c r="V25">
        <v>0</v>
      </c>
      <c r="W25">
        <v>3.25</v>
      </c>
      <c r="X25">
        <v>0</v>
      </c>
      <c r="Y25">
        <v>0</v>
      </c>
      <c r="Z25">
        <v>0.25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6.75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0.25</v>
      </c>
      <c r="BB25">
        <v>0.25</v>
      </c>
      <c r="BC25">
        <v>0.25</v>
      </c>
      <c r="BD25">
        <v>0</v>
      </c>
      <c r="BE25">
        <v>3.25</v>
      </c>
      <c r="BF25">
        <v>2.75</v>
      </c>
      <c r="BG25">
        <v>0.75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4.25</v>
      </c>
      <c r="BX25">
        <v>6.75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1482.5</v>
      </c>
      <c r="CG25">
        <v>33.75</v>
      </c>
      <c r="CH25">
        <v>69.25</v>
      </c>
      <c r="CI25">
        <v>3</v>
      </c>
      <c r="CJ25">
        <v>0</v>
      </c>
      <c r="CK25">
        <v>0.25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0.75</v>
      </c>
      <c r="CT25">
        <v>1</v>
      </c>
      <c r="CU25">
        <v>0.25</v>
      </c>
      <c r="CV25">
        <v>0</v>
      </c>
      <c r="CW25">
        <v>0</v>
      </c>
      <c r="CX25">
        <v>4.25</v>
      </c>
      <c r="CY25">
        <v>0</v>
      </c>
      <c r="CZ25">
        <v>0.5</v>
      </c>
      <c r="DA25">
        <v>0</v>
      </c>
      <c r="DB25">
        <v>0</v>
      </c>
      <c r="DC25">
        <v>0.5</v>
      </c>
      <c r="DD25">
        <v>0.5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0.25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0.75</v>
      </c>
      <c r="EP25" s="51">
        <v>42</v>
      </c>
      <c r="EQ25" t="s">
        <v>0</v>
      </c>
      <c r="ER25" t="s">
        <v>439</v>
      </c>
      <c r="ES25">
        <v>51.875</v>
      </c>
      <c r="ET25">
        <v>47.5</v>
      </c>
      <c r="EU25">
        <v>37.125</v>
      </c>
      <c r="EV25">
        <v>3.5</v>
      </c>
      <c r="EW25" s="51">
        <v>42</v>
      </c>
      <c r="EX25">
        <f t="shared" si="4"/>
        <v>0</v>
      </c>
      <c r="EY25">
        <f t="shared" si="5"/>
        <v>0</v>
      </c>
      <c r="EZ25">
        <f t="shared" si="6"/>
        <v>0</v>
      </c>
      <c r="FA25">
        <f t="shared" si="6"/>
        <v>0</v>
      </c>
      <c r="FB25">
        <f t="shared" si="6"/>
        <v>0.25</v>
      </c>
      <c r="FC25">
        <f t="shared" si="6"/>
        <v>1</v>
      </c>
      <c r="FD25">
        <f t="shared" si="7"/>
        <v>0</v>
      </c>
      <c r="FE25">
        <f t="shared" si="7"/>
        <v>3.25</v>
      </c>
      <c r="FF25">
        <f t="shared" si="8"/>
        <v>0.25</v>
      </c>
      <c r="FG25">
        <f t="shared" si="9"/>
        <v>0</v>
      </c>
      <c r="FH25">
        <f t="shared" si="10"/>
        <v>0</v>
      </c>
      <c r="FI25">
        <f t="shared" si="11"/>
        <v>6.75</v>
      </c>
      <c r="FJ25">
        <f t="shared" si="11"/>
        <v>0</v>
      </c>
      <c r="FK25">
        <f t="shared" si="11"/>
        <v>0</v>
      </c>
      <c r="FL25">
        <f t="shared" si="11"/>
        <v>0</v>
      </c>
      <c r="FM25">
        <f t="shared" si="12"/>
        <v>0</v>
      </c>
      <c r="FN25">
        <f t="shared" si="12"/>
        <v>0</v>
      </c>
      <c r="FO25">
        <f t="shared" si="12"/>
        <v>0</v>
      </c>
      <c r="FP25">
        <f t="shared" si="13"/>
        <v>0</v>
      </c>
      <c r="FQ25">
        <f t="shared" si="13"/>
        <v>0</v>
      </c>
      <c r="FR25">
        <f t="shared" si="13"/>
        <v>0</v>
      </c>
      <c r="FS25">
        <f t="shared" si="14"/>
        <v>0</v>
      </c>
      <c r="FT25">
        <f t="shared" si="14"/>
        <v>3.5</v>
      </c>
      <c r="FU25">
        <f t="shared" si="14"/>
        <v>3</v>
      </c>
      <c r="FV25">
        <f t="shared" si="14"/>
        <v>1</v>
      </c>
      <c r="FW25">
        <f t="shared" si="15"/>
        <v>0</v>
      </c>
      <c r="FX25">
        <f t="shared" si="15"/>
        <v>0</v>
      </c>
      <c r="FY25">
        <f t="shared" si="15"/>
        <v>0</v>
      </c>
      <c r="FZ25">
        <f t="shared" si="16"/>
        <v>0</v>
      </c>
      <c r="GA25">
        <f t="shared" si="16"/>
        <v>0</v>
      </c>
      <c r="GB25">
        <f t="shared" si="17"/>
        <v>0</v>
      </c>
      <c r="GC25">
        <f t="shared" si="18"/>
        <v>4.25</v>
      </c>
      <c r="GD25">
        <f t="shared" si="18"/>
        <v>6.75</v>
      </c>
      <c r="GE25">
        <f t="shared" si="18"/>
        <v>0</v>
      </c>
      <c r="GF25">
        <f t="shared" si="19"/>
        <v>0</v>
      </c>
      <c r="GG25">
        <f t="shared" si="19"/>
        <v>0</v>
      </c>
      <c r="GH25">
        <f t="shared" si="19"/>
        <v>0</v>
      </c>
      <c r="GI25">
        <f t="shared" si="20"/>
        <v>1551.75</v>
      </c>
      <c r="GJ25">
        <f t="shared" si="20"/>
        <v>36.75</v>
      </c>
      <c r="GK25">
        <f t="shared" si="21"/>
        <v>0.25</v>
      </c>
      <c r="GL25">
        <f t="shared" si="22"/>
        <v>0</v>
      </c>
      <c r="GM25">
        <f t="shared" si="23"/>
        <v>0</v>
      </c>
      <c r="GN25">
        <f t="shared" si="23"/>
        <v>0</v>
      </c>
      <c r="GO25">
        <f t="shared" si="24"/>
        <v>0</v>
      </c>
      <c r="GP25">
        <f t="shared" si="25"/>
        <v>1.75</v>
      </c>
      <c r="GQ25">
        <f t="shared" si="26"/>
        <v>0.25</v>
      </c>
      <c r="GR25">
        <f t="shared" si="27"/>
        <v>4.25</v>
      </c>
      <c r="GS25">
        <f t="shared" si="28"/>
        <v>0</v>
      </c>
      <c r="GT25">
        <f t="shared" si="28"/>
        <v>1</v>
      </c>
      <c r="GU25">
        <f t="shared" si="28"/>
        <v>0.5</v>
      </c>
      <c r="GV25">
        <f t="shared" si="29"/>
        <v>0</v>
      </c>
      <c r="GW25">
        <f t="shared" si="29"/>
        <v>0</v>
      </c>
      <c r="GX25">
        <f t="shared" si="29"/>
        <v>0</v>
      </c>
      <c r="GY25">
        <f t="shared" si="30"/>
        <v>0</v>
      </c>
      <c r="GZ25">
        <f t="shared" si="31"/>
        <v>0</v>
      </c>
      <c r="HA25">
        <f t="shared" si="32"/>
        <v>0</v>
      </c>
      <c r="HB25">
        <f t="shared" si="33"/>
        <v>0</v>
      </c>
      <c r="HC25">
        <f t="shared" si="34"/>
        <v>0.25</v>
      </c>
      <c r="HD25">
        <f t="shared" si="35"/>
        <v>0</v>
      </c>
      <c r="HE25">
        <f t="shared" si="36"/>
        <v>0</v>
      </c>
      <c r="HF25">
        <f t="shared" si="37"/>
        <v>0</v>
      </c>
      <c r="HG25">
        <f t="shared" si="38"/>
        <v>0</v>
      </c>
      <c r="HH25">
        <f t="shared" si="39"/>
        <v>0</v>
      </c>
      <c r="HI25">
        <f t="shared" si="40"/>
        <v>0</v>
      </c>
      <c r="HJ25">
        <f t="shared" si="41"/>
        <v>0</v>
      </c>
      <c r="HK25">
        <f t="shared" si="42"/>
        <v>0</v>
      </c>
      <c r="HL25">
        <f t="shared" si="43"/>
        <v>0</v>
      </c>
      <c r="HM25">
        <f t="shared" si="44"/>
        <v>0.75</v>
      </c>
      <c r="HO25" s="51">
        <v>42</v>
      </c>
      <c r="HP25" t="s">
        <v>0</v>
      </c>
      <c r="HQ25" t="s">
        <v>439</v>
      </c>
      <c r="HR25">
        <v>51.875</v>
      </c>
      <c r="HS25">
        <v>47.5</v>
      </c>
      <c r="HT25">
        <v>37.125</v>
      </c>
      <c r="HU25">
        <v>3.5</v>
      </c>
      <c r="HV25" s="51">
        <v>42</v>
      </c>
      <c r="HW25">
        <f t="shared" si="45"/>
        <v>0</v>
      </c>
      <c r="HX25">
        <f t="shared" si="45"/>
        <v>0</v>
      </c>
      <c r="HY25">
        <f t="shared" si="46"/>
        <v>1.25</v>
      </c>
      <c r="HZ25">
        <f t="shared" si="47"/>
        <v>3.25</v>
      </c>
      <c r="IA25">
        <f t="shared" si="48"/>
        <v>0.25</v>
      </c>
      <c r="IB25">
        <f t="shared" si="48"/>
        <v>0</v>
      </c>
      <c r="IC25">
        <f t="shared" si="48"/>
        <v>0</v>
      </c>
      <c r="ID25">
        <f t="shared" si="49"/>
        <v>6.75</v>
      </c>
      <c r="IE25">
        <f t="shared" si="50"/>
        <v>0</v>
      </c>
      <c r="IF25">
        <f t="shared" si="51"/>
        <v>0</v>
      </c>
      <c r="IG25">
        <f t="shared" si="52"/>
        <v>6.5</v>
      </c>
      <c r="IH25">
        <f t="shared" si="53"/>
        <v>1</v>
      </c>
      <c r="II25">
        <f t="shared" si="54"/>
        <v>0</v>
      </c>
      <c r="IJ25">
        <f t="shared" si="55"/>
        <v>0</v>
      </c>
      <c r="IK25">
        <f t="shared" si="56"/>
        <v>0</v>
      </c>
      <c r="IL25">
        <f t="shared" si="0"/>
        <v>0</v>
      </c>
      <c r="IM25">
        <f t="shared" si="57"/>
        <v>11</v>
      </c>
      <c r="IN25">
        <f t="shared" si="58"/>
        <v>0</v>
      </c>
      <c r="IO25">
        <f t="shared" si="60"/>
        <v>1551.75</v>
      </c>
      <c r="IP25">
        <f t="shared" si="60"/>
        <v>36.75</v>
      </c>
      <c r="IQ25">
        <f t="shared" si="60"/>
        <v>0.25</v>
      </c>
      <c r="IR25">
        <f t="shared" si="60"/>
        <v>0</v>
      </c>
      <c r="IS25">
        <f t="shared" si="60"/>
        <v>0</v>
      </c>
      <c r="IT25">
        <f t="shared" si="60"/>
        <v>0</v>
      </c>
      <c r="IU25">
        <f t="shared" si="60"/>
        <v>0</v>
      </c>
      <c r="IV25">
        <f t="shared" si="60"/>
        <v>1.75</v>
      </c>
      <c r="IW25">
        <f t="shared" si="60"/>
        <v>0.25</v>
      </c>
      <c r="IX25">
        <f t="shared" si="60"/>
        <v>4.25</v>
      </c>
      <c r="IY25">
        <f t="shared" si="59"/>
        <v>1.5</v>
      </c>
      <c r="IZ25">
        <f t="shared" si="2"/>
        <v>0</v>
      </c>
      <c r="JA25">
        <f t="shared" si="61"/>
        <v>0</v>
      </c>
      <c r="JB25">
        <f t="shared" si="61"/>
        <v>0</v>
      </c>
      <c r="JC25">
        <f t="shared" si="61"/>
        <v>0</v>
      </c>
      <c r="JD25">
        <f t="shared" si="61"/>
        <v>0</v>
      </c>
      <c r="JE25">
        <f t="shared" si="61"/>
        <v>0.25</v>
      </c>
      <c r="JF25">
        <f t="shared" si="61"/>
        <v>0</v>
      </c>
      <c r="JG25">
        <f t="shared" si="61"/>
        <v>0</v>
      </c>
      <c r="JH25">
        <f t="shared" si="61"/>
        <v>0</v>
      </c>
      <c r="JI25">
        <f t="shared" si="61"/>
        <v>0</v>
      </c>
      <c r="JJ25">
        <f t="shared" si="61"/>
        <v>0</v>
      </c>
      <c r="JK25">
        <f t="shared" si="61"/>
        <v>0</v>
      </c>
      <c r="JL25">
        <f t="shared" si="61"/>
        <v>0</v>
      </c>
      <c r="JM25">
        <f t="shared" si="61"/>
        <v>0</v>
      </c>
      <c r="JN25">
        <f t="shared" si="61"/>
        <v>0</v>
      </c>
      <c r="JO25">
        <f t="shared" si="61"/>
        <v>0.75</v>
      </c>
    </row>
    <row r="26" spans="2:275" x14ac:dyDescent="0.25">
      <c r="B26" s="51">
        <v>47</v>
      </c>
      <c r="C26" t="s">
        <v>440</v>
      </c>
      <c r="D26" t="s">
        <v>439</v>
      </c>
      <c r="E26" s="91" t="s">
        <v>589</v>
      </c>
      <c r="F26" s="90"/>
      <c r="G26" s="90"/>
      <c r="H26" s="90"/>
      <c r="I26" s="51">
        <v>47</v>
      </c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P26" s="51">
        <v>47</v>
      </c>
      <c r="EQ26" t="s">
        <v>440</v>
      </c>
      <c r="ER26" t="s">
        <v>439</v>
      </c>
      <c r="ES26" s="50"/>
      <c r="ET26" s="50"/>
      <c r="EU26" s="50"/>
      <c r="EV26" s="50"/>
      <c r="EW26" s="51">
        <v>47</v>
      </c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O26" s="51">
        <v>47</v>
      </c>
      <c r="HP26" t="s">
        <v>440</v>
      </c>
      <c r="HQ26" t="s">
        <v>439</v>
      </c>
      <c r="HR26" s="68"/>
      <c r="HS26" s="68"/>
      <c r="HT26" s="68"/>
      <c r="HU26" s="68"/>
      <c r="HV26" s="51">
        <v>47</v>
      </c>
      <c r="HW26" s="68"/>
      <c r="HX26" s="68"/>
      <c r="HY26" s="68"/>
      <c r="HZ26" s="68"/>
      <c r="IA26" s="68"/>
      <c r="IB26" s="68"/>
      <c r="IC26" s="68"/>
      <c r="ID26" s="68"/>
      <c r="IE26" s="68"/>
      <c r="IF26" s="68"/>
      <c r="IG26" s="68"/>
      <c r="IH26" s="68"/>
      <c r="II26" s="68"/>
      <c r="IJ26" s="68"/>
      <c r="IK26" s="68"/>
      <c r="IL26" s="68"/>
      <c r="IM26" s="68"/>
      <c r="IN26" s="68"/>
      <c r="IO26" s="68"/>
      <c r="IP26" s="68"/>
      <c r="IQ26" s="68"/>
      <c r="IR26" s="68"/>
      <c r="IS26" s="68"/>
      <c r="IT26" s="68"/>
      <c r="IU26" s="68"/>
      <c r="IV26" s="68"/>
      <c r="IW26" s="68"/>
      <c r="IX26" s="68"/>
      <c r="IY26" s="68"/>
      <c r="IZ26" s="68"/>
      <c r="JA26" s="68"/>
      <c r="JB26" s="68"/>
      <c r="JC26" s="68"/>
      <c r="JD26" s="68"/>
      <c r="JE26" s="68"/>
      <c r="JF26" s="68"/>
      <c r="JG26" s="68"/>
      <c r="JH26" s="68"/>
      <c r="JI26" s="68"/>
      <c r="JJ26" s="68"/>
      <c r="JK26" s="68"/>
      <c r="JL26" s="68"/>
      <c r="JM26" s="68"/>
      <c r="JN26" s="68"/>
      <c r="JO26" s="68"/>
    </row>
    <row r="27" spans="2:275" x14ac:dyDescent="0.25">
      <c r="B27" s="51">
        <v>48</v>
      </c>
      <c r="C27" t="s">
        <v>0</v>
      </c>
      <c r="D27" t="s">
        <v>439</v>
      </c>
      <c r="E27">
        <v>76.375</v>
      </c>
      <c r="F27">
        <v>87.5</v>
      </c>
      <c r="G27">
        <v>73.625</v>
      </c>
      <c r="H27">
        <v>3.1875</v>
      </c>
      <c r="I27" s="51">
        <v>48</v>
      </c>
      <c r="J27">
        <v>0</v>
      </c>
      <c r="K27">
        <v>0.25</v>
      </c>
      <c r="L27">
        <v>0</v>
      </c>
      <c r="M27">
        <v>0</v>
      </c>
      <c r="N27">
        <v>0</v>
      </c>
      <c r="O27">
        <v>0</v>
      </c>
      <c r="P27">
        <v>0</v>
      </c>
      <c r="Q27">
        <v>1.25</v>
      </c>
      <c r="R27">
        <v>0</v>
      </c>
      <c r="S27">
        <v>0</v>
      </c>
      <c r="T27">
        <v>0.25</v>
      </c>
      <c r="U27">
        <v>1</v>
      </c>
      <c r="V27">
        <v>0</v>
      </c>
      <c r="W27">
        <v>15.75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2.25</v>
      </c>
      <c r="BC27">
        <v>0.75</v>
      </c>
      <c r="BD27">
        <v>0</v>
      </c>
      <c r="BE27">
        <v>2.75</v>
      </c>
      <c r="BF27">
        <v>5.5</v>
      </c>
      <c r="BG27">
        <v>1.75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7.75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4113</v>
      </c>
      <c r="CG27">
        <v>118</v>
      </c>
      <c r="CH27">
        <v>2485</v>
      </c>
      <c r="CI27">
        <v>21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</v>
      </c>
      <c r="CP27">
        <v>0</v>
      </c>
      <c r="CQ27">
        <v>0</v>
      </c>
      <c r="CR27">
        <v>0</v>
      </c>
      <c r="CS27">
        <v>0.75</v>
      </c>
      <c r="CT27">
        <v>1.25</v>
      </c>
      <c r="CU27">
        <v>0.5</v>
      </c>
      <c r="CV27">
        <v>0</v>
      </c>
      <c r="CW27">
        <v>0</v>
      </c>
      <c r="CX27">
        <v>3.25</v>
      </c>
      <c r="CY27">
        <v>0</v>
      </c>
      <c r="CZ27">
        <v>1.25</v>
      </c>
      <c r="DA27">
        <v>0</v>
      </c>
      <c r="DB27">
        <v>0</v>
      </c>
      <c r="DC27">
        <v>2</v>
      </c>
      <c r="DD27">
        <v>0.25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0.25</v>
      </c>
      <c r="DK27">
        <v>0.25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0.25</v>
      </c>
      <c r="EP27" s="51">
        <v>48</v>
      </c>
      <c r="EQ27" t="s">
        <v>0</v>
      </c>
      <c r="ER27" t="s">
        <v>439</v>
      </c>
      <c r="ES27">
        <v>76.375</v>
      </c>
      <c r="ET27">
        <v>87.5</v>
      </c>
      <c r="EU27">
        <v>73.625</v>
      </c>
      <c r="EV27">
        <v>3.1875</v>
      </c>
      <c r="EW27" s="51">
        <v>48</v>
      </c>
      <c r="EX27">
        <f t="shared" si="4"/>
        <v>0.25</v>
      </c>
      <c r="EY27">
        <f t="shared" si="5"/>
        <v>0</v>
      </c>
      <c r="EZ27">
        <f t="shared" si="6"/>
        <v>0</v>
      </c>
      <c r="FA27">
        <f t="shared" si="6"/>
        <v>0</v>
      </c>
      <c r="FB27">
        <f t="shared" si="6"/>
        <v>0.25</v>
      </c>
      <c r="FC27">
        <f t="shared" si="6"/>
        <v>2.25</v>
      </c>
      <c r="FD27">
        <f t="shared" si="7"/>
        <v>0</v>
      </c>
      <c r="FE27">
        <f t="shared" si="7"/>
        <v>15.75</v>
      </c>
      <c r="FF27">
        <f t="shared" si="8"/>
        <v>0</v>
      </c>
      <c r="FG27">
        <f t="shared" si="9"/>
        <v>0</v>
      </c>
      <c r="FH27">
        <f t="shared" si="10"/>
        <v>0</v>
      </c>
      <c r="FI27">
        <f t="shared" si="11"/>
        <v>0</v>
      </c>
      <c r="FJ27">
        <f t="shared" si="11"/>
        <v>0</v>
      </c>
      <c r="FK27">
        <f t="shared" si="11"/>
        <v>0</v>
      </c>
      <c r="FL27">
        <f t="shared" si="11"/>
        <v>0</v>
      </c>
      <c r="FM27">
        <f t="shared" si="12"/>
        <v>0.25</v>
      </c>
      <c r="FN27">
        <f t="shared" si="12"/>
        <v>0</v>
      </c>
      <c r="FO27">
        <f t="shared" si="12"/>
        <v>0</v>
      </c>
      <c r="FP27">
        <f t="shared" si="13"/>
        <v>0</v>
      </c>
      <c r="FQ27">
        <f t="shared" si="13"/>
        <v>0</v>
      </c>
      <c r="FR27">
        <f t="shared" si="13"/>
        <v>0</v>
      </c>
      <c r="FS27">
        <f t="shared" si="14"/>
        <v>0</v>
      </c>
      <c r="FT27">
        <f t="shared" si="14"/>
        <v>3.75</v>
      </c>
      <c r="FU27">
        <f t="shared" si="14"/>
        <v>7.75</v>
      </c>
      <c r="FV27">
        <f t="shared" si="14"/>
        <v>2.5</v>
      </c>
      <c r="FW27">
        <f t="shared" si="15"/>
        <v>0</v>
      </c>
      <c r="FX27">
        <f t="shared" si="15"/>
        <v>0</v>
      </c>
      <c r="FY27">
        <f t="shared" si="15"/>
        <v>0</v>
      </c>
      <c r="FZ27">
        <f t="shared" si="16"/>
        <v>0</v>
      </c>
      <c r="GA27">
        <f t="shared" si="16"/>
        <v>0</v>
      </c>
      <c r="GB27">
        <f t="shared" si="17"/>
        <v>0</v>
      </c>
      <c r="GC27">
        <f t="shared" si="18"/>
        <v>0</v>
      </c>
      <c r="GD27">
        <f t="shared" si="18"/>
        <v>7.75</v>
      </c>
      <c r="GE27">
        <f t="shared" si="18"/>
        <v>0</v>
      </c>
      <c r="GF27">
        <f t="shared" si="19"/>
        <v>0</v>
      </c>
      <c r="GG27">
        <f t="shared" si="19"/>
        <v>0</v>
      </c>
      <c r="GH27">
        <f t="shared" si="19"/>
        <v>0</v>
      </c>
      <c r="GI27">
        <f t="shared" si="20"/>
        <v>6598</v>
      </c>
      <c r="GJ27">
        <f t="shared" si="20"/>
        <v>139</v>
      </c>
      <c r="GK27">
        <f t="shared" si="21"/>
        <v>0</v>
      </c>
      <c r="GL27">
        <f t="shared" si="22"/>
        <v>0</v>
      </c>
      <c r="GM27">
        <f t="shared" si="23"/>
        <v>2</v>
      </c>
      <c r="GN27">
        <f t="shared" si="23"/>
        <v>0</v>
      </c>
      <c r="GO27">
        <f t="shared" si="24"/>
        <v>0</v>
      </c>
      <c r="GP27">
        <f t="shared" si="25"/>
        <v>2</v>
      </c>
      <c r="GQ27">
        <f t="shared" si="26"/>
        <v>0.5</v>
      </c>
      <c r="GR27">
        <f t="shared" si="27"/>
        <v>3.25</v>
      </c>
      <c r="GS27">
        <f t="shared" si="28"/>
        <v>0</v>
      </c>
      <c r="GT27">
        <f t="shared" si="28"/>
        <v>3.25</v>
      </c>
      <c r="GU27">
        <f t="shared" si="28"/>
        <v>0.25</v>
      </c>
      <c r="GV27">
        <f t="shared" si="29"/>
        <v>0</v>
      </c>
      <c r="GW27">
        <f t="shared" si="29"/>
        <v>0</v>
      </c>
      <c r="GX27">
        <f t="shared" si="29"/>
        <v>0.25</v>
      </c>
      <c r="GY27">
        <f t="shared" si="30"/>
        <v>1.25</v>
      </c>
      <c r="GZ27">
        <f t="shared" si="31"/>
        <v>0</v>
      </c>
      <c r="HA27">
        <f t="shared" si="32"/>
        <v>0</v>
      </c>
      <c r="HB27">
        <f t="shared" si="33"/>
        <v>0</v>
      </c>
      <c r="HC27">
        <f t="shared" si="34"/>
        <v>0</v>
      </c>
      <c r="HD27">
        <f t="shared" si="35"/>
        <v>0</v>
      </c>
      <c r="HE27">
        <f t="shared" si="36"/>
        <v>0</v>
      </c>
      <c r="HF27">
        <f t="shared" si="37"/>
        <v>0</v>
      </c>
      <c r="HG27">
        <f t="shared" si="38"/>
        <v>0</v>
      </c>
      <c r="HH27">
        <f t="shared" si="39"/>
        <v>0</v>
      </c>
      <c r="HI27">
        <f t="shared" si="40"/>
        <v>0</v>
      </c>
      <c r="HJ27">
        <f t="shared" si="41"/>
        <v>0</v>
      </c>
      <c r="HK27">
        <f t="shared" si="42"/>
        <v>0</v>
      </c>
      <c r="HL27">
        <f t="shared" si="43"/>
        <v>0</v>
      </c>
      <c r="HM27">
        <f t="shared" si="44"/>
        <v>0.25</v>
      </c>
      <c r="HO27" s="51">
        <v>48</v>
      </c>
      <c r="HP27" t="s">
        <v>0</v>
      </c>
      <c r="HQ27" t="s">
        <v>439</v>
      </c>
      <c r="HR27">
        <v>76.375</v>
      </c>
      <c r="HS27">
        <v>87.5</v>
      </c>
      <c r="HT27">
        <v>73.625</v>
      </c>
      <c r="HU27">
        <v>3.1875</v>
      </c>
      <c r="HV27" s="51">
        <v>48</v>
      </c>
      <c r="HW27">
        <f t="shared" si="45"/>
        <v>0.25</v>
      </c>
      <c r="HX27">
        <f t="shared" si="45"/>
        <v>0</v>
      </c>
      <c r="HY27">
        <f t="shared" si="46"/>
        <v>2.5</v>
      </c>
      <c r="HZ27">
        <f t="shared" si="47"/>
        <v>15.75</v>
      </c>
      <c r="IA27">
        <f t="shared" si="48"/>
        <v>0</v>
      </c>
      <c r="IB27">
        <f t="shared" si="48"/>
        <v>0</v>
      </c>
      <c r="IC27">
        <f t="shared" si="48"/>
        <v>0</v>
      </c>
      <c r="ID27">
        <f t="shared" si="49"/>
        <v>0</v>
      </c>
      <c r="IE27">
        <f t="shared" si="50"/>
        <v>0.25</v>
      </c>
      <c r="IF27">
        <f t="shared" si="51"/>
        <v>0</v>
      </c>
      <c r="IG27">
        <f t="shared" si="52"/>
        <v>11.5</v>
      </c>
      <c r="IH27">
        <f t="shared" si="53"/>
        <v>2.5</v>
      </c>
      <c r="II27">
        <f t="shared" si="54"/>
        <v>0</v>
      </c>
      <c r="IJ27">
        <f t="shared" si="55"/>
        <v>0</v>
      </c>
      <c r="IK27">
        <f t="shared" si="56"/>
        <v>0</v>
      </c>
      <c r="IL27">
        <f t="shared" ref="IL27:IL42" si="62">SUM(GB27)</f>
        <v>0</v>
      </c>
      <c r="IM27">
        <f t="shared" si="57"/>
        <v>7.75</v>
      </c>
      <c r="IN27">
        <f t="shared" si="58"/>
        <v>0</v>
      </c>
      <c r="IO27">
        <f t="shared" si="60"/>
        <v>6598</v>
      </c>
      <c r="IP27">
        <f t="shared" si="60"/>
        <v>139</v>
      </c>
      <c r="IQ27">
        <f t="shared" si="60"/>
        <v>0</v>
      </c>
      <c r="IR27">
        <f t="shared" si="60"/>
        <v>0</v>
      </c>
      <c r="IS27">
        <f t="shared" si="60"/>
        <v>2</v>
      </c>
      <c r="IT27">
        <f t="shared" si="60"/>
        <v>0</v>
      </c>
      <c r="IU27">
        <f t="shared" si="60"/>
        <v>0</v>
      </c>
      <c r="IV27">
        <f t="shared" si="60"/>
        <v>2</v>
      </c>
      <c r="IW27">
        <f t="shared" si="60"/>
        <v>0.5</v>
      </c>
      <c r="IX27">
        <f t="shared" si="60"/>
        <v>3.25</v>
      </c>
      <c r="IY27">
        <f t="shared" si="59"/>
        <v>3.5</v>
      </c>
      <c r="IZ27">
        <f t="shared" ref="IZ27:IZ42" si="63">SUM(GV27:GX27)</f>
        <v>0.25</v>
      </c>
      <c r="JA27">
        <f t="shared" si="61"/>
        <v>1.25</v>
      </c>
      <c r="JB27">
        <f t="shared" si="61"/>
        <v>0</v>
      </c>
      <c r="JC27">
        <f t="shared" si="61"/>
        <v>0</v>
      </c>
      <c r="JD27">
        <f t="shared" si="61"/>
        <v>0</v>
      </c>
      <c r="JE27">
        <f t="shared" si="61"/>
        <v>0</v>
      </c>
      <c r="JF27">
        <f t="shared" si="61"/>
        <v>0</v>
      </c>
      <c r="JG27">
        <f t="shared" si="61"/>
        <v>0</v>
      </c>
      <c r="JH27">
        <f t="shared" si="61"/>
        <v>0</v>
      </c>
      <c r="JI27">
        <f t="shared" si="61"/>
        <v>0</v>
      </c>
      <c r="JJ27">
        <f t="shared" si="61"/>
        <v>0</v>
      </c>
      <c r="JK27">
        <f t="shared" si="61"/>
        <v>0</v>
      </c>
      <c r="JL27">
        <f t="shared" si="61"/>
        <v>0</v>
      </c>
      <c r="JM27">
        <f t="shared" si="61"/>
        <v>0</v>
      </c>
      <c r="JN27">
        <f t="shared" si="61"/>
        <v>0</v>
      </c>
      <c r="JO27">
        <f t="shared" si="61"/>
        <v>0.25</v>
      </c>
    </row>
    <row r="28" spans="2:275" x14ac:dyDescent="0.25">
      <c r="B28" s="51">
        <v>49</v>
      </c>
      <c r="C28" t="s">
        <v>440</v>
      </c>
      <c r="D28" t="s">
        <v>439</v>
      </c>
      <c r="E28">
        <v>72.25</v>
      </c>
      <c r="F28">
        <v>73.125</v>
      </c>
      <c r="G28">
        <v>78.125</v>
      </c>
      <c r="H28">
        <v>2.125</v>
      </c>
      <c r="I28" s="51">
        <v>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1.25</v>
      </c>
      <c r="R28">
        <v>0</v>
      </c>
      <c r="S28">
        <v>0.25</v>
      </c>
      <c r="T28">
        <v>0.75</v>
      </c>
      <c r="U28">
        <v>1.25</v>
      </c>
      <c r="V28">
        <v>0.5</v>
      </c>
      <c r="W28">
        <v>13.25</v>
      </c>
      <c r="X28">
        <v>0</v>
      </c>
      <c r="Y28">
        <v>1.25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0.25</v>
      </c>
      <c r="BD28">
        <v>0</v>
      </c>
      <c r="BE28">
        <v>1.25</v>
      </c>
      <c r="BF28">
        <v>5.25</v>
      </c>
      <c r="BG28">
        <v>2.5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0.5</v>
      </c>
      <c r="BV28">
        <v>0</v>
      </c>
      <c r="BW28">
        <v>6.25</v>
      </c>
      <c r="BX28">
        <v>5.25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0.25</v>
      </c>
      <c r="CE28">
        <v>0</v>
      </c>
      <c r="CF28">
        <v>4981.25</v>
      </c>
      <c r="CG28">
        <v>25.25</v>
      </c>
      <c r="CH28">
        <v>945.5</v>
      </c>
      <c r="CI28">
        <v>4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1.75</v>
      </c>
      <c r="CT28">
        <v>3.75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2.75</v>
      </c>
      <c r="DA28">
        <v>0</v>
      </c>
      <c r="DB28">
        <v>0</v>
      </c>
      <c r="DC28">
        <v>1.25</v>
      </c>
      <c r="DD28">
        <v>2.5</v>
      </c>
      <c r="DE28">
        <v>0</v>
      </c>
      <c r="DF28">
        <v>0.25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0.25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1.5</v>
      </c>
      <c r="EP28" s="51">
        <v>49</v>
      </c>
      <c r="EQ28" t="s">
        <v>440</v>
      </c>
      <c r="ER28" t="s">
        <v>439</v>
      </c>
      <c r="ES28">
        <v>72.25</v>
      </c>
      <c r="ET28">
        <v>73.125</v>
      </c>
      <c r="EU28">
        <v>78.125</v>
      </c>
      <c r="EV28">
        <v>2.125</v>
      </c>
      <c r="EW28" s="51">
        <v>49</v>
      </c>
      <c r="EX28">
        <f t="shared" si="4"/>
        <v>0</v>
      </c>
      <c r="EY28">
        <f t="shared" si="5"/>
        <v>0</v>
      </c>
      <c r="EZ28">
        <f t="shared" si="6"/>
        <v>0</v>
      </c>
      <c r="FA28">
        <f t="shared" si="6"/>
        <v>0.25</v>
      </c>
      <c r="FB28">
        <f t="shared" si="6"/>
        <v>0.75</v>
      </c>
      <c r="FC28">
        <f t="shared" si="6"/>
        <v>2.5</v>
      </c>
      <c r="FD28">
        <f t="shared" si="7"/>
        <v>0.5</v>
      </c>
      <c r="FE28">
        <f t="shared" si="7"/>
        <v>14.5</v>
      </c>
      <c r="FF28">
        <f t="shared" si="8"/>
        <v>0</v>
      </c>
      <c r="FG28">
        <f t="shared" si="9"/>
        <v>0</v>
      </c>
      <c r="FH28">
        <f t="shared" si="10"/>
        <v>0</v>
      </c>
      <c r="FI28">
        <f t="shared" si="11"/>
        <v>0</v>
      </c>
      <c r="FJ28">
        <f t="shared" si="11"/>
        <v>0</v>
      </c>
      <c r="FK28">
        <f t="shared" si="11"/>
        <v>0</v>
      </c>
      <c r="FL28">
        <f t="shared" si="11"/>
        <v>0</v>
      </c>
      <c r="FM28">
        <f t="shared" si="12"/>
        <v>0</v>
      </c>
      <c r="FN28">
        <f t="shared" si="12"/>
        <v>0</v>
      </c>
      <c r="FO28">
        <f t="shared" si="12"/>
        <v>0</v>
      </c>
      <c r="FP28">
        <f t="shared" si="13"/>
        <v>0</v>
      </c>
      <c r="FQ28">
        <f t="shared" si="13"/>
        <v>0</v>
      </c>
      <c r="FR28">
        <f t="shared" si="13"/>
        <v>0</v>
      </c>
      <c r="FS28">
        <f t="shared" si="14"/>
        <v>0</v>
      </c>
      <c r="FT28">
        <f t="shared" si="14"/>
        <v>1.25</v>
      </c>
      <c r="FU28">
        <f t="shared" si="14"/>
        <v>6.25</v>
      </c>
      <c r="FV28">
        <f t="shared" si="14"/>
        <v>2.75</v>
      </c>
      <c r="FW28">
        <f t="shared" si="15"/>
        <v>0</v>
      </c>
      <c r="FX28">
        <f t="shared" si="15"/>
        <v>0</v>
      </c>
      <c r="FY28">
        <f t="shared" si="15"/>
        <v>0</v>
      </c>
      <c r="FZ28">
        <f t="shared" si="16"/>
        <v>0</v>
      </c>
      <c r="GA28">
        <f t="shared" si="16"/>
        <v>0</v>
      </c>
      <c r="GB28">
        <f t="shared" si="17"/>
        <v>0</v>
      </c>
      <c r="GC28">
        <f t="shared" si="18"/>
        <v>6.25</v>
      </c>
      <c r="GD28">
        <f t="shared" si="18"/>
        <v>5.75</v>
      </c>
      <c r="GE28">
        <f t="shared" si="18"/>
        <v>0</v>
      </c>
      <c r="GF28">
        <f t="shared" si="19"/>
        <v>0</v>
      </c>
      <c r="GG28">
        <f t="shared" si="19"/>
        <v>0.25</v>
      </c>
      <c r="GH28">
        <f t="shared" si="19"/>
        <v>0</v>
      </c>
      <c r="GI28">
        <f t="shared" si="20"/>
        <v>5926.75</v>
      </c>
      <c r="GJ28">
        <f t="shared" si="20"/>
        <v>29.25</v>
      </c>
      <c r="GK28">
        <f t="shared" si="21"/>
        <v>0</v>
      </c>
      <c r="GL28">
        <f t="shared" si="22"/>
        <v>0</v>
      </c>
      <c r="GM28">
        <f t="shared" si="23"/>
        <v>0</v>
      </c>
      <c r="GN28">
        <f t="shared" si="23"/>
        <v>0</v>
      </c>
      <c r="GO28">
        <f t="shared" si="24"/>
        <v>0</v>
      </c>
      <c r="GP28">
        <f t="shared" si="25"/>
        <v>5.5</v>
      </c>
      <c r="GQ28">
        <f t="shared" si="26"/>
        <v>0</v>
      </c>
      <c r="GR28">
        <f t="shared" si="27"/>
        <v>0</v>
      </c>
      <c r="GS28">
        <f t="shared" si="28"/>
        <v>0</v>
      </c>
      <c r="GT28">
        <f t="shared" si="28"/>
        <v>4</v>
      </c>
      <c r="GU28">
        <f t="shared" si="28"/>
        <v>2.5</v>
      </c>
      <c r="GV28">
        <f t="shared" si="29"/>
        <v>1</v>
      </c>
      <c r="GW28">
        <f t="shared" si="29"/>
        <v>0.25</v>
      </c>
      <c r="GX28">
        <f t="shared" si="29"/>
        <v>0</v>
      </c>
      <c r="GY28">
        <f t="shared" si="30"/>
        <v>0</v>
      </c>
      <c r="GZ28">
        <f t="shared" si="31"/>
        <v>0</v>
      </c>
      <c r="HA28">
        <f t="shared" si="32"/>
        <v>0</v>
      </c>
      <c r="HB28">
        <f t="shared" si="33"/>
        <v>0</v>
      </c>
      <c r="HC28">
        <f t="shared" si="34"/>
        <v>0</v>
      </c>
      <c r="HD28">
        <f t="shared" si="35"/>
        <v>0.25</v>
      </c>
      <c r="HE28">
        <f t="shared" si="36"/>
        <v>0</v>
      </c>
      <c r="HF28">
        <f t="shared" si="37"/>
        <v>0</v>
      </c>
      <c r="HG28">
        <f t="shared" si="38"/>
        <v>0</v>
      </c>
      <c r="HH28">
        <f t="shared" si="39"/>
        <v>0</v>
      </c>
      <c r="HI28">
        <f t="shared" si="40"/>
        <v>0</v>
      </c>
      <c r="HJ28">
        <f t="shared" si="41"/>
        <v>0</v>
      </c>
      <c r="HK28">
        <f t="shared" si="42"/>
        <v>0</v>
      </c>
      <c r="HL28">
        <f t="shared" si="43"/>
        <v>0</v>
      </c>
      <c r="HM28">
        <f t="shared" si="44"/>
        <v>1.5</v>
      </c>
      <c r="HO28" s="51">
        <v>49</v>
      </c>
      <c r="HP28" t="s">
        <v>440</v>
      </c>
      <c r="HQ28" t="s">
        <v>439</v>
      </c>
      <c r="HR28">
        <v>72.25</v>
      </c>
      <c r="HS28">
        <v>73.125</v>
      </c>
      <c r="HT28">
        <v>78.125</v>
      </c>
      <c r="HU28">
        <v>2.125</v>
      </c>
      <c r="HV28" s="51">
        <v>49</v>
      </c>
      <c r="HW28">
        <f t="shared" si="45"/>
        <v>0</v>
      </c>
      <c r="HX28">
        <f t="shared" si="45"/>
        <v>0</v>
      </c>
      <c r="HY28">
        <f t="shared" si="46"/>
        <v>3.5</v>
      </c>
      <c r="HZ28">
        <f t="shared" si="47"/>
        <v>15</v>
      </c>
      <c r="IA28">
        <f t="shared" si="48"/>
        <v>0</v>
      </c>
      <c r="IB28">
        <f t="shared" si="48"/>
        <v>0</v>
      </c>
      <c r="IC28">
        <f t="shared" si="48"/>
        <v>0</v>
      </c>
      <c r="ID28">
        <f t="shared" si="49"/>
        <v>0</v>
      </c>
      <c r="IE28">
        <f t="shared" si="50"/>
        <v>0</v>
      </c>
      <c r="IF28">
        <f t="shared" si="51"/>
        <v>0</v>
      </c>
      <c r="IG28">
        <f t="shared" si="52"/>
        <v>7.5</v>
      </c>
      <c r="IH28">
        <f t="shared" si="53"/>
        <v>2.75</v>
      </c>
      <c r="II28">
        <f t="shared" si="54"/>
        <v>0</v>
      </c>
      <c r="IJ28">
        <f t="shared" si="55"/>
        <v>0</v>
      </c>
      <c r="IK28">
        <f t="shared" si="56"/>
        <v>0</v>
      </c>
      <c r="IL28">
        <f t="shared" si="62"/>
        <v>0</v>
      </c>
      <c r="IM28">
        <f t="shared" si="57"/>
        <v>12</v>
      </c>
      <c r="IN28">
        <f t="shared" si="58"/>
        <v>0.25</v>
      </c>
      <c r="IO28">
        <f t="shared" si="60"/>
        <v>5926.75</v>
      </c>
      <c r="IP28">
        <f t="shared" si="60"/>
        <v>29.25</v>
      </c>
      <c r="IQ28">
        <f t="shared" si="60"/>
        <v>0</v>
      </c>
      <c r="IR28">
        <f t="shared" si="60"/>
        <v>0</v>
      </c>
      <c r="IS28">
        <f t="shared" si="60"/>
        <v>0</v>
      </c>
      <c r="IT28">
        <f t="shared" si="60"/>
        <v>0</v>
      </c>
      <c r="IU28">
        <f t="shared" si="60"/>
        <v>0</v>
      </c>
      <c r="IV28">
        <f t="shared" si="60"/>
        <v>5.5</v>
      </c>
      <c r="IW28">
        <f t="shared" si="60"/>
        <v>0</v>
      </c>
      <c r="IX28">
        <f t="shared" si="60"/>
        <v>0</v>
      </c>
      <c r="IY28">
        <f t="shared" si="59"/>
        <v>6.5</v>
      </c>
      <c r="IZ28">
        <f t="shared" si="63"/>
        <v>1.25</v>
      </c>
      <c r="JA28">
        <f t="shared" si="61"/>
        <v>0</v>
      </c>
      <c r="JB28">
        <f t="shared" si="61"/>
        <v>0</v>
      </c>
      <c r="JC28">
        <f t="shared" si="61"/>
        <v>0</v>
      </c>
      <c r="JD28">
        <f t="shared" si="61"/>
        <v>0</v>
      </c>
      <c r="JE28">
        <f t="shared" si="61"/>
        <v>0</v>
      </c>
      <c r="JF28">
        <f t="shared" si="61"/>
        <v>0.25</v>
      </c>
      <c r="JG28">
        <f t="shared" si="61"/>
        <v>0</v>
      </c>
      <c r="JH28">
        <f t="shared" si="61"/>
        <v>0</v>
      </c>
      <c r="JI28">
        <f t="shared" si="61"/>
        <v>0</v>
      </c>
      <c r="JJ28">
        <f t="shared" si="61"/>
        <v>0</v>
      </c>
      <c r="JK28">
        <f t="shared" si="61"/>
        <v>0</v>
      </c>
      <c r="JL28">
        <f t="shared" si="61"/>
        <v>0</v>
      </c>
      <c r="JM28">
        <f t="shared" si="61"/>
        <v>0</v>
      </c>
      <c r="JN28">
        <f t="shared" si="61"/>
        <v>0</v>
      </c>
      <c r="JO28">
        <f t="shared" si="61"/>
        <v>1.5</v>
      </c>
    </row>
    <row r="29" spans="2:275" x14ac:dyDescent="0.25">
      <c r="B29" s="51">
        <v>50</v>
      </c>
      <c r="C29" t="s">
        <v>0</v>
      </c>
      <c r="D29" t="s">
        <v>439</v>
      </c>
      <c r="E29">
        <v>85.125</v>
      </c>
      <c r="F29">
        <v>135.625</v>
      </c>
      <c r="G29">
        <v>155</v>
      </c>
      <c r="H29">
        <v>2.125</v>
      </c>
      <c r="I29" s="51">
        <v>50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25.5</v>
      </c>
      <c r="X29">
        <v>0</v>
      </c>
      <c r="Y29">
        <v>0.75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1</v>
      </c>
      <c r="BD29">
        <v>0</v>
      </c>
      <c r="BE29">
        <v>1.5</v>
      </c>
      <c r="BF29">
        <v>8.25</v>
      </c>
      <c r="BG29">
        <v>2.75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2.75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5620</v>
      </c>
      <c r="CG29">
        <v>36.25</v>
      </c>
      <c r="CH29">
        <v>330</v>
      </c>
      <c r="CI29">
        <v>1.25</v>
      </c>
      <c r="CJ29">
        <v>0</v>
      </c>
      <c r="CK29">
        <v>8.75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3.25</v>
      </c>
      <c r="CT29">
        <v>3.25</v>
      </c>
      <c r="CU29">
        <v>0.25</v>
      </c>
      <c r="CV29">
        <v>0.25</v>
      </c>
      <c r="CW29">
        <v>0</v>
      </c>
      <c r="CX29">
        <v>5.75</v>
      </c>
      <c r="CY29">
        <v>0</v>
      </c>
      <c r="CZ29">
        <v>2.5</v>
      </c>
      <c r="DA29">
        <v>0.5</v>
      </c>
      <c r="DB29">
        <v>0</v>
      </c>
      <c r="DC29">
        <v>2</v>
      </c>
      <c r="DD29">
        <v>0.5</v>
      </c>
      <c r="DE29">
        <v>0</v>
      </c>
      <c r="DF29">
        <v>0</v>
      </c>
      <c r="DG29">
        <v>0.25</v>
      </c>
      <c r="DH29">
        <v>0.25</v>
      </c>
      <c r="DI29">
        <v>0</v>
      </c>
      <c r="DJ29">
        <v>0.25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4.25</v>
      </c>
      <c r="EP29" s="51">
        <v>50</v>
      </c>
      <c r="EQ29" t="s">
        <v>0</v>
      </c>
      <c r="ER29" t="s">
        <v>439</v>
      </c>
      <c r="ES29">
        <v>85.125</v>
      </c>
      <c r="ET29">
        <v>135.625</v>
      </c>
      <c r="EU29">
        <v>155</v>
      </c>
      <c r="EV29">
        <v>2.125</v>
      </c>
      <c r="EW29" s="51">
        <v>50</v>
      </c>
      <c r="EX29">
        <f t="shared" si="4"/>
        <v>0</v>
      </c>
      <c r="EY29">
        <f t="shared" si="5"/>
        <v>0</v>
      </c>
      <c r="EZ29">
        <f t="shared" si="6"/>
        <v>0</v>
      </c>
      <c r="FA29">
        <f t="shared" si="6"/>
        <v>0</v>
      </c>
      <c r="FB29">
        <f t="shared" si="6"/>
        <v>0</v>
      </c>
      <c r="FC29">
        <f t="shared" si="6"/>
        <v>2</v>
      </c>
      <c r="FD29">
        <f t="shared" si="7"/>
        <v>0</v>
      </c>
      <c r="FE29">
        <f t="shared" si="7"/>
        <v>26.25</v>
      </c>
      <c r="FF29">
        <f t="shared" si="8"/>
        <v>0</v>
      </c>
      <c r="FG29">
        <f t="shared" si="9"/>
        <v>0</v>
      </c>
      <c r="FH29">
        <f t="shared" si="10"/>
        <v>0</v>
      </c>
      <c r="FI29">
        <f t="shared" si="11"/>
        <v>0</v>
      </c>
      <c r="FJ29">
        <f t="shared" si="11"/>
        <v>0</v>
      </c>
      <c r="FK29">
        <f t="shared" si="11"/>
        <v>0</v>
      </c>
      <c r="FL29">
        <f t="shared" si="11"/>
        <v>0</v>
      </c>
      <c r="FM29">
        <f t="shared" si="12"/>
        <v>0</v>
      </c>
      <c r="FN29">
        <f t="shared" si="12"/>
        <v>0</v>
      </c>
      <c r="FO29">
        <f t="shared" si="12"/>
        <v>0</v>
      </c>
      <c r="FP29">
        <f t="shared" si="13"/>
        <v>0</v>
      </c>
      <c r="FQ29">
        <f t="shared" si="13"/>
        <v>0</v>
      </c>
      <c r="FR29">
        <f t="shared" si="13"/>
        <v>0</v>
      </c>
      <c r="FS29">
        <f t="shared" si="14"/>
        <v>0</v>
      </c>
      <c r="FT29">
        <f t="shared" si="14"/>
        <v>1.5</v>
      </c>
      <c r="FU29">
        <f t="shared" si="14"/>
        <v>10.25</v>
      </c>
      <c r="FV29">
        <f t="shared" si="14"/>
        <v>3.75</v>
      </c>
      <c r="FW29">
        <f t="shared" si="15"/>
        <v>0</v>
      </c>
      <c r="FX29">
        <f t="shared" si="15"/>
        <v>0</v>
      </c>
      <c r="FY29">
        <f t="shared" si="15"/>
        <v>0</v>
      </c>
      <c r="FZ29">
        <f t="shared" si="16"/>
        <v>0</v>
      </c>
      <c r="GA29">
        <f t="shared" si="16"/>
        <v>0</v>
      </c>
      <c r="GB29">
        <f t="shared" si="17"/>
        <v>0</v>
      </c>
      <c r="GC29">
        <f t="shared" si="18"/>
        <v>0</v>
      </c>
      <c r="GD29">
        <f t="shared" si="18"/>
        <v>2.75</v>
      </c>
      <c r="GE29">
        <f t="shared" si="18"/>
        <v>0</v>
      </c>
      <c r="GF29">
        <f t="shared" si="19"/>
        <v>0</v>
      </c>
      <c r="GG29">
        <f t="shared" si="19"/>
        <v>0</v>
      </c>
      <c r="GH29">
        <f t="shared" si="19"/>
        <v>0</v>
      </c>
      <c r="GI29">
        <f t="shared" si="20"/>
        <v>5950</v>
      </c>
      <c r="GJ29">
        <f t="shared" si="20"/>
        <v>37.5</v>
      </c>
      <c r="GK29">
        <f t="shared" si="21"/>
        <v>8.75</v>
      </c>
      <c r="GL29">
        <f t="shared" si="22"/>
        <v>0</v>
      </c>
      <c r="GM29">
        <f t="shared" si="23"/>
        <v>0</v>
      </c>
      <c r="GN29">
        <f t="shared" si="23"/>
        <v>0</v>
      </c>
      <c r="GO29">
        <f t="shared" si="24"/>
        <v>0</v>
      </c>
      <c r="GP29">
        <f t="shared" si="25"/>
        <v>6.5</v>
      </c>
      <c r="GQ29">
        <f t="shared" si="26"/>
        <v>0.5</v>
      </c>
      <c r="GR29">
        <f t="shared" si="27"/>
        <v>5.75</v>
      </c>
      <c r="GS29">
        <f t="shared" si="28"/>
        <v>0</v>
      </c>
      <c r="GT29">
        <f t="shared" si="28"/>
        <v>4.5</v>
      </c>
      <c r="GU29">
        <f t="shared" si="28"/>
        <v>1</v>
      </c>
      <c r="GV29">
        <f t="shared" si="29"/>
        <v>0.25</v>
      </c>
      <c r="GW29">
        <f t="shared" si="29"/>
        <v>0</v>
      </c>
      <c r="GX29">
        <f t="shared" si="29"/>
        <v>0.5</v>
      </c>
      <c r="GY29">
        <f t="shared" si="30"/>
        <v>0</v>
      </c>
      <c r="GZ29">
        <f t="shared" si="31"/>
        <v>0</v>
      </c>
      <c r="HA29">
        <f t="shared" si="32"/>
        <v>0</v>
      </c>
      <c r="HB29">
        <f t="shared" si="33"/>
        <v>0</v>
      </c>
      <c r="HC29">
        <f t="shared" si="34"/>
        <v>0</v>
      </c>
      <c r="HD29">
        <f t="shared" si="35"/>
        <v>0</v>
      </c>
      <c r="HE29">
        <f t="shared" si="36"/>
        <v>0</v>
      </c>
      <c r="HF29">
        <f t="shared" si="37"/>
        <v>0</v>
      </c>
      <c r="HG29">
        <f t="shared" si="38"/>
        <v>0</v>
      </c>
      <c r="HH29">
        <f t="shared" si="39"/>
        <v>0</v>
      </c>
      <c r="HI29">
        <f t="shared" si="40"/>
        <v>0</v>
      </c>
      <c r="HJ29">
        <f t="shared" si="41"/>
        <v>0</v>
      </c>
      <c r="HK29">
        <f t="shared" si="42"/>
        <v>0</v>
      </c>
      <c r="HL29">
        <f t="shared" si="43"/>
        <v>0</v>
      </c>
      <c r="HM29">
        <f t="shared" si="44"/>
        <v>4.25</v>
      </c>
      <c r="HO29" s="51">
        <v>50</v>
      </c>
      <c r="HP29" t="s">
        <v>0</v>
      </c>
      <c r="HQ29" t="s">
        <v>439</v>
      </c>
      <c r="HR29">
        <v>85.125</v>
      </c>
      <c r="HS29">
        <v>135.625</v>
      </c>
      <c r="HT29">
        <v>155</v>
      </c>
      <c r="HU29">
        <v>2.125</v>
      </c>
      <c r="HV29" s="51">
        <v>50</v>
      </c>
      <c r="HW29">
        <f t="shared" si="45"/>
        <v>0</v>
      </c>
      <c r="HX29">
        <f t="shared" si="45"/>
        <v>0</v>
      </c>
      <c r="HY29">
        <f t="shared" si="46"/>
        <v>2</v>
      </c>
      <c r="HZ29">
        <f t="shared" si="47"/>
        <v>26.25</v>
      </c>
      <c r="IA29">
        <f t="shared" si="48"/>
        <v>0</v>
      </c>
      <c r="IB29">
        <f t="shared" si="48"/>
        <v>0</v>
      </c>
      <c r="IC29">
        <f t="shared" si="48"/>
        <v>0</v>
      </c>
      <c r="ID29">
        <f t="shared" si="49"/>
        <v>0</v>
      </c>
      <c r="IE29">
        <f t="shared" si="50"/>
        <v>0</v>
      </c>
      <c r="IF29">
        <f t="shared" si="51"/>
        <v>0</v>
      </c>
      <c r="IG29">
        <f t="shared" si="52"/>
        <v>11.75</v>
      </c>
      <c r="IH29">
        <f t="shared" si="53"/>
        <v>3.75</v>
      </c>
      <c r="II29">
        <f t="shared" si="54"/>
        <v>0</v>
      </c>
      <c r="IJ29">
        <f t="shared" si="55"/>
        <v>0</v>
      </c>
      <c r="IK29">
        <f t="shared" si="56"/>
        <v>0</v>
      </c>
      <c r="IL29">
        <f t="shared" si="62"/>
        <v>0</v>
      </c>
      <c r="IM29">
        <f t="shared" si="57"/>
        <v>2.75</v>
      </c>
      <c r="IN29">
        <f t="shared" si="58"/>
        <v>0</v>
      </c>
      <c r="IO29">
        <f t="shared" si="60"/>
        <v>5950</v>
      </c>
      <c r="IP29">
        <f t="shared" si="60"/>
        <v>37.5</v>
      </c>
      <c r="IQ29">
        <f t="shared" si="60"/>
        <v>8.75</v>
      </c>
      <c r="IR29">
        <f t="shared" si="60"/>
        <v>0</v>
      </c>
      <c r="IS29">
        <f t="shared" si="60"/>
        <v>0</v>
      </c>
      <c r="IT29">
        <f t="shared" si="60"/>
        <v>0</v>
      </c>
      <c r="IU29">
        <f t="shared" si="60"/>
        <v>0</v>
      </c>
      <c r="IV29">
        <f t="shared" si="60"/>
        <v>6.5</v>
      </c>
      <c r="IW29">
        <f t="shared" si="60"/>
        <v>0.5</v>
      </c>
      <c r="IX29">
        <f t="shared" si="60"/>
        <v>5.75</v>
      </c>
      <c r="IY29">
        <f t="shared" si="59"/>
        <v>5.5</v>
      </c>
      <c r="IZ29">
        <f t="shared" si="63"/>
        <v>0.75</v>
      </c>
      <c r="JA29">
        <f t="shared" si="61"/>
        <v>0</v>
      </c>
      <c r="JB29">
        <f t="shared" si="61"/>
        <v>0</v>
      </c>
      <c r="JC29">
        <f t="shared" si="61"/>
        <v>0</v>
      </c>
      <c r="JD29">
        <f t="shared" si="61"/>
        <v>0</v>
      </c>
      <c r="JE29">
        <f t="shared" si="61"/>
        <v>0</v>
      </c>
      <c r="JF29">
        <f t="shared" si="61"/>
        <v>0</v>
      </c>
      <c r="JG29">
        <f t="shared" si="61"/>
        <v>0</v>
      </c>
      <c r="JH29">
        <f t="shared" si="61"/>
        <v>0</v>
      </c>
      <c r="JI29">
        <f t="shared" si="61"/>
        <v>0</v>
      </c>
      <c r="JJ29">
        <f t="shared" si="61"/>
        <v>0</v>
      </c>
      <c r="JK29">
        <f t="shared" si="61"/>
        <v>0</v>
      </c>
      <c r="JL29">
        <f t="shared" si="61"/>
        <v>0</v>
      </c>
      <c r="JM29">
        <f t="shared" si="61"/>
        <v>0</v>
      </c>
      <c r="JN29">
        <f t="shared" si="61"/>
        <v>0</v>
      </c>
      <c r="JO29">
        <f t="shared" si="61"/>
        <v>4.25</v>
      </c>
    </row>
    <row r="30" spans="2:275" x14ac:dyDescent="0.25">
      <c r="B30" s="51">
        <v>51</v>
      </c>
      <c r="C30" t="s">
        <v>440</v>
      </c>
      <c r="D30" t="s">
        <v>439</v>
      </c>
      <c r="E30">
        <v>63</v>
      </c>
      <c r="F30">
        <v>86.25</v>
      </c>
      <c r="G30">
        <v>42.75</v>
      </c>
      <c r="H30">
        <v>3</v>
      </c>
      <c r="I30" s="51">
        <v>51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0.25</v>
      </c>
      <c r="R30">
        <v>0</v>
      </c>
      <c r="S30">
        <v>0.25</v>
      </c>
      <c r="T30">
        <v>0</v>
      </c>
      <c r="U30">
        <v>0.5</v>
      </c>
      <c r="V30">
        <v>0</v>
      </c>
      <c r="W30">
        <v>13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9.25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0.5</v>
      </c>
      <c r="BC30">
        <v>0.25</v>
      </c>
      <c r="BD30">
        <v>0</v>
      </c>
      <c r="BE30">
        <v>0.75</v>
      </c>
      <c r="BF30">
        <v>7.25</v>
      </c>
      <c r="BG30">
        <v>3.5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10.75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1181.5</v>
      </c>
      <c r="CG30">
        <v>8.75</v>
      </c>
      <c r="CH30">
        <v>67.5</v>
      </c>
      <c r="CI30">
        <v>2</v>
      </c>
      <c r="CJ30">
        <v>0</v>
      </c>
      <c r="CK30">
        <v>0.5</v>
      </c>
      <c r="CL30">
        <v>0</v>
      </c>
      <c r="CM30">
        <v>0</v>
      </c>
      <c r="CN30">
        <v>0</v>
      </c>
      <c r="CO30">
        <v>0.75</v>
      </c>
      <c r="CP30">
        <v>0</v>
      </c>
      <c r="CQ30">
        <v>0</v>
      </c>
      <c r="CR30">
        <v>0</v>
      </c>
      <c r="CS30">
        <v>2</v>
      </c>
      <c r="CT30">
        <v>4.5</v>
      </c>
      <c r="CU30">
        <v>0.25</v>
      </c>
      <c r="CV30">
        <v>0</v>
      </c>
      <c r="CW30">
        <v>0</v>
      </c>
      <c r="CX30">
        <v>1.5</v>
      </c>
      <c r="CY30">
        <v>0</v>
      </c>
      <c r="CZ30">
        <v>1.5</v>
      </c>
      <c r="DA30">
        <v>0</v>
      </c>
      <c r="DB30">
        <v>0</v>
      </c>
      <c r="DC30">
        <v>0</v>
      </c>
      <c r="DD30">
        <v>0.25</v>
      </c>
      <c r="DE30">
        <v>0</v>
      </c>
      <c r="DF30">
        <v>0</v>
      </c>
      <c r="DG30">
        <v>0</v>
      </c>
      <c r="DH30">
        <v>0.25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0.25</v>
      </c>
      <c r="EP30" s="51">
        <v>51</v>
      </c>
      <c r="EQ30" t="s">
        <v>440</v>
      </c>
      <c r="ER30" t="s">
        <v>439</v>
      </c>
      <c r="ES30">
        <v>63</v>
      </c>
      <c r="ET30">
        <v>86.25</v>
      </c>
      <c r="EU30">
        <v>42.75</v>
      </c>
      <c r="EV30">
        <v>3</v>
      </c>
      <c r="EW30" s="51">
        <v>51</v>
      </c>
      <c r="EX30">
        <f t="shared" si="4"/>
        <v>0</v>
      </c>
      <c r="EY30">
        <f t="shared" si="5"/>
        <v>0</v>
      </c>
      <c r="EZ30">
        <f t="shared" si="6"/>
        <v>0</v>
      </c>
      <c r="FA30">
        <f t="shared" si="6"/>
        <v>0.25</v>
      </c>
      <c r="FB30">
        <f t="shared" si="6"/>
        <v>0</v>
      </c>
      <c r="FC30">
        <f t="shared" si="6"/>
        <v>0.75</v>
      </c>
      <c r="FD30">
        <f t="shared" si="7"/>
        <v>0</v>
      </c>
      <c r="FE30">
        <f t="shared" si="7"/>
        <v>13</v>
      </c>
      <c r="FF30">
        <f t="shared" si="8"/>
        <v>0</v>
      </c>
      <c r="FG30">
        <f t="shared" si="9"/>
        <v>0</v>
      </c>
      <c r="FH30">
        <f t="shared" si="10"/>
        <v>0</v>
      </c>
      <c r="FI30">
        <f t="shared" si="11"/>
        <v>9.25</v>
      </c>
      <c r="FJ30">
        <f t="shared" si="11"/>
        <v>0</v>
      </c>
      <c r="FK30">
        <f t="shared" si="11"/>
        <v>0</v>
      </c>
      <c r="FL30">
        <f t="shared" si="11"/>
        <v>0</v>
      </c>
      <c r="FM30">
        <f t="shared" si="12"/>
        <v>0</v>
      </c>
      <c r="FN30">
        <f t="shared" si="12"/>
        <v>0</v>
      </c>
      <c r="FO30">
        <f t="shared" si="12"/>
        <v>0</v>
      </c>
      <c r="FP30">
        <f t="shared" si="13"/>
        <v>0</v>
      </c>
      <c r="FQ30">
        <f t="shared" si="13"/>
        <v>0</v>
      </c>
      <c r="FR30">
        <f t="shared" si="13"/>
        <v>0</v>
      </c>
      <c r="FS30">
        <f t="shared" si="14"/>
        <v>0</v>
      </c>
      <c r="FT30">
        <f t="shared" si="14"/>
        <v>0.75</v>
      </c>
      <c r="FU30">
        <f t="shared" si="14"/>
        <v>7.75</v>
      </c>
      <c r="FV30">
        <f t="shared" si="14"/>
        <v>3.75</v>
      </c>
      <c r="FW30">
        <f t="shared" si="15"/>
        <v>0</v>
      </c>
      <c r="FX30">
        <f t="shared" si="15"/>
        <v>0</v>
      </c>
      <c r="FY30">
        <f t="shared" si="15"/>
        <v>0</v>
      </c>
      <c r="FZ30">
        <f t="shared" si="16"/>
        <v>0</v>
      </c>
      <c r="GA30">
        <f t="shared" si="16"/>
        <v>0</v>
      </c>
      <c r="GB30">
        <f t="shared" si="17"/>
        <v>0</v>
      </c>
      <c r="GC30">
        <f t="shared" si="18"/>
        <v>0</v>
      </c>
      <c r="GD30">
        <f t="shared" si="18"/>
        <v>10.75</v>
      </c>
      <c r="GE30">
        <f t="shared" si="18"/>
        <v>0</v>
      </c>
      <c r="GF30">
        <f t="shared" si="19"/>
        <v>0</v>
      </c>
      <c r="GG30">
        <f t="shared" si="19"/>
        <v>0</v>
      </c>
      <c r="GH30">
        <f t="shared" si="19"/>
        <v>0</v>
      </c>
      <c r="GI30">
        <f t="shared" si="20"/>
        <v>1249</v>
      </c>
      <c r="GJ30">
        <f t="shared" si="20"/>
        <v>10.75</v>
      </c>
      <c r="GK30">
        <f t="shared" si="21"/>
        <v>0.5</v>
      </c>
      <c r="GL30">
        <f t="shared" si="22"/>
        <v>0</v>
      </c>
      <c r="GM30">
        <f t="shared" si="23"/>
        <v>0.75</v>
      </c>
      <c r="GN30">
        <f t="shared" si="23"/>
        <v>0</v>
      </c>
      <c r="GO30">
        <f t="shared" si="24"/>
        <v>0</v>
      </c>
      <c r="GP30">
        <f t="shared" si="25"/>
        <v>6.5</v>
      </c>
      <c r="GQ30">
        <f t="shared" si="26"/>
        <v>0.25</v>
      </c>
      <c r="GR30">
        <f t="shared" si="27"/>
        <v>1.5</v>
      </c>
      <c r="GS30">
        <f t="shared" si="28"/>
        <v>0</v>
      </c>
      <c r="GT30">
        <f t="shared" si="28"/>
        <v>1.5</v>
      </c>
      <c r="GU30">
        <f t="shared" si="28"/>
        <v>0.25</v>
      </c>
      <c r="GV30">
        <f t="shared" si="29"/>
        <v>0.25</v>
      </c>
      <c r="GW30">
        <f t="shared" si="29"/>
        <v>0</v>
      </c>
      <c r="GX30">
        <f t="shared" si="29"/>
        <v>0</v>
      </c>
      <c r="GY30">
        <f t="shared" si="30"/>
        <v>0</v>
      </c>
      <c r="GZ30">
        <f t="shared" si="31"/>
        <v>0</v>
      </c>
      <c r="HA30">
        <f t="shared" si="32"/>
        <v>0</v>
      </c>
      <c r="HB30">
        <f t="shared" si="33"/>
        <v>0</v>
      </c>
      <c r="HC30">
        <f t="shared" si="34"/>
        <v>0</v>
      </c>
      <c r="HD30">
        <f t="shared" si="35"/>
        <v>0</v>
      </c>
      <c r="HE30">
        <f t="shared" si="36"/>
        <v>0</v>
      </c>
      <c r="HF30">
        <f t="shared" si="37"/>
        <v>0</v>
      </c>
      <c r="HG30">
        <f t="shared" si="38"/>
        <v>0</v>
      </c>
      <c r="HH30">
        <f t="shared" si="39"/>
        <v>0</v>
      </c>
      <c r="HI30">
        <f t="shared" si="40"/>
        <v>0</v>
      </c>
      <c r="HJ30">
        <f t="shared" si="41"/>
        <v>0</v>
      </c>
      <c r="HK30">
        <f t="shared" si="42"/>
        <v>0</v>
      </c>
      <c r="HL30">
        <f t="shared" si="43"/>
        <v>0</v>
      </c>
      <c r="HM30">
        <f t="shared" si="44"/>
        <v>0.25</v>
      </c>
      <c r="HO30" s="51">
        <v>51</v>
      </c>
      <c r="HP30" t="s">
        <v>440</v>
      </c>
      <c r="HQ30" t="s">
        <v>439</v>
      </c>
      <c r="HR30">
        <v>63</v>
      </c>
      <c r="HS30">
        <v>86.25</v>
      </c>
      <c r="HT30">
        <v>42.75</v>
      </c>
      <c r="HU30">
        <v>3</v>
      </c>
      <c r="HV30" s="51">
        <v>51</v>
      </c>
      <c r="HW30">
        <f t="shared" si="45"/>
        <v>0</v>
      </c>
      <c r="HX30">
        <f t="shared" si="45"/>
        <v>0</v>
      </c>
      <c r="HY30">
        <f t="shared" si="46"/>
        <v>1</v>
      </c>
      <c r="HZ30">
        <f t="shared" si="47"/>
        <v>13</v>
      </c>
      <c r="IA30">
        <f t="shared" si="48"/>
        <v>0</v>
      </c>
      <c r="IB30">
        <f t="shared" si="48"/>
        <v>0</v>
      </c>
      <c r="IC30">
        <f t="shared" si="48"/>
        <v>0</v>
      </c>
      <c r="ID30">
        <f t="shared" si="49"/>
        <v>9.25</v>
      </c>
      <c r="IE30">
        <f t="shared" si="50"/>
        <v>0</v>
      </c>
      <c r="IF30">
        <f t="shared" si="51"/>
        <v>0</v>
      </c>
      <c r="IG30">
        <f t="shared" si="52"/>
        <v>8.5</v>
      </c>
      <c r="IH30">
        <f t="shared" si="53"/>
        <v>3.75</v>
      </c>
      <c r="II30">
        <f t="shared" si="54"/>
        <v>0</v>
      </c>
      <c r="IJ30">
        <f t="shared" si="55"/>
        <v>0</v>
      </c>
      <c r="IK30">
        <f t="shared" si="56"/>
        <v>0</v>
      </c>
      <c r="IL30">
        <f t="shared" si="62"/>
        <v>0</v>
      </c>
      <c r="IM30">
        <f t="shared" si="57"/>
        <v>10.75</v>
      </c>
      <c r="IN30">
        <f t="shared" si="58"/>
        <v>0</v>
      </c>
      <c r="IO30">
        <f t="shared" si="60"/>
        <v>1249</v>
      </c>
      <c r="IP30">
        <f t="shared" si="60"/>
        <v>10.75</v>
      </c>
      <c r="IQ30">
        <f t="shared" si="60"/>
        <v>0.5</v>
      </c>
      <c r="IR30">
        <f t="shared" si="60"/>
        <v>0</v>
      </c>
      <c r="IS30">
        <f t="shared" si="60"/>
        <v>0.75</v>
      </c>
      <c r="IT30">
        <f t="shared" si="60"/>
        <v>0</v>
      </c>
      <c r="IU30">
        <f t="shared" si="60"/>
        <v>0</v>
      </c>
      <c r="IV30">
        <f t="shared" si="60"/>
        <v>6.5</v>
      </c>
      <c r="IW30">
        <f t="shared" si="60"/>
        <v>0.25</v>
      </c>
      <c r="IX30">
        <f t="shared" si="60"/>
        <v>1.5</v>
      </c>
      <c r="IY30">
        <f t="shared" si="59"/>
        <v>1.75</v>
      </c>
      <c r="IZ30">
        <f t="shared" si="63"/>
        <v>0.25</v>
      </c>
      <c r="JA30">
        <f t="shared" si="61"/>
        <v>0</v>
      </c>
      <c r="JB30">
        <f t="shared" si="61"/>
        <v>0</v>
      </c>
      <c r="JC30">
        <f t="shared" si="61"/>
        <v>0</v>
      </c>
      <c r="JD30">
        <f t="shared" si="61"/>
        <v>0</v>
      </c>
      <c r="JE30">
        <f t="shared" si="61"/>
        <v>0</v>
      </c>
      <c r="JF30">
        <f t="shared" si="61"/>
        <v>0</v>
      </c>
      <c r="JG30">
        <f t="shared" si="61"/>
        <v>0</v>
      </c>
      <c r="JH30">
        <f t="shared" si="61"/>
        <v>0</v>
      </c>
      <c r="JI30">
        <f t="shared" si="61"/>
        <v>0</v>
      </c>
      <c r="JJ30">
        <f t="shared" si="61"/>
        <v>0</v>
      </c>
      <c r="JK30">
        <f t="shared" si="61"/>
        <v>0</v>
      </c>
      <c r="JL30">
        <f t="shared" si="61"/>
        <v>0</v>
      </c>
      <c r="JM30">
        <f t="shared" si="61"/>
        <v>0</v>
      </c>
      <c r="JN30">
        <f t="shared" si="61"/>
        <v>0</v>
      </c>
      <c r="JO30">
        <f t="shared" si="61"/>
        <v>0.25</v>
      </c>
    </row>
    <row r="31" spans="2:275" x14ac:dyDescent="0.25">
      <c r="B31" s="51">
        <v>52</v>
      </c>
      <c r="C31" t="s">
        <v>0</v>
      </c>
      <c r="D31" t="s">
        <v>439</v>
      </c>
      <c r="E31">
        <v>63.75</v>
      </c>
      <c r="F31">
        <v>106.25</v>
      </c>
      <c r="G31">
        <v>78.5</v>
      </c>
      <c r="H31">
        <v>2.875</v>
      </c>
      <c r="I31" s="51">
        <v>52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0.25</v>
      </c>
      <c r="Q31">
        <v>0.25</v>
      </c>
      <c r="R31">
        <v>0</v>
      </c>
      <c r="S31">
        <v>0.25</v>
      </c>
      <c r="T31">
        <v>0</v>
      </c>
      <c r="U31">
        <v>0</v>
      </c>
      <c r="V31">
        <v>0</v>
      </c>
      <c r="W31">
        <v>13</v>
      </c>
      <c r="X31">
        <v>0</v>
      </c>
      <c r="Y31">
        <v>0</v>
      </c>
      <c r="Z31">
        <v>0.25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0.5</v>
      </c>
      <c r="AR31">
        <v>0.25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1.25</v>
      </c>
      <c r="BC31">
        <v>0.5</v>
      </c>
      <c r="BD31">
        <v>0</v>
      </c>
      <c r="BE31">
        <v>0.75</v>
      </c>
      <c r="BF31">
        <v>2</v>
      </c>
      <c r="BG31">
        <v>0.75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4.25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740</v>
      </c>
      <c r="CG31">
        <v>8.75</v>
      </c>
      <c r="CH31">
        <v>77.5</v>
      </c>
      <c r="CI31">
        <v>5.75</v>
      </c>
      <c r="CJ31">
        <v>0</v>
      </c>
      <c r="CK31">
        <v>8.75</v>
      </c>
      <c r="CL31">
        <v>0</v>
      </c>
      <c r="CM31">
        <v>0</v>
      </c>
      <c r="CN31">
        <v>0</v>
      </c>
      <c r="CO31">
        <v>0.5</v>
      </c>
      <c r="CP31">
        <v>0</v>
      </c>
      <c r="CQ31">
        <v>0</v>
      </c>
      <c r="CR31">
        <v>0</v>
      </c>
      <c r="CS31">
        <v>0.75</v>
      </c>
      <c r="CT31">
        <v>1.25</v>
      </c>
      <c r="CU31">
        <v>0</v>
      </c>
      <c r="CV31">
        <v>0.5</v>
      </c>
      <c r="CW31">
        <v>0</v>
      </c>
      <c r="CX31">
        <v>6.25</v>
      </c>
      <c r="CY31">
        <v>0</v>
      </c>
      <c r="CZ31">
        <v>0.5</v>
      </c>
      <c r="DA31">
        <v>0</v>
      </c>
      <c r="DB31">
        <v>0</v>
      </c>
      <c r="DC31">
        <v>0.75</v>
      </c>
      <c r="DD31">
        <v>0.25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0.5</v>
      </c>
      <c r="EP31" s="51">
        <v>52</v>
      </c>
      <c r="EQ31" t="s">
        <v>0</v>
      </c>
      <c r="ER31" t="s">
        <v>439</v>
      </c>
      <c r="ES31">
        <v>63.75</v>
      </c>
      <c r="ET31">
        <v>106.25</v>
      </c>
      <c r="EU31">
        <v>78.5</v>
      </c>
      <c r="EV31">
        <v>2.875</v>
      </c>
      <c r="EW31" s="51">
        <v>52</v>
      </c>
      <c r="EX31">
        <f t="shared" si="4"/>
        <v>0</v>
      </c>
      <c r="EY31">
        <f t="shared" si="5"/>
        <v>0</v>
      </c>
      <c r="EZ31">
        <f t="shared" si="6"/>
        <v>0</v>
      </c>
      <c r="FA31">
        <f t="shared" si="6"/>
        <v>0.25</v>
      </c>
      <c r="FB31">
        <f t="shared" si="6"/>
        <v>0.25</v>
      </c>
      <c r="FC31">
        <f t="shared" si="6"/>
        <v>0.25</v>
      </c>
      <c r="FD31">
        <f t="shared" si="7"/>
        <v>0</v>
      </c>
      <c r="FE31">
        <f t="shared" si="7"/>
        <v>13</v>
      </c>
      <c r="FF31">
        <f t="shared" si="8"/>
        <v>0.25</v>
      </c>
      <c r="FG31">
        <f t="shared" si="9"/>
        <v>0</v>
      </c>
      <c r="FH31">
        <f t="shared" si="10"/>
        <v>0</v>
      </c>
      <c r="FI31">
        <f t="shared" si="11"/>
        <v>5</v>
      </c>
      <c r="FJ31">
        <f t="shared" si="11"/>
        <v>0</v>
      </c>
      <c r="FK31">
        <f t="shared" si="11"/>
        <v>0</v>
      </c>
      <c r="FL31">
        <f t="shared" si="11"/>
        <v>0</v>
      </c>
      <c r="FM31">
        <f t="shared" si="12"/>
        <v>0.5</v>
      </c>
      <c r="FN31">
        <f t="shared" si="12"/>
        <v>0.25</v>
      </c>
      <c r="FO31">
        <f t="shared" si="12"/>
        <v>0</v>
      </c>
      <c r="FP31">
        <f t="shared" si="13"/>
        <v>0</v>
      </c>
      <c r="FQ31">
        <f t="shared" si="13"/>
        <v>0</v>
      </c>
      <c r="FR31">
        <f t="shared" si="13"/>
        <v>0</v>
      </c>
      <c r="FS31">
        <f t="shared" si="14"/>
        <v>0</v>
      </c>
      <c r="FT31">
        <f t="shared" si="14"/>
        <v>0.75</v>
      </c>
      <c r="FU31">
        <f t="shared" si="14"/>
        <v>3.25</v>
      </c>
      <c r="FV31">
        <f t="shared" si="14"/>
        <v>1.25</v>
      </c>
      <c r="FW31">
        <f t="shared" si="15"/>
        <v>0</v>
      </c>
      <c r="FX31">
        <f t="shared" si="15"/>
        <v>0</v>
      </c>
      <c r="FY31">
        <f t="shared" si="15"/>
        <v>0</v>
      </c>
      <c r="FZ31">
        <f t="shared" si="16"/>
        <v>0</v>
      </c>
      <c r="GA31">
        <f t="shared" si="16"/>
        <v>0</v>
      </c>
      <c r="GB31">
        <f t="shared" si="17"/>
        <v>0</v>
      </c>
      <c r="GC31">
        <f t="shared" si="18"/>
        <v>0</v>
      </c>
      <c r="GD31">
        <f t="shared" si="18"/>
        <v>4.25</v>
      </c>
      <c r="GE31">
        <f t="shared" si="18"/>
        <v>0</v>
      </c>
      <c r="GF31">
        <f t="shared" si="19"/>
        <v>0</v>
      </c>
      <c r="GG31">
        <f t="shared" si="19"/>
        <v>0</v>
      </c>
      <c r="GH31">
        <f t="shared" si="19"/>
        <v>0</v>
      </c>
      <c r="GI31">
        <f t="shared" si="20"/>
        <v>817.5</v>
      </c>
      <c r="GJ31">
        <f t="shared" si="20"/>
        <v>14.5</v>
      </c>
      <c r="GK31">
        <f t="shared" si="21"/>
        <v>8.75</v>
      </c>
      <c r="GL31">
        <f t="shared" si="22"/>
        <v>0</v>
      </c>
      <c r="GM31">
        <f t="shared" si="23"/>
        <v>0.5</v>
      </c>
      <c r="GN31">
        <f t="shared" si="23"/>
        <v>0</v>
      </c>
      <c r="GO31">
        <f t="shared" si="24"/>
        <v>0</v>
      </c>
      <c r="GP31">
        <f t="shared" si="25"/>
        <v>2</v>
      </c>
      <c r="GQ31">
        <f t="shared" si="26"/>
        <v>0.5</v>
      </c>
      <c r="GR31">
        <f t="shared" si="27"/>
        <v>6.25</v>
      </c>
      <c r="GS31">
        <f t="shared" si="28"/>
        <v>0</v>
      </c>
      <c r="GT31">
        <f t="shared" si="28"/>
        <v>1.25</v>
      </c>
      <c r="GU31">
        <f t="shared" si="28"/>
        <v>0.25</v>
      </c>
      <c r="GV31">
        <f t="shared" si="29"/>
        <v>0</v>
      </c>
      <c r="GW31">
        <f t="shared" si="29"/>
        <v>0</v>
      </c>
      <c r="GX31">
        <f t="shared" si="29"/>
        <v>0</v>
      </c>
      <c r="GY31">
        <f t="shared" si="30"/>
        <v>0</v>
      </c>
      <c r="GZ31">
        <f t="shared" si="31"/>
        <v>0</v>
      </c>
      <c r="HA31">
        <f t="shared" si="32"/>
        <v>0</v>
      </c>
      <c r="HB31">
        <f t="shared" si="33"/>
        <v>0</v>
      </c>
      <c r="HC31">
        <f t="shared" si="34"/>
        <v>0</v>
      </c>
      <c r="HD31">
        <f t="shared" si="35"/>
        <v>0</v>
      </c>
      <c r="HE31">
        <f t="shared" si="36"/>
        <v>0</v>
      </c>
      <c r="HF31">
        <f t="shared" si="37"/>
        <v>0</v>
      </c>
      <c r="HG31">
        <f t="shared" si="38"/>
        <v>0</v>
      </c>
      <c r="HH31">
        <f t="shared" si="39"/>
        <v>0</v>
      </c>
      <c r="HI31">
        <f t="shared" si="40"/>
        <v>0</v>
      </c>
      <c r="HJ31">
        <f t="shared" si="41"/>
        <v>0</v>
      </c>
      <c r="HK31">
        <f t="shared" si="42"/>
        <v>0</v>
      </c>
      <c r="HL31">
        <f t="shared" si="43"/>
        <v>0</v>
      </c>
      <c r="HM31">
        <f t="shared" si="44"/>
        <v>0.5</v>
      </c>
      <c r="HO31" s="51">
        <v>52</v>
      </c>
      <c r="HP31" t="s">
        <v>0</v>
      </c>
      <c r="HQ31" t="s">
        <v>439</v>
      </c>
      <c r="HR31">
        <v>63.75</v>
      </c>
      <c r="HS31">
        <v>106.25</v>
      </c>
      <c r="HT31">
        <v>78.5</v>
      </c>
      <c r="HU31">
        <v>2.875</v>
      </c>
      <c r="HV31" s="51">
        <v>52</v>
      </c>
      <c r="HW31">
        <f t="shared" si="45"/>
        <v>0</v>
      </c>
      <c r="HX31">
        <f t="shared" si="45"/>
        <v>0</v>
      </c>
      <c r="HY31">
        <f t="shared" si="46"/>
        <v>0.75</v>
      </c>
      <c r="HZ31">
        <f t="shared" si="47"/>
        <v>13</v>
      </c>
      <c r="IA31">
        <f t="shared" si="48"/>
        <v>0.25</v>
      </c>
      <c r="IB31">
        <f t="shared" si="48"/>
        <v>0</v>
      </c>
      <c r="IC31">
        <f t="shared" si="48"/>
        <v>0</v>
      </c>
      <c r="ID31">
        <f t="shared" si="49"/>
        <v>5</v>
      </c>
      <c r="IE31">
        <f t="shared" si="50"/>
        <v>0.75</v>
      </c>
      <c r="IF31">
        <f t="shared" si="51"/>
        <v>0</v>
      </c>
      <c r="IG31">
        <f t="shared" si="52"/>
        <v>4</v>
      </c>
      <c r="IH31">
        <f t="shared" si="53"/>
        <v>1.25</v>
      </c>
      <c r="II31">
        <f t="shared" si="54"/>
        <v>0</v>
      </c>
      <c r="IJ31">
        <f t="shared" si="55"/>
        <v>0</v>
      </c>
      <c r="IK31">
        <f t="shared" si="56"/>
        <v>0</v>
      </c>
      <c r="IL31">
        <f t="shared" si="62"/>
        <v>0</v>
      </c>
      <c r="IM31">
        <f t="shared" si="57"/>
        <v>4.25</v>
      </c>
      <c r="IN31">
        <f t="shared" si="58"/>
        <v>0</v>
      </c>
      <c r="IO31">
        <f t="shared" si="60"/>
        <v>817.5</v>
      </c>
      <c r="IP31">
        <f t="shared" si="60"/>
        <v>14.5</v>
      </c>
      <c r="IQ31">
        <f t="shared" si="60"/>
        <v>8.75</v>
      </c>
      <c r="IR31">
        <f t="shared" si="60"/>
        <v>0</v>
      </c>
      <c r="IS31">
        <f t="shared" si="60"/>
        <v>0.5</v>
      </c>
      <c r="IT31">
        <f t="shared" si="60"/>
        <v>0</v>
      </c>
      <c r="IU31">
        <f t="shared" si="60"/>
        <v>0</v>
      </c>
      <c r="IV31">
        <f t="shared" si="60"/>
        <v>2</v>
      </c>
      <c r="IW31">
        <f t="shared" si="60"/>
        <v>0.5</v>
      </c>
      <c r="IX31">
        <f t="shared" si="60"/>
        <v>6.25</v>
      </c>
      <c r="IY31">
        <f t="shared" si="59"/>
        <v>1.5</v>
      </c>
      <c r="IZ31">
        <f t="shared" si="63"/>
        <v>0</v>
      </c>
      <c r="JA31">
        <f t="shared" si="61"/>
        <v>0</v>
      </c>
      <c r="JB31">
        <f t="shared" si="61"/>
        <v>0</v>
      </c>
      <c r="JC31">
        <f t="shared" si="61"/>
        <v>0</v>
      </c>
      <c r="JD31">
        <f t="shared" si="61"/>
        <v>0</v>
      </c>
      <c r="JE31">
        <f t="shared" si="61"/>
        <v>0</v>
      </c>
      <c r="JF31">
        <f t="shared" si="61"/>
        <v>0</v>
      </c>
      <c r="JG31">
        <f t="shared" si="61"/>
        <v>0</v>
      </c>
      <c r="JH31">
        <f t="shared" si="61"/>
        <v>0</v>
      </c>
      <c r="JI31">
        <f t="shared" si="61"/>
        <v>0</v>
      </c>
      <c r="JJ31">
        <f t="shared" si="61"/>
        <v>0</v>
      </c>
      <c r="JK31">
        <f t="shared" si="61"/>
        <v>0</v>
      </c>
      <c r="JL31">
        <f t="shared" si="61"/>
        <v>0</v>
      </c>
      <c r="JM31">
        <f t="shared" si="61"/>
        <v>0</v>
      </c>
      <c r="JN31">
        <f t="shared" si="61"/>
        <v>0</v>
      </c>
      <c r="JO31">
        <f t="shared" si="61"/>
        <v>0.5</v>
      </c>
    </row>
    <row r="32" spans="2:275" x14ac:dyDescent="0.25">
      <c r="B32" s="51">
        <v>54</v>
      </c>
      <c r="C32" t="s">
        <v>440</v>
      </c>
      <c r="D32" t="s">
        <v>439</v>
      </c>
      <c r="E32">
        <v>84.25</v>
      </c>
      <c r="F32">
        <v>123.75</v>
      </c>
      <c r="G32">
        <v>111.25</v>
      </c>
      <c r="H32">
        <v>2.4375</v>
      </c>
      <c r="I32" s="51">
        <v>54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0.25</v>
      </c>
      <c r="Q32">
        <v>0.25</v>
      </c>
      <c r="R32">
        <v>0</v>
      </c>
      <c r="S32">
        <v>0</v>
      </c>
      <c r="T32">
        <v>0</v>
      </c>
      <c r="U32">
        <v>0.5</v>
      </c>
      <c r="V32">
        <v>0</v>
      </c>
      <c r="W32">
        <v>16.5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0.25</v>
      </c>
      <c r="BB32">
        <v>1.25</v>
      </c>
      <c r="BC32">
        <v>1</v>
      </c>
      <c r="BD32">
        <v>0</v>
      </c>
      <c r="BE32">
        <v>0.25</v>
      </c>
      <c r="BF32">
        <v>7.75</v>
      </c>
      <c r="BG32">
        <v>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0.25</v>
      </c>
      <c r="BV32">
        <v>0</v>
      </c>
      <c r="BW32">
        <v>0</v>
      </c>
      <c r="BX32">
        <v>7.5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3219.25</v>
      </c>
      <c r="CG32">
        <v>18.25</v>
      </c>
      <c r="CH32">
        <v>643.75</v>
      </c>
      <c r="CI32">
        <v>7.25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0.75</v>
      </c>
      <c r="CP32">
        <v>0</v>
      </c>
      <c r="CQ32">
        <v>0</v>
      </c>
      <c r="CR32">
        <v>0</v>
      </c>
      <c r="CS32">
        <v>0.75</v>
      </c>
      <c r="CT32">
        <v>2.5</v>
      </c>
      <c r="CU32">
        <v>0.25</v>
      </c>
      <c r="CV32">
        <v>0.25</v>
      </c>
      <c r="CW32">
        <v>0</v>
      </c>
      <c r="CX32">
        <v>0</v>
      </c>
      <c r="CY32">
        <v>0</v>
      </c>
      <c r="CZ32">
        <v>3</v>
      </c>
      <c r="DA32">
        <v>0</v>
      </c>
      <c r="DB32">
        <v>0</v>
      </c>
      <c r="DC32">
        <v>1.25</v>
      </c>
      <c r="DD32">
        <v>0.25</v>
      </c>
      <c r="DE32">
        <v>0</v>
      </c>
      <c r="DF32">
        <v>0.25</v>
      </c>
      <c r="DG32">
        <v>0</v>
      </c>
      <c r="DH32">
        <v>0</v>
      </c>
      <c r="DI32">
        <v>0.25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1.25</v>
      </c>
      <c r="EP32" s="51">
        <v>54</v>
      </c>
      <c r="EQ32" t="s">
        <v>440</v>
      </c>
      <c r="ER32" t="s">
        <v>439</v>
      </c>
      <c r="ES32">
        <v>84.25</v>
      </c>
      <c r="ET32">
        <v>123.75</v>
      </c>
      <c r="EU32">
        <v>111.25</v>
      </c>
      <c r="EV32">
        <v>2.4375</v>
      </c>
      <c r="EW32" s="51">
        <v>54</v>
      </c>
      <c r="EX32">
        <f t="shared" si="4"/>
        <v>0</v>
      </c>
      <c r="EY32">
        <f t="shared" si="5"/>
        <v>0</v>
      </c>
      <c r="EZ32">
        <f t="shared" si="6"/>
        <v>0</v>
      </c>
      <c r="FA32">
        <f t="shared" si="6"/>
        <v>0</v>
      </c>
      <c r="FB32">
        <f t="shared" si="6"/>
        <v>0.25</v>
      </c>
      <c r="FC32">
        <f t="shared" si="6"/>
        <v>0.75</v>
      </c>
      <c r="FD32">
        <f t="shared" si="7"/>
        <v>0</v>
      </c>
      <c r="FE32">
        <f t="shared" si="7"/>
        <v>16.5</v>
      </c>
      <c r="FF32">
        <f t="shared" si="8"/>
        <v>0</v>
      </c>
      <c r="FG32">
        <f t="shared" si="9"/>
        <v>0</v>
      </c>
      <c r="FH32">
        <f t="shared" si="10"/>
        <v>0</v>
      </c>
      <c r="FI32">
        <f t="shared" si="11"/>
        <v>0</v>
      </c>
      <c r="FJ32">
        <f t="shared" si="11"/>
        <v>0</v>
      </c>
      <c r="FK32">
        <f t="shared" si="11"/>
        <v>0</v>
      </c>
      <c r="FL32">
        <f t="shared" si="11"/>
        <v>0</v>
      </c>
      <c r="FM32">
        <f t="shared" si="12"/>
        <v>0</v>
      </c>
      <c r="FN32">
        <f t="shared" si="12"/>
        <v>0</v>
      </c>
      <c r="FO32">
        <f t="shared" si="12"/>
        <v>0</v>
      </c>
      <c r="FP32">
        <f t="shared" si="13"/>
        <v>0</v>
      </c>
      <c r="FQ32">
        <f t="shared" si="13"/>
        <v>0</v>
      </c>
      <c r="FR32">
        <f t="shared" si="13"/>
        <v>0</v>
      </c>
      <c r="FS32">
        <f t="shared" si="14"/>
        <v>0</v>
      </c>
      <c r="FT32">
        <f t="shared" si="14"/>
        <v>0.5</v>
      </c>
      <c r="FU32">
        <f t="shared" si="14"/>
        <v>9</v>
      </c>
      <c r="FV32">
        <f t="shared" si="14"/>
        <v>6</v>
      </c>
      <c r="FW32">
        <f t="shared" si="15"/>
        <v>0</v>
      </c>
      <c r="FX32">
        <f t="shared" si="15"/>
        <v>0</v>
      </c>
      <c r="FY32">
        <f t="shared" si="15"/>
        <v>0</v>
      </c>
      <c r="FZ32">
        <f t="shared" si="16"/>
        <v>0</v>
      </c>
      <c r="GA32">
        <f t="shared" si="16"/>
        <v>0</v>
      </c>
      <c r="GB32">
        <f t="shared" si="17"/>
        <v>0</v>
      </c>
      <c r="GC32">
        <f t="shared" si="18"/>
        <v>0</v>
      </c>
      <c r="GD32">
        <f t="shared" si="18"/>
        <v>7.75</v>
      </c>
      <c r="GE32">
        <f t="shared" si="18"/>
        <v>0</v>
      </c>
      <c r="GF32">
        <f t="shared" si="19"/>
        <v>0</v>
      </c>
      <c r="GG32">
        <f t="shared" si="19"/>
        <v>0</v>
      </c>
      <c r="GH32">
        <f t="shared" si="19"/>
        <v>0</v>
      </c>
      <c r="GI32">
        <f t="shared" si="20"/>
        <v>3863</v>
      </c>
      <c r="GJ32">
        <f t="shared" si="20"/>
        <v>25.5</v>
      </c>
      <c r="GK32">
        <f t="shared" si="21"/>
        <v>2</v>
      </c>
      <c r="GL32">
        <f t="shared" si="22"/>
        <v>0</v>
      </c>
      <c r="GM32">
        <f t="shared" si="23"/>
        <v>0.75</v>
      </c>
      <c r="GN32">
        <f t="shared" si="23"/>
        <v>0</v>
      </c>
      <c r="GO32">
        <f t="shared" si="24"/>
        <v>0</v>
      </c>
      <c r="GP32">
        <f t="shared" si="25"/>
        <v>3.25</v>
      </c>
      <c r="GQ32">
        <f t="shared" si="26"/>
        <v>0.5</v>
      </c>
      <c r="GR32">
        <f t="shared" si="27"/>
        <v>0</v>
      </c>
      <c r="GS32">
        <f t="shared" si="28"/>
        <v>0</v>
      </c>
      <c r="GT32">
        <f t="shared" si="28"/>
        <v>4.25</v>
      </c>
      <c r="GU32">
        <f t="shared" si="28"/>
        <v>0.25</v>
      </c>
      <c r="GV32">
        <f t="shared" si="29"/>
        <v>0</v>
      </c>
      <c r="GW32">
        <f t="shared" si="29"/>
        <v>0.5</v>
      </c>
      <c r="GX32">
        <f t="shared" si="29"/>
        <v>0</v>
      </c>
      <c r="GY32">
        <f t="shared" si="30"/>
        <v>0</v>
      </c>
      <c r="GZ32">
        <f t="shared" si="31"/>
        <v>0</v>
      </c>
      <c r="HA32">
        <f t="shared" si="32"/>
        <v>0</v>
      </c>
      <c r="HB32">
        <f t="shared" si="33"/>
        <v>0</v>
      </c>
      <c r="HC32">
        <f t="shared" si="34"/>
        <v>0</v>
      </c>
      <c r="HD32">
        <f t="shared" si="35"/>
        <v>0</v>
      </c>
      <c r="HE32">
        <f t="shared" si="36"/>
        <v>0</v>
      </c>
      <c r="HF32">
        <f t="shared" si="37"/>
        <v>0</v>
      </c>
      <c r="HG32">
        <f t="shared" si="38"/>
        <v>0</v>
      </c>
      <c r="HH32">
        <f t="shared" si="39"/>
        <v>0</v>
      </c>
      <c r="HI32">
        <f t="shared" si="40"/>
        <v>0</v>
      </c>
      <c r="HJ32">
        <f t="shared" si="41"/>
        <v>0</v>
      </c>
      <c r="HK32">
        <f t="shared" si="42"/>
        <v>0</v>
      </c>
      <c r="HL32">
        <f t="shared" si="43"/>
        <v>0</v>
      </c>
      <c r="HM32">
        <f t="shared" si="44"/>
        <v>1.25</v>
      </c>
      <c r="HO32" s="51">
        <v>54</v>
      </c>
      <c r="HP32" t="s">
        <v>440</v>
      </c>
      <c r="HQ32" t="s">
        <v>439</v>
      </c>
      <c r="HR32">
        <v>84.25</v>
      </c>
      <c r="HS32">
        <v>123.75</v>
      </c>
      <c r="HT32">
        <v>111.25</v>
      </c>
      <c r="HU32">
        <v>2.4375</v>
      </c>
      <c r="HV32" s="51">
        <v>54</v>
      </c>
      <c r="HW32">
        <f t="shared" si="45"/>
        <v>0</v>
      </c>
      <c r="HX32">
        <f t="shared" si="45"/>
        <v>0</v>
      </c>
      <c r="HY32">
        <f t="shared" si="46"/>
        <v>1</v>
      </c>
      <c r="HZ32">
        <f t="shared" si="47"/>
        <v>16.5</v>
      </c>
      <c r="IA32">
        <f t="shared" si="48"/>
        <v>0</v>
      </c>
      <c r="IB32">
        <f t="shared" si="48"/>
        <v>0</v>
      </c>
      <c r="IC32">
        <f t="shared" si="48"/>
        <v>0</v>
      </c>
      <c r="ID32">
        <f t="shared" si="49"/>
        <v>0</v>
      </c>
      <c r="IE32">
        <f t="shared" si="50"/>
        <v>0</v>
      </c>
      <c r="IF32">
        <f t="shared" si="51"/>
        <v>0</v>
      </c>
      <c r="IG32">
        <f t="shared" si="52"/>
        <v>9.5</v>
      </c>
      <c r="IH32">
        <f t="shared" si="53"/>
        <v>6</v>
      </c>
      <c r="II32">
        <f t="shared" si="54"/>
        <v>0</v>
      </c>
      <c r="IJ32">
        <f t="shared" si="55"/>
        <v>0</v>
      </c>
      <c r="IK32">
        <f t="shared" si="56"/>
        <v>0</v>
      </c>
      <c r="IL32">
        <f t="shared" si="62"/>
        <v>0</v>
      </c>
      <c r="IM32">
        <f t="shared" si="57"/>
        <v>7.75</v>
      </c>
      <c r="IN32">
        <f t="shared" si="58"/>
        <v>0</v>
      </c>
      <c r="IO32">
        <f t="shared" si="60"/>
        <v>3863</v>
      </c>
      <c r="IP32">
        <f t="shared" si="60"/>
        <v>25.5</v>
      </c>
      <c r="IQ32">
        <f t="shared" si="60"/>
        <v>2</v>
      </c>
      <c r="IR32">
        <f t="shared" si="60"/>
        <v>0</v>
      </c>
      <c r="IS32">
        <f t="shared" si="60"/>
        <v>0.75</v>
      </c>
      <c r="IT32">
        <f t="shared" si="60"/>
        <v>0</v>
      </c>
      <c r="IU32">
        <f t="shared" si="60"/>
        <v>0</v>
      </c>
      <c r="IV32">
        <f t="shared" si="60"/>
        <v>3.25</v>
      </c>
      <c r="IW32">
        <f t="shared" si="60"/>
        <v>0.5</v>
      </c>
      <c r="IX32">
        <f t="shared" si="60"/>
        <v>0</v>
      </c>
      <c r="IY32">
        <f t="shared" si="59"/>
        <v>4.5</v>
      </c>
      <c r="IZ32">
        <f t="shared" si="63"/>
        <v>0.5</v>
      </c>
      <c r="JA32">
        <f t="shared" si="61"/>
        <v>0</v>
      </c>
      <c r="JB32">
        <f t="shared" si="61"/>
        <v>0</v>
      </c>
      <c r="JC32">
        <f t="shared" si="61"/>
        <v>0</v>
      </c>
      <c r="JD32">
        <f t="shared" si="61"/>
        <v>0</v>
      </c>
      <c r="JE32">
        <f t="shared" si="61"/>
        <v>0</v>
      </c>
      <c r="JF32">
        <f t="shared" si="61"/>
        <v>0</v>
      </c>
      <c r="JG32">
        <f t="shared" si="61"/>
        <v>0</v>
      </c>
      <c r="JH32">
        <f t="shared" si="61"/>
        <v>0</v>
      </c>
      <c r="JI32">
        <f t="shared" si="61"/>
        <v>0</v>
      </c>
      <c r="JJ32">
        <f t="shared" si="61"/>
        <v>0</v>
      </c>
      <c r="JK32">
        <f t="shared" si="61"/>
        <v>0</v>
      </c>
      <c r="JL32">
        <f t="shared" si="61"/>
        <v>0</v>
      </c>
      <c r="JM32">
        <f t="shared" si="61"/>
        <v>0</v>
      </c>
      <c r="JN32">
        <f t="shared" si="61"/>
        <v>0</v>
      </c>
      <c r="JO32">
        <f t="shared" si="61"/>
        <v>1.25</v>
      </c>
    </row>
    <row r="33" spans="2:275" x14ac:dyDescent="0.25">
      <c r="B33" s="51">
        <v>56</v>
      </c>
      <c r="C33" t="s">
        <v>0</v>
      </c>
      <c r="D33" t="s">
        <v>439</v>
      </c>
      <c r="E33">
        <v>67.75</v>
      </c>
      <c r="F33">
        <v>84.375</v>
      </c>
      <c r="G33">
        <v>60.625</v>
      </c>
      <c r="H33">
        <v>2.6875</v>
      </c>
      <c r="I33" s="51">
        <v>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0.25</v>
      </c>
      <c r="Q33">
        <v>0.75</v>
      </c>
      <c r="R33">
        <v>0</v>
      </c>
      <c r="S33">
        <v>0.25</v>
      </c>
      <c r="T33">
        <v>0</v>
      </c>
      <c r="U33">
        <v>0.75</v>
      </c>
      <c r="V33">
        <v>0</v>
      </c>
      <c r="W33">
        <v>7.25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0.25</v>
      </c>
      <c r="BD33">
        <v>0</v>
      </c>
      <c r="BE33">
        <v>1.75</v>
      </c>
      <c r="BF33">
        <v>3.75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2.75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3498.75</v>
      </c>
      <c r="CG33">
        <v>19.25</v>
      </c>
      <c r="CH33">
        <v>552.5</v>
      </c>
      <c r="CI33">
        <v>10.75</v>
      </c>
      <c r="CJ33">
        <v>0</v>
      </c>
      <c r="CK33">
        <v>0.5</v>
      </c>
      <c r="CL33">
        <v>0</v>
      </c>
      <c r="CM33">
        <v>0</v>
      </c>
      <c r="CN33">
        <v>0</v>
      </c>
      <c r="CO33">
        <v>0.25</v>
      </c>
      <c r="CP33">
        <v>0</v>
      </c>
      <c r="CQ33">
        <v>0</v>
      </c>
      <c r="CR33">
        <v>0</v>
      </c>
      <c r="CS33">
        <v>2</v>
      </c>
      <c r="CT33">
        <v>3.75</v>
      </c>
      <c r="CU33">
        <v>0.25</v>
      </c>
      <c r="CV33">
        <v>1</v>
      </c>
      <c r="CW33">
        <v>0</v>
      </c>
      <c r="CX33">
        <v>0</v>
      </c>
      <c r="CY33">
        <v>0</v>
      </c>
      <c r="CZ33">
        <v>1.5</v>
      </c>
      <c r="DA33">
        <v>0.25</v>
      </c>
      <c r="DB33">
        <v>0</v>
      </c>
      <c r="DC33">
        <v>1.5</v>
      </c>
      <c r="DD33">
        <v>1.75</v>
      </c>
      <c r="DE33">
        <v>0</v>
      </c>
      <c r="DF33">
        <v>0</v>
      </c>
      <c r="DG33">
        <v>0</v>
      </c>
      <c r="DH33">
        <v>0.5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P33" s="51">
        <v>56</v>
      </c>
      <c r="EQ33" t="s">
        <v>0</v>
      </c>
      <c r="ER33" t="s">
        <v>439</v>
      </c>
      <c r="ES33">
        <v>67.75</v>
      </c>
      <c r="ET33">
        <v>84.375</v>
      </c>
      <c r="EU33">
        <v>60.625</v>
      </c>
      <c r="EV33">
        <v>2.6875</v>
      </c>
      <c r="EW33" s="51">
        <v>56</v>
      </c>
      <c r="EX33">
        <f t="shared" si="4"/>
        <v>0</v>
      </c>
      <c r="EY33">
        <f t="shared" si="5"/>
        <v>0</v>
      </c>
      <c r="EZ33">
        <f t="shared" si="6"/>
        <v>0</v>
      </c>
      <c r="FA33">
        <f t="shared" si="6"/>
        <v>0.25</v>
      </c>
      <c r="FB33">
        <f t="shared" si="6"/>
        <v>0.25</v>
      </c>
      <c r="FC33">
        <f t="shared" si="6"/>
        <v>1.5</v>
      </c>
      <c r="FD33">
        <f t="shared" si="7"/>
        <v>0</v>
      </c>
      <c r="FE33">
        <f t="shared" si="7"/>
        <v>7.25</v>
      </c>
      <c r="FF33">
        <f t="shared" si="8"/>
        <v>0</v>
      </c>
      <c r="FG33">
        <f t="shared" si="9"/>
        <v>0</v>
      </c>
      <c r="FH33">
        <f t="shared" si="10"/>
        <v>0</v>
      </c>
      <c r="FI33">
        <f t="shared" si="11"/>
        <v>5</v>
      </c>
      <c r="FJ33">
        <f t="shared" si="11"/>
        <v>0</v>
      </c>
      <c r="FK33">
        <f t="shared" si="11"/>
        <v>0</v>
      </c>
      <c r="FL33">
        <f t="shared" si="11"/>
        <v>0</v>
      </c>
      <c r="FM33">
        <f t="shared" si="12"/>
        <v>0</v>
      </c>
      <c r="FN33">
        <f t="shared" si="12"/>
        <v>0</v>
      </c>
      <c r="FO33">
        <f t="shared" si="12"/>
        <v>0</v>
      </c>
      <c r="FP33">
        <f t="shared" si="13"/>
        <v>0</v>
      </c>
      <c r="FQ33">
        <f t="shared" si="13"/>
        <v>0</v>
      </c>
      <c r="FR33">
        <f t="shared" si="13"/>
        <v>0</v>
      </c>
      <c r="FS33">
        <f t="shared" si="14"/>
        <v>0</v>
      </c>
      <c r="FT33">
        <f t="shared" si="14"/>
        <v>1.75</v>
      </c>
      <c r="FU33">
        <f t="shared" si="14"/>
        <v>4.75</v>
      </c>
      <c r="FV33">
        <f t="shared" si="14"/>
        <v>1.25</v>
      </c>
      <c r="FW33">
        <f t="shared" si="15"/>
        <v>0</v>
      </c>
      <c r="FX33">
        <f t="shared" si="15"/>
        <v>0</v>
      </c>
      <c r="FY33">
        <f t="shared" si="15"/>
        <v>0</v>
      </c>
      <c r="FZ33">
        <f t="shared" si="16"/>
        <v>0</v>
      </c>
      <c r="GA33">
        <f t="shared" si="16"/>
        <v>0</v>
      </c>
      <c r="GB33">
        <f t="shared" si="17"/>
        <v>0</v>
      </c>
      <c r="GC33">
        <f t="shared" si="18"/>
        <v>2.75</v>
      </c>
      <c r="GD33">
        <f t="shared" si="18"/>
        <v>2</v>
      </c>
      <c r="GE33">
        <f t="shared" si="18"/>
        <v>0</v>
      </c>
      <c r="GF33">
        <f t="shared" si="19"/>
        <v>0</v>
      </c>
      <c r="GG33">
        <f t="shared" si="19"/>
        <v>0</v>
      </c>
      <c r="GH33">
        <f t="shared" si="19"/>
        <v>0</v>
      </c>
      <c r="GI33">
        <f t="shared" si="20"/>
        <v>4051.25</v>
      </c>
      <c r="GJ33">
        <f t="shared" si="20"/>
        <v>30</v>
      </c>
      <c r="GK33">
        <f t="shared" si="21"/>
        <v>0.5</v>
      </c>
      <c r="GL33">
        <f t="shared" si="22"/>
        <v>0</v>
      </c>
      <c r="GM33">
        <f t="shared" si="23"/>
        <v>0.25</v>
      </c>
      <c r="GN33">
        <f t="shared" si="23"/>
        <v>0</v>
      </c>
      <c r="GO33">
        <f t="shared" si="24"/>
        <v>0</v>
      </c>
      <c r="GP33">
        <f t="shared" si="25"/>
        <v>5.75</v>
      </c>
      <c r="GQ33">
        <f t="shared" si="26"/>
        <v>1.25</v>
      </c>
      <c r="GR33">
        <f t="shared" si="27"/>
        <v>0</v>
      </c>
      <c r="GS33">
        <f t="shared" si="28"/>
        <v>0</v>
      </c>
      <c r="GT33">
        <f t="shared" si="28"/>
        <v>3</v>
      </c>
      <c r="GU33">
        <f t="shared" si="28"/>
        <v>2</v>
      </c>
      <c r="GV33">
        <f t="shared" si="29"/>
        <v>0.5</v>
      </c>
      <c r="GW33">
        <f t="shared" si="29"/>
        <v>0</v>
      </c>
      <c r="GX33">
        <f t="shared" si="29"/>
        <v>0</v>
      </c>
      <c r="GY33">
        <f t="shared" si="30"/>
        <v>0</v>
      </c>
      <c r="GZ33">
        <f t="shared" si="31"/>
        <v>0</v>
      </c>
      <c r="HA33">
        <f t="shared" si="32"/>
        <v>0</v>
      </c>
      <c r="HB33">
        <f t="shared" si="33"/>
        <v>0</v>
      </c>
      <c r="HC33">
        <f t="shared" si="34"/>
        <v>0</v>
      </c>
      <c r="HD33">
        <f t="shared" si="35"/>
        <v>0</v>
      </c>
      <c r="HE33">
        <f t="shared" si="36"/>
        <v>0</v>
      </c>
      <c r="HF33">
        <f t="shared" si="37"/>
        <v>0</v>
      </c>
      <c r="HG33">
        <f t="shared" si="38"/>
        <v>0</v>
      </c>
      <c r="HH33">
        <f t="shared" si="39"/>
        <v>0</v>
      </c>
      <c r="HI33">
        <f t="shared" si="40"/>
        <v>0</v>
      </c>
      <c r="HJ33">
        <f t="shared" si="41"/>
        <v>0</v>
      </c>
      <c r="HK33">
        <f t="shared" si="42"/>
        <v>0</v>
      </c>
      <c r="HL33">
        <f t="shared" si="43"/>
        <v>0</v>
      </c>
      <c r="HM33">
        <f t="shared" si="44"/>
        <v>0</v>
      </c>
      <c r="HO33" s="51">
        <v>56</v>
      </c>
      <c r="HP33" t="s">
        <v>0</v>
      </c>
      <c r="HQ33" t="s">
        <v>439</v>
      </c>
      <c r="HR33">
        <v>67.75</v>
      </c>
      <c r="HS33">
        <v>84.375</v>
      </c>
      <c r="HT33">
        <v>60.625</v>
      </c>
      <c r="HU33">
        <v>2.6875</v>
      </c>
      <c r="HV33" s="51">
        <v>56</v>
      </c>
      <c r="HW33">
        <f t="shared" si="45"/>
        <v>0</v>
      </c>
      <c r="HX33">
        <f t="shared" si="45"/>
        <v>0</v>
      </c>
      <c r="HY33">
        <f t="shared" si="46"/>
        <v>2</v>
      </c>
      <c r="HZ33">
        <f t="shared" si="47"/>
        <v>7.25</v>
      </c>
      <c r="IA33">
        <f t="shared" si="48"/>
        <v>0</v>
      </c>
      <c r="IB33">
        <f t="shared" si="48"/>
        <v>0</v>
      </c>
      <c r="IC33">
        <f t="shared" si="48"/>
        <v>0</v>
      </c>
      <c r="ID33">
        <f t="shared" si="49"/>
        <v>5</v>
      </c>
      <c r="IE33">
        <f t="shared" si="50"/>
        <v>0</v>
      </c>
      <c r="IF33">
        <f t="shared" si="51"/>
        <v>0</v>
      </c>
      <c r="IG33">
        <f t="shared" si="52"/>
        <v>6.5</v>
      </c>
      <c r="IH33">
        <f t="shared" si="53"/>
        <v>1.25</v>
      </c>
      <c r="II33">
        <f t="shared" si="54"/>
        <v>0</v>
      </c>
      <c r="IJ33">
        <f t="shared" si="55"/>
        <v>0</v>
      </c>
      <c r="IK33">
        <f t="shared" si="56"/>
        <v>0</v>
      </c>
      <c r="IL33">
        <f t="shared" si="62"/>
        <v>0</v>
      </c>
      <c r="IM33">
        <f t="shared" si="57"/>
        <v>4.75</v>
      </c>
      <c r="IN33">
        <f t="shared" si="58"/>
        <v>0</v>
      </c>
      <c r="IO33">
        <f t="shared" si="60"/>
        <v>4051.25</v>
      </c>
      <c r="IP33">
        <f t="shared" si="60"/>
        <v>30</v>
      </c>
      <c r="IQ33">
        <f t="shared" si="60"/>
        <v>0.5</v>
      </c>
      <c r="IR33">
        <f t="shared" si="60"/>
        <v>0</v>
      </c>
      <c r="IS33">
        <f t="shared" si="60"/>
        <v>0.25</v>
      </c>
      <c r="IT33">
        <f t="shared" si="60"/>
        <v>0</v>
      </c>
      <c r="IU33">
        <f t="shared" si="60"/>
        <v>0</v>
      </c>
      <c r="IV33">
        <f t="shared" si="60"/>
        <v>5.75</v>
      </c>
      <c r="IW33">
        <f t="shared" si="60"/>
        <v>1.25</v>
      </c>
      <c r="IX33">
        <f t="shared" si="60"/>
        <v>0</v>
      </c>
      <c r="IY33">
        <f t="shared" si="59"/>
        <v>5</v>
      </c>
      <c r="IZ33">
        <f t="shared" si="63"/>
        <v>0.5</v>
      </c>
      <c r="JA33">
        <f t="shared" si="61"/>
        <v>0</v>
      </c>
      <c r="JB33">
        <f t="shared" si="61"/>
        <v>0</v>
      </c>
      <c r="JC33">
        <f t="shared" si="61"/>
        <v>0</v>
      </c>
      <c r="JD33">
        <f t="shared" si="61"/>
        <v>0</v>
      </c>
      <c r="JE33">
        <f t="shared" si="61"/>
        <v>0</v>
      </c>
      <c r="JF33">
        <f t="shared" si="61"/>
        <v>0</v>
      </c>
      <c r="JG33">
        <f t="shared" si="61"/>
        <v>0</v>
      </c>
      <c r="JH33">
        <f t="shared" si="61"/>
        <v>0</v>
      </c>
      <c r="JI33">
        <f t="shared" si="61"/>
        <v>0</v>
      </c>
      <c r="JJ33">
        <f t="shared" si="61"/>
        <v>0</v>
      </c>
      <c r="JK33">
        <f t="shared" si="61"/>
        <v>0</v>
      </c>
      <c r="JL33">
        <f t="shared" si="61"/>
        <v>0</v>
      </c>
      <c r="JM33">
        <f t="shared" si="61"/>
        <v>0</v>
      </c>
      <c r="JN33">
        <f t="shared" si="61"/>
        <v>0</v>
      </c>
      <c r="JO33">
        <f t="shared" si="61"/>
        <v>0</v>
      </c>
    </row>
    <row r="34" spans="2:275" x14ac:dyDescent="0.25">
      <c r="B34" s="51">
        <v>57</v>
      </c>
      <c r="C34" t="s">
        <v>0</v>
      </c>
      <c r="D34" t="s">
        <v>439</v>
      </c>
      <c r="E34">
        <v>76.625</v>
      </c>
      <c r="F34">
        <v>104.375</v>
      </c>
      <c r="G34">
        <v>91.5</v>
      </c>
      <c r="H34">
        <v>2.4375</v>
      </c>
      <c r="I34" s="51">
        <v>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1.25</v>
      </c>
      <c r="R34">
        <v>0</v>
      </c>
      <c r="S34">
        <v>0.75</v>
      </c>
      <c r="T34">
        <v>0</v>
      </c>
      <c r="U34">
        <v>0.75</v>
      </c>
      <c r="V34">
        <v>0</v>
      </c>
      <c r="W34">
        <v>17.5425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0.25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0.25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2.25</v>
      </c>
      <c r="BC34">
        <v>2</v>
      </c>
      <c r="BD34">
        <v>0</v>
      </c>
      <c r="BE34">
        <v>1.25</v>
      </c>
      <c r="BF34">
        <v>5.5</v>
      </c>
      <c r="BG34">
        <v>1.75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1.75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1441.25</v>
      </c>
      <c r="CG34">
        <v>0</v>
      </c>
      <c r="CH34">
        <v>113</v>
      </c>
      <c r="CI34">
        <v>5.5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0.25</v>
      </c>
      <c r="CP34">
        <v>0</v>
      </c>
      <c r="CQ34">
        <v>0</v>
      </c>
      <c r="CR34">
        <v>0</v>
      </c>
      <c r="CS34">
        <v>1.5</v>
      </c>
      <c r="CT34">
        <v>4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1.75</v>
      </c>
      <c r="DA34">
        <v>0</v>
      </c>
      <c r="DB34">
        <v>0</v>
      </c>
      <c r="DC34">
        <v>0.25</v>
      </c>
      <c r="DD34">
        <v>0</v>
      </c>
      <c r="DE34">
        <v>0</v>
      </c>
      <c r="DF34">
        <v>0</v>
      </c>
      <c r="DG34">
        <v>0.25</v>
      </c>
      <c r="DH34">
        <v>2.25</v>
      </c>
      <c r="DI34">
        <v>0.25</v>
      </c>
      <c r="DJ34">
        <v>0.25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P34" s="51">
        <v>57</v>
      </c>
      <c r="EQ34" t="s">
        <v>0</v>
      </c>
      <c r="ER34" t="s">
        <v>439</v>
      </c>
      <c r="ES34">
        <v>76.625</v>
      </c>
      <c r="ET34">
        <v>104.375</v>
      </c>
      <c r="EU34">
        <v>91.5</v>
      </c>
      <c r="EV34">
        <v>2.4375</v>
      </c>
      <c r="EW34" s="51">
        <v>57</v>
      </c>
      <c r="EX34">
        <f t="shared" si="4"/>
        <v>0</v>
      </c>
      <c r="EY34">
        <f t="shared" si="5"/>
        <v>0</v>
      </c>
      <c r="EZ34">
        <f t="shared" si="6"/>
        <v>0</v>
      </c>
      <c r="FA34">
        <f t="shared" si="6"/>
        <v>0.75</v>
      </c>
      <c r="FB34">
        <f t="shared" si="6"/>
        <v>0</v>
      </c>
      <c r="FC34">
        <f t="shared" si="6"/>
        <v>2</v>
      </c>
      <c r="FD34">
        <f t="shared" si="7"/>
        <v>0</v>
      </c>
      <c r="FE34">
        <f t="shared" si="7"/>
        <v>17.5425</v>
      </c>
      <c r="FF34">
        <f t="shared" si="8"/>
        <v>0</v>
      </c>
      <c r="FG34">
        <f t="shared" si="9"/>
        <v>0</v>
      </c>
      <c r="FH34">
        <f t="shared" si="10"/>
        <v>0</v>
      </c>
      <c r="FI34">
        <f t="shared" si="11"/>
        <v>0.25</v>
      </c>
      <c r="FJ34">
        <f t="shared" si="11"/>
        <v>0</v>
      </c>
      <c r="FK34">
        <f t="shared" si="11"/>
        <v>0</v>
      </c>
      <c r="FL34">
        <f t="shared" si="11"/>
        <v>0</v>
      </c>
      <c r="FM34">
        <f t="shared" si="12"/>
        <v>0</v>
      </c>
      <c r="FN34">
        <f t="shared" si="12"/>
        <v>0</v>
      </c>
      <c r="FO34">
        <f t="shared" si="12"/>
        <v>0.25</v>
      </c>
      <c r="FP34">
        <f t="shared" si="13"/>
        <v>0</v>
      </c>
      <c r="FQ34">
        <f t="shared" si="13"/>
        <v>0</v>
      </c>
      <c r="FR34">
        <f t="shared" si="13"/>
        <v>0</v>
      </c>
      <c r="FS34">
        <f t="shared" si="14"/>
        <v>0</v>
      </c>
      <c r="FT34">
        <f t="shared" si="14"/>
        <v>1.25</v>
      </c>
      <c r="FU34">
        <f t="shared" si="14"/>
        <v>7.75</v>
      </c>
      <c r="FV34">
        <f t="shared" si="14"/>
        <v>3.75</v>
      </c>
      <c r="FW34">
        <f t="shared" si="15"/>
        <v>0</v>
      </c>
      <c r="FX34">
        <f t="shared" si="15"/>
        <v>0</v>
      </c>
      <c r="FY34">
        <f t="shared" si="15"/>
        <v>0</v>
      </c>
      <c r="FZ34">
        <f t="shared" si="16"/>
        <v>0</v>
      </c>
      <c r="GA34">
        <f t="shared" si="16"/>
        <v>0</v>
      </c>
      <c r="GB34">
        <f t="shared" si="17"/>
        <v>0</v>
      </c>
      <c r="GC34">
        <f t="shared" si="18"/>
        <v>0</v>
      </c>
      <c r="GD34">
        <f t="shared" si="18"/>
        <v>1.75</v>
      </c>
      <c r="GE34">
        <f t="shared" si="18"/>
        <v>0</v>
      </c>
      <c r="GF34">
        <f t="shared" si="19"/>
        <v>0</v>
      </c>
      <c r="GG34">
        <f t="shared" si="19"/>
        <v>0</v>
      </c>
      <c r="GH34">
        <f t="shared" si="19"/>
        <v>0</v>
      </c>
      <c r="GI34">
        <f t="shared" si="20"/>
        <v>1554.25</v>
      </c>
      <c r="GJ34">
        <f t="shared" si="20"/>
        <v>5.5</v>
      </c>
      <c r="GK34">
        <f t="shared" si="21"/>
        <v>0</v>
      </c>
      <c r="GL34">
        <f t="shared" si="22"/>
        <v>0</v>
      </c>
      <c r="GM34">
        <f t="shared" si="23"/>
        <v>0.25</v>
      </c>
      <c r="GN34">
        <f t="shared" si="23"/>
        <v>0</v>
      </c>
      <c r="GO34">
        <f t="shared" si="24"/>
        <v>0</v>
      </c>
      <c r="GP34">
        <f t="shared" si="25"/>
        <v>5.5</v>
      </c>
      <c r="GQ34">
        <f t="shared" si="26"/>
        <v>2</v>
      </c>
      <c r="GR34">
        <f t="shared" si="27"/>
        <v>0</v>
      </c>
      <c r="GS34">
        <f t="shared" si="28"/>
        <v>0</v>
      </c>
      <c r="GT34">
        <f t="shared" si="28"/>
        <v>2</v>
      </c>
      <c r="GU34">
        <f t="shared" si="28"/>
        <v>0</v>
      </c>
      <c r="GV34">
        <f t="shared" si="29"/>
        <v>2.25</v>
      </c>
      <c r="GW34">
        <f t="shared" si="29"/>
        <v>0.25</v>
      </c>
      <c r="GX34">
        <f t="shared" si="29"/>
        <v>0.5</v>
      </c>
      <c r="GY34">
        <f t="shared" si="30"/>
        <v>0</v>
      </c>
      <c r="GZ34">
        <f t="shared" si="31"/>
        <v>0</v>
      </c>
      <c r="HA34">
        <f t="shared" si="32"/>
        <v>0</v>
      </c>
      <c r="HB34">
        <f t="shared" si="33"/>
        <v>0</v>
      </c>
      <c r="HC34">
        <f t="shared" si="34"/>
        <v>0</v>
      </c>
      <c r="HD34">
        <f t="shared" si="35"/>
        <v>0</v>
      </c>
      <c r="HE34">
        <f t="shared" si="36"/>
        <v>0</v>
      </c>
      <c r="HF34">
        <f t="shared" si="37"/>
        <v>0</v>
      </c>
      <c r="HG34">
        <f t="shared" si="38"/>
        <v>0</v>
      </c>
      <c r="HH34">
        <f t="shared" si="39"/>
        <v>0</v>
      </c>
      <c r="HI34">
        <f t="shared" si="40"/>
        <v>0</v>
      </c>
      <c r="HJ34">
        <f t="shared" si="41"/>
        <v>0</v>
      </c>
      <c r="HK34">
        <f t="shared" si="42"/>
        <v>0</v>
      </c>
      <c r="HL34">
        <f t="shared" si="43"/>
        <v>0</v>
      </c>
      <c r="HM34">
        <f t="shared" si="44"/>
        <v>0</v>
      </c>
      <c r="HO34" s="51">
        <v>57</v>
      </c>
      <c r="HP34" t="s">
        <v>0</v>
      </c>
      <c r="HQ34" t="s">
        <v>439</v>
      </c>
      <c r="HR34">
        <v>76.625</v>
      </c>
      <c r="HS34">
        <v>104.375</v>
      </c>
      <c r="HT34">
        <v>91.5</v>
      </c>
      <c r="HU34">
        <v>2.4375</v>
      </c>
      <c r="HV34" s="51">
        <v>57</v>
      </c>
      <c r="HW34">
        <f t="shared" si="45"/>
        <v>0</v>
      </c>
      <c r="HX34">
        <f t="shared" si="45"/>
        <v>0</v>
      </c>
      <c r="HY34">
        <f t="shared" si="46"/>
        <v>2.75</v>
      </c>
      <c r="HZ34">
        <f t="shared" si="47"/>
        <v>17.5425</v>
      </c>
      <c r="IA34">
        <f t="shared" si="48"/>
        <v>0</v>
      </c>
      <c r="IB34">
        <f t="shared" si="48"/>
        <v>0</v>
      </c>
      <c r="IC34">
        <f t="shared" si="48"/>
        <v>0</v>
      </c>
      <c r="ID34">
        <f t="shared" si="49"/>
        <v>0.25</v>
      </c>
      <c r="IE34">
        <f t="shared" si="50"/>
        <v>0.25</v>
      </c>
      <c r="IF34">
        <f t="shared" si="51"/>
        <v>0</v>
      </c>
      <c r="IG34">
        <f t="shared" si="52"/>
        <v>9</v>
      </c>
      <c r="IH34">
        <f t="shared" si="53"/>
        <v>3.75</v>
      </c>
      <c r="II34">
        <f t="shared" si="54"/>
        <v>0</v>
      </c>
      <c r="IJ34">
        <f t="shared" si="55"/>
        <v>0</v>
      </c>
      <c r="IK34">
        <f t="shared" si="56"/>
        <v>0</v>
      </c>
      <c r="IL34">
        <f t="shared" si="62"/>
        <v>0</v>
      </c>
      <c r="IM34">
        <f t="shared" si="57"/>
        <v>1.75</v>
      </c>
      <c r="IN34">
        <f t="shared" si="58"/>
        <v>0</v>
      </c>
      <c r="IO34">
        <f t="shared" si="60"/>
        <v>1554.25</v>
      </c>
      <c r="IP34">
        <f t="shared" si="60"/>
        <v>5.5</v>
      </c>
      <c r="IQ34">
        <f t="shared" si="60"/>
        <v>0</v>
      </c>
      <c r="IR34">
        <f t="shared" si="60"/>
        <v>0</v>
      </c>
      <c r="IS34">
        <f t="shared" si="60"/>
        <v>0.25</v>
      </c>
      <c r="IT34">
        <f t="shared" si="60"/>
        <v>0</v>
      </c>
      <c r="IU34">
        <f t="shared" si="60"/>
        <v>0</v>
      </c>
      <c r="IV34">
        <f t="shared" si="60"/>
        <v>5.5</v>
      </c>
      <c r="IW34">
        <f t="shared" si="60"/>
        <v>2</v>
      </c>
      <c r="IX34">
        <f t="shared" si="60"/>
        <v>0</v>
      </c>
      <c r="IY34">
        <f t="shared" si="59"/>
        <v>2</v>
      </c>
      <c r="IZ34">
        <f t="shared" si="63"/>
        <v>3</v>
      </c>
      <c r="JA34">
        <f t="shared" si="61"/>
        <v>0</v>
      </c>
      <c r="JB34">
        <f t="shared" si="61"/>
        <v>0</v>
      </c>
      <c r="JC34">
        <f t="shared" si="61"/>
        <v>0</v>
      </c>
      <c r="JD34">
        <f t="shared" si="61"/>
        <v>0</v>
      </c>
      <c r="JE34">
        <f t="shared" si="61"/>
        <v>0</v>
      </c>
      <c r="JF34">
        <f t="shared" si="61"/>
        <v>0</v>
      </c>
      <c r="JG34">
        <f t="shared" si="61"/>
        <v>0</v>
      </c>
      <c r="JH34">
        <f t="shared" si="61"/>
        <v>0</v>
      </c>
      <c r="JI34">
        <f t="shared" si="61"/>
        <v>0</v>
      </c>
      <c r="JJ34">
        <f t="shared" si="61"/>
        <v>0</v>
      </c>
      <c r="JK34">
        <f t="shared" si="61"/>
        <v>0</v>
      </c>
      <c r="JL34">
        <f t="shared" si="61"/>
        <v>0</v>
      </c>
      <c r="JM34">
        <f t="shared" si="61"/>
        <v>0</v>
      </c>
      <c r="JN34">
        <f t="shared" si="61"/>
        <v>0</v>
      </c>
      <c r="JO34">
        <f t="shared" si="61"/>
        <v>0</v>
      </c>
    </row>
    <row r="35" spans="2:275" x14ac:dyDescent="0.25">
      <c r="B35" s="51">
        <v>59</v>
      </c>
      <c r="C35" t="s">
        <v>440</v>
      </c>
      <c r="D35" t="s">
        <v>439</v>
      </c>
      <c r="E35">
        <v>86.5</v>
      </c>
      <c r="F35">
        <v>120</v>
      </c>
      <c r="G35">
        <v>80.625</v>
      </c>
      <c r="H35">
        <v>2.75</v>
      </c>
      <c r="I35" s="51">
        <v>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0.5</v>
      </c>
      <c r="V35">
        <v>0</v>
      </c>
      <c r="W35">
        <v>23.25</v>
      </c>
      <c r="X35">
        <v>0</v>
      </c>
      <c r="Y35">
        <v>0</v>
      </c>
      <c r="Z35">
        <v>0.25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2.5</v>
      </c>
      <c r="BC35">
        <v>1.75</v>
      </c>
      <c r="BD35">
        <v>0</v>
      </c>
      <c r="BE35">
        <v>1.5</v>
      </c>
      <c r="BF35">
        <v>9.5</v>
      </c>
      <c r="BG35">
        <v>6.25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2112.5</v>
      </c>
      <c r="CG35">
        <v>4</v>
      </c>
      <c r="CH35">
        <v>173.75</v>
      </c>
      <c r="CI35">
        <v>5.75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0.5</v>
      </c>
      <c r="CT35">
        <v>2.25</v>
      </c>
      <c r="CU35">
        <v>0.75</v>
      </c>
      <c r="CV35">
        <v>0.5</v>
      </c>
      <c r="CW35">
        <v>0</v>
      </c>
      <c r="CX35">
        <v>0</v>
      </c>
      <c r="CY35">
        <v>0</v>
      </c>
      <c r="CZ35">
        <v>0.5</v>
      </c>
      <c r="DA35">
        <v>0</v>
      </c>
      <c r="DB35">
        <v>0</v>
      </c>
      <c r="DC35">
        <v>0.75</v>
      </c>
      <c r="DD35">
        <v>0</v>
      </c>
      <c r="DE35">
        <v>0</v>
      </c>
      <c r="DF35">
        <v>0</v>
      </c>
      <c r="DG35">
        <v>0</v>
      </c>
      <c r="DH35">
        <v>0.25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0.25</v>
      </c>
      <c r="EP35" s="51">
        <v>59</v>
      </c>
      <c r="EQ35" t="s">
        <v>440</v>
      </c>
      <c r="ER35" t="s">
        <v>439</v>
      </c>
      <c r="ES35">
        <v>86.5</v>
      </c>
      <c r="ET35">
        <v>120</v>
      </c>
      <c r="EU35">
        <v>80.625</v>
      </c>
      <c r="EV35">
        <v>2.75</v>
      </c>
      <c r="EW35" s="51">
        <v>59</v>
      </c>
      <c r="EX35">
        <f t="shared" si="4"/>
        <v>0</v>
      </c>
      <c r="EY35">
        <f t="shared" si="5"/>
        <v>0</v>
      </c>
      <c r="EZ35">
        <f t="shared" si="6"/>
        <v>0</v>
      </c>
      <c r="FA35">
        <f t="shared" si="6"/>
        <v>0</v>
      </c>
      <c r="FB35">
        <f t="shared" si="6"/>
        <v>0</v>
      </c>
      <c r="FC35">
        <f t="shared" si="6"/>
        <v>1.5</v>
      </c>
      <c r="FD35">
        <f t="shared" si="7"/>
        <v>0</v>
      </c>
      <c r="FE35">
        <f t="shared" si="7"/>
        <v>23.25</v>
      </c>
      <c r="FF35">
        <f t="shared" si="8"/>
        <v>0.25</v>
      </c>
      <c r="FG35">
        <f t="shared" si="9"/>
        <v>0</v>
      </c>
      <c r="FH35">
        <f t="shared" si="10"/>
        <v>0</v>
      </c>
      <c r="FI35">
        <f t="shared" si="11"/>
        <v>0</v>
      </c>
      <c r="FJ35">
        <f t="shared" si="11"/>
        <v>0</v>
      </c>
      <c r="FK35">
        <f t="shared" si="11"/>
        <v>0</v>
      </c>
      <c r="FL35">
        <f t="shared" si="11"/>
        <v>0</v>
      </c>
      <c r="FM35">
        <f t="shared" si="12"/>
        <v>0</v>
      </c>
      <c r="FN35">
        <f t="shared" si="12"/>
        <v>0</v>
      </c>
      <c r="FO35">
        <f t="shared" si="12"/>
        <v>0</v>
      </c>
      <c r="FP35">
        <f t="shared" si="13"/>
        <v>0</v>
      </c>
      <c r="FQ35">
        <f t="shared" si="13"/>
        <v>0</v>
      </c>
      <c r="FR35">
        <f t="shared" si="13"/>
        <v>0</v>
      </c>
      <c r="FS35">
        <f t="shared" si="14"/>
        <v>0</v>
      </c>
      <c r="FT35">
        <f t="shared" si="14"/>
        <v>1.5</v>
      </c>
      <c r="FU35">
        <f t="shared" si="14"/>
        <v>12</v>
      </c>
      <c r="FV35">
        <f t="shared" si="14"/>
        <v>8</v>
      </c>
      <c r="FW35">
        <f t="shared" si="15"/>
        <v>0</v>
      </c>
      <c r="FX35">
        <f t="shared" si="15"/>
        <v>0</v>
      </c>
      <c r="FY35">
        <f t="shared" si="15"/>
        <v>0</v>
      </c>
      <c r="FZ35">
        <f t="shared" si="16"/>
        <v>0</v>
      </c>
      <c r="GA35">
        <f t="shared" si="16"/>
        <v>0</v>
      </c>
      <c r="GB35">
        <f t="shared" si="17"/>
        <v>0</v>
      </c>
      <c r="GC35">
        <f t="shared" si="18"/>
        <v>0</v>
      </c>
      <c r="GD35">
        <f t="shared" si="18"/>
        <v>12</v>
      </c>
      <c r="GE35">
        <f t="shared" si="18"/>
        <v>0</v>
      </c>
      <c r="GF35">
        <f t="shared" si="19"/>
        <v>0</v>
      </c>
      <c r="GG35">
        <f t="shared" si="19"/>
        <v>0</v>
      </c>
      <c r="GH35">
        <f t="shared" si="19"/>
        <v>0</v>
      </c>
      <c r="GI35">
        <f t="shared" si="20"/>
        <v>2286.25</v>
      </c>
      <c r="GJ35">
        <f t="shared" si="20"/>
        <v>9.75</v>
      </c>
      <c r="GK35">
        <f t="shared" si="21"/>
        <v>0</v>
      </c>
      <c r="GL35">
        <f t="shared" si="22"/>
        <v>0</v>
      </c>
      <c r="GM35">
        <f t="shared" si="23"/>
        <v>1</v>
      </c>
      <c r="GN35">
        <f t="shared" si="23"/>
        <v>0</v>
      </c>
      <c r="GO35">
        <f t="shared" si="24"/>
        <v>0</v>
      </c>
      <c r="GP35">
        <f t="shared" si="25"/>
        <v>2.75</v>
      </c>
      <c r="GQ35">
        <f t="shared" si="26"/>
        <v>1.25</v>
      </c>
      <c r="GR35">
        <f t="shared" si="27"/>
        <v>0</v>
      </c>
      <c r="GS35">
        <f t="shared" si="28"/>
        <v>0</v>
      </c>
      <c r="GT35">
        <f t="shared" si="28"/>
        <v>1.25</v>
      </c>
      <c r="GU35">
        <f t="shared" si="28"/>
        <v>0</v>
      </c>
      <c r="GV35">
        <f t="shared" si="29"/>
        <v>0.25</v>
      </c>
      <c r="GW35">
        <f t="shared" si="29"/>
        <v>0</v>
      </c>
      <c r="GX35">
        <f t="shared" si="29"/>
        <v>0</v>
      </c>
      <c r="GY35">
        <f t="shared" si="30"/>
        <v>0</v>
      </c>
      <c r="GZ35">
        <f t="shared" si="31"/>
        <v>0</v>
      </c>
      <c r="HA35">
        <f t="shared" si="32"/>
        <v>0</v>
      </c>
      <c r="HB35">
        <f t="shared" si="33"/>
        <v>0</v>
      </c>
      <c r="HC35">
        <f t="shared" si="34"/>
        <v>0</v>
      </c>
      <c r="HD35">
        <f t="shared" si="35"/>
        <v>0</v>
      </c>
      <c r="HE35">
        <f t="shared" si="36"/>
        <v>0</v>
      </c>
      <c r="HF35">
        <f t="shared" si="37"/>
        <v>0</v>
      </c>
      <c r="HG35">
        <f t="shared" si="38"/>
        <v>0</v>
      </c>
      <c r="HH35">
        <f t="shared" si="39"/>
        <v>0</v>
      </c>
      <c r="HI35">
        <f t="shared" si="40"/>
        <v>0</v>
      </c>
      <c r="HJ35">
        <f t="shared" si="41"/>
        <v>0</v>
      </c>
      <c r="HK35">
        <f t="shared" si="42"/>
        <v>0</v>
      </c>
      <c r="HL35">
        <f t="shared" si="43"/>
        <v>0</v>
      </c>
      <c r="HM35">
        <f t="shared" si="44"/>
        <v>0.25</v>
      </c>
      <c r="HO35" s="51">
        <v>59</v>
      </c>
      <c r="HP35" t="s">
        <v>440</v>
      </c>
      <c r="HQ35" t="s">
        <v>439</v>
      </c>
      <c r="HR35">
        <v>86.5</v>
      </c>
      <c r="HS35">
        <v>120</v>
      </c>
      <c r="HT35">
        <v>80.625</v>
      </c>
      <c r="HU35">
        <v>2.75</v>
      </c>
      <c r="HV35" s="51">
        <v>59</v>
      </c>
      <c r="HW35">
        <f t="shared" si="45"/>
        <v>0</v>
      </c>
      <c r="HX35">
        <f t="shared" si="45"/>
        <v>0</v>
      </c>
      <c r="HY35">
        <f t="shared" si="46"/>
        <v>1.5</v>
      </c>
      <c r="HZ35">
        <f t="shared" si="47"/>
        <v>23.25</v>
      </c>
      <c r="IA35">
        <f t="shared" si="48"/>
        <v>0.25</v>
      </c>
      <c r="IB35">
        <f t="shared" si="48"/>
        <v>0</v>
      </c>
      <c r="IC35">
        <f t="shared" si="48"/>
        <v>0</v>
      </c>
      <c r="ID35">
        <f t="shared" si="49"/>
        <v>0</v>
      </c>
      <c r="IE35">
        <f t="shared" si="50"/>
        <v>0</v>
      </c>
      <c r="IF35">
        <f t="shared" si="51"/>
        <v>0</v>
      </c>
      <c r="IG35">
        <f t="shared" si="52"/>
        <v>13.5</v>
      </c>
      <c r="IH35">
        <f t="shared" si="53"/>
        <v>8</v>
      </c>
      <c r="II35">
        <f t="shared" si="54"/>
        <v>0</v>
      </c>
      <c r="IJ35">
        <f t="shared" si="55"/>
        <v>0</v>
      </c>
      <c r="IK35">
        <f t="shared" si="56"/>
        <v>0</v>
      </c>
      <c r="IL35">
        <f t="shared" si="62"/>
        <v>0</v>
      </c>
      <c r="IM35">
        <f t="shared" si="57"/>
        <v>12</v>
      </c>
      <c r="IN35">
        <f t="shared" si="58"/>
        <v>0</v>
      </c>
      <c r="IO35">
        <f t="shared" si="60"/>
        <v>2286.25</v>
      </c>
      <c r="IP35">
        <f t="shared" si="60"/>
        <v>9.75</v>
      </c>
      <c r="IQ35">
        <f t="shared" si="60"/>
        <v>0</v>
      </c>
      <c r="IR35">
        <f t="shared" si="60"/>
        <v>0</v>
      </c>
      <c r="IS35">
        <f t="shared" si="60"/>
        <v>1</v>
      </c>
      <c r="IT35">
        <f t="shared" si="60"/>
        <v>0</v>
      </c>
      <c r="IU35">
        <f t="shared" si="60"/>
        <v>0</v>
      </c>
      <c r="IV35">
        <f t="shared" si="60"/>
        <v>2.75</v>
      </c>
      <c r="IW35">
        <f t="shared" si="60"/>
        <v>1.25</v>
      </c>
      <c r="IX35">
        <f t="shared" si="60"/>
        <v>0</v>
      </c>
      <c r="IY35">
        <f t="shared" si="59"/>
        <v>1.25</v>
      </c>
      <c r="IZ35">
        <f t="shared" si="63"/>
        <v>0.25</v>
      </c>
      <c r="JA35">
        <f t="shared" si="61"/>
        <v>0</v>
      </c>
      <c r="JB35">
        <f t="shared" si="61"/>
        <v>0</v>
      </c>
      <c r="JC35">
        <f t="shared" si="61"/>
        <v>0</v>
      </c>
      <c r="JD35">
        <f t="shared" si="61"/>
        <v>0</v>
      </c>
      <c r="JE35">
        <f t="shared" si="61"/>
        <v>0</v>
      </c>
      <c r="JF35">
        <f t="shared" si="61"/>
        <v>0</v>
      </c>
      <c r="JG35">
        <f t="shared" si="61"/>
        <v>0</v>
      </c>
      <c r="JH35">
        <f t="shared" si="61"/>
        <v>0</v>
      </c>
      <c r="JI35">
        <f t="shared" si="61"/>
        <v>0</v>
      </c>
      <c r="JJ35">
        <f t="shared" si="61"/>
        <v>0</v>
      </c>
      <c r="JK35">
        <f t="shared" si="61"/>
        <v>0</v>
      </c>
      <c r="JL35">
        <f t="shared" si="61"/>
        <v>0</v>
      </c>
      <c r="JM35">
        <f t="shared" si="61"/>
        <v>0</v>
      </c>
      <c r="JN35">
        <f t="shared" si="61"/>
        <v>0</v>
      </c>
      <c r="JO35">
        <f t="shared" si="61"/>
        <v>0.25</v>
      </c>
    </row>
    <row r="36" spans="2:275" x14ac:dyDescent="0.25">
      <c r="B36" s="51">
        <v>62</v>
      </c>
      <c r="C36" t="s">
        <v>0</v>
      </c>
      <c r="D36" t="s">
        <v>439</v>
      </c>
      <c r="E36">
        <v>92.875</v>
      </c>
      <c r="F36">
        <v>116.25</v>
      </c>
      <c r="G36">
        <v>130.625</v>
      </c>
      <c r="H36">
        <v>3</v>
      </c>
      <c r="I36" s="51">
        <v>62</v>
      </c>
      <c r="J36">
        <v>0</v>
      </c>
      <c r="K36">
        <v>0</v>
      </c>
      <c r="L36">
        <v>0</v>
      </c>
      <c r="M36">
        <v>0</v>
      </c>
      <c r="N36">
        <v>0</v>
      </c>
      <c r="O36">
        <v>0.5</v>
      </c>
      <c r="P36">
        <v>0</v>
      </c>
      <c r="Q36">
        <v>0.25</v>
      </c>
      <c r="R36">
        <v>0</v>
      </c>
      <c r="S36">
        <v>0</v>
      </c>
      <c r="T36">
        <v>0</v>
      </c>
      <c r="U36">
        <v>0.5</v>
      </c>
      <c r="V36">
        <v>0</v>
      </c>
      <c r="W36">
        <v>17</v>
      </c>
      <c r="X36">
        <v>0</v>
      </c>
      <c r="Y36">
        <v>0.5</v>
      </c>
      <c r="Z36">
        <v>0.25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0.25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2.75</v>
      </c>
      <c r="BC36">
        <v>1</v>
      </c>
      <c r="BD36">
        <v>0</v>
      </c>
      <c r="BE36">
        <v>0.25</v>
      </c>
      <c r="BF36">
        <v>7.75</v>
      </c>
      <c r="BG36">
        <v>4.5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2.5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1617.25</v>
      </c>
      <c r="CG36">
        <v>44.5</v>
      </c>
      <c r="CH36">
        <v>2846.5</v>
      </c>
      <c r="CI36">
        <v>12</v>
      </c>
      <c r="CJ36">
        <v>0</v>
      </c>
      <c r="CK36">
        <v>4.75</v>
      </c>
      <c r="CL36">
        <v>0</v>
      </c>
      <c r="CM36">
        <v>0.25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1.5</v>
      </c>
      <c r="CT36">
        <v>3.25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3.75</v>
      </c>
      <c r="DA36">
        <v>0.75</v>
      </c>
      <c r="DB36">
        <v>0</v>
      </c>
      <c r="DC36">
        <v>3.25</v>
      </c>
      <c r="DD36">
        <v>1</v>
      </c>
      <c r="DE36">
        <v>0</v>
      </c>
      <c r="DF36">
        <v>0</v>
      </c>
      <c r="DG36">
        <v>0</v>
      </c>
      <c r="DH36">
        <v>0.5</v>
      </c>
      <c r="DI36">
        <v>0</v>
      </c>
      <c r="DJ36">
        <v>0</v>
      </c>
      <c r="DK36">
        <v>0</v>
      </c>
      <c r="DL36">
        <v>0.25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3.75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0.25</v>
      </c>
      <c r="EP36" s="51">
        <v>62</v>
      </c>
      <c r="EQ36" t="s">
        <v>0</v>
      </c>
      <c r="ER36" t="s">
        <v>439</v>
      </c>
      <c r="ES36">
        <v>92.875</v>
      </c>
      <c r="ET36">
        <v>116.25</v>
      </c>
      <c r="EU36">
        <v>130.625</v>
      </c>
      <c r="EV36">
        <v>3</v>
      </c>
      <c r="EW36" s="51">
        <v>62</v>
      </c>
      <c r="EX36">
        <f t="shared" si="4"/>
        <v>0</v>
      </c>
      <c r="EY36">
        <f t="shared" si="5"/>
        <v>0</v>
      </c>
      <c r="EZ36">
        <f t="shared" si="6"/>
        <v>0</v>
      </c>
      <c r="FA36">
        <f t="shared" si="6"/>
        <v>0.5</v>
      </c>
      <c r="FB36">
        <f t="shared" si="6"/>
        <v>0</v>
      </c>
      <c r="FC36">
        <f t="shared" si="6"/>
        <v>0.75</v>
      </c>
      <c r="FD36">
        <f t="shared" si="7"/>
        <v>0</v>
      </c>
      <c r="FE36">
        <f t="shared" si="7"/>
        <v>17.5</v>
      </c>
      <c r="FF36">
        <f t="shared" si="8"/>
        <v>0.25</v>
      </c>
      <c r="FG36">
        <f t="shared" si="9"/>
        <v>0</v>
      </c>
      <c r="FH36">
        <f t="shared" si="10"/>
        <v>0</v>
      </c>
      <c r="FI36">
        <f t="shared" si="11"/>
        <v>0</v>
      </c>
      <c r="FJ36">
        <f t="shared" si="11"/>
        <v>0</v>
      </c>
      <c r="FK36">
        <f t="shared" si="11"/>
        <v>0</v>
      </c>
      <c r="FL36">
        <f t="shared" si="11"/>
        <v>0</v>
      </c>
      <c r="FM36">
        <f t="shared" si="12"/>
        <v>0</v>
      </c>
      <c r="FN36">
        <f t="shared" si="12"/>
        <v>0</v>
      </c>
      <c r="FO36">
        <f t="shared" si="12"/>
        <v>0.25</v>
      </c>
      <c r="FP36">
        <f t="shared" si="13"/>
        <v>0</v>
      </c>
      <c r="FQ36">
        <f t="shared" si="13"/>
        <v>0</v>
      </c>
      <c r="FR36">
        <f t="shared" si="13"/>
        <v>0</v>
      </c>
      <c r="FS36">
        <f t="shared" si="14"/>
        <v>0</v>
      </c>
      <c r="FT36">
        <f t="shared" si="14"/>
        <v>0.25</v>
      </c>
      <c r="FU36">
        <f t="shared" si="14"/>
        <v>10.5</v>
      </c>
      <c r="FV36">
        <f t="shared" si="14"/>
        <v>5.5</v>
      </c>
      <c r="FW36">
        <f t="shared" si="15"/>
        <v>0</v>
      </c>
      <c r="FX36">
        <f t="shared" si="15"/>
        <v>0</v>
      </c>
      <c r="FY36">
        <f t="shared" si="15"/>
        <v>0</v>
      </c>
      <c r="FZ36">
        <f t="shared" si="16"/>
        <v>0</v>
      </c>
      <c r="GA36">
        <f t="shared" si="16"/>
        <v>0</v>
      </c>
      <c r="GB36">
        <f t="shared" si="17"/>
        <v>0</v>
      </c>
      <c r="GC36">
        <f t="shared" si="18"/>
        <v>0</v>
      </c>
      <c r="GD36">
        <f t="shared" si="18"/>
        <v>2.5</v>
      </c>
      <c r="GE36">
        <f t="shared" si="18"/>
        <v>0</v>
      </c>
      <c r="GF36">
        <f t="shared" si="19"/>
        <v>0</v>
      </c>
      <c r="GG36">
        <f t="shared" si="19"/>
        <v>0</v>
      </c>
      <c r="GH36">
        <f t="shared" si="19"/>
        <v>0</v>
      </c>
      <c r="GI36">
        <f t="shared" si="20"/>
        <v>4463.75</v>
      </c>
      <c r="GJ36">
        <f t="shared" si="20"/>
        <v>56.5</v>
      </c>
      <c r="GK36">
        <f t="shared" si="21"/>
        <v>4.75</v>
      </c>
      <c r="GL36">
        <f t="shared" si="22"/>
        <v>0</v>
      </c>
      <c r="GM36">
        <f t="shared" si="23"/>
        <v>0.25</v>
      </c>
      <c r="GN36">
        <f t="shared" si="23"/>
        <v>0</v>
      </c>
      <c r="GO36">
        <f t="shared" si="24"/>
        <v>0</v>
      </c>
      <c r="GP36">
        <f t="shared" si="25"/>
        <v>4.75</v>
      </c>
      <c r="GQ36">
        <f t="shared" si="26"/>
        <v>1</v>
      </c>
      <c r="GR36">
        <f t="shared" si="27"/>
        <v>0</v>
      </c>
      <c r="GS36">
        <f t="shared" si="28"/>
        <v>0</v>
      </c>
      <c r="GT36">
        <f t="shared" si="28"/>
        <v>7</v>
      </c>
      <c r="GU36">
        <f t="shared" si="28"/>
        <v>1.75</v>
      </c>
      <c r="GV36">
        <f t="shared" si="29"/>
        <v>0.5</v>
      </c>
      <c r="GW36">
        <f t="shared" si="29"/>
        <v>0</v>
      </c>
      <c r="GX36">
        <f t="shared" si="29"/>
        <v>0</v>
      </c>
      <c r="GY36">
        <f t="shared" si="30"/>
        <v>0.25</v>
      </c>
      <c r="GZ36">
        <f t="shared" si="31"/>
        <v>0</v>
      </c>
      <c r="HA36">
        <f t="shared" si="32"/>
        <v>0</v>
      </c>
      <c r="HB36">
        <f t="shared" si="33"/>
        <v>0</v>
      </c>
      <c r="HC36">
        <f t="shared" si="34"/>
        <v>3.75</v>
      </c>
      <c r="HD36">
        <f t="shared" si="35"/>
        <v>0</v>
      </c>
      <c r="HE36">
        <f t="shared" si="36"/>
        <v>0</v>
      </c>
      <c r="HF36">
        <f t="shared" si="37"/>
        <v>0</v>
      </c>
      <c r="HG36">
        <f t="shared" si="38"/>
        <v>0</v>
      </c>
      <c r="HH36">
        <f t="shared" si="39"/>
        <v>0</v>
      </c>
      <c r="HI36">
        <f t="shared" si="40"/>
        <v>0</v>
      </c>
      <c r="HJ36">
        <f t="shared" si="41"/>
        <v>0</v>
      </c>
      <c r="HK36">
        <f t="shared" si="42"/>
        <v>0</v>
      </c>
      <c r="HL36">
        <f t="shared" si="43"/>
        <v>0</v>
      </c>
      <c r="HM36">
        <f t="shared" si="44"/>
        <v>0.25</v>
      </c>
      <c r="HO36" s="51">
        <v>62</v>
      </c>
      <c r="HP36" t="s">
        <v>0</v>
      </c>
      <c r="HQ36" t="s">
        <v>439</v>
      </c>
      <c r="HR36">
        <v>92.875</v>
      </c>
      <c r="HS36">
        <v>116.25</v>
      </c>
      <c r="HT36">
        <v>130.625</v>
      </c>
      <c r="HU36">
        <v>3</v>
      </c>
      <c r="HV36" s="51">
        <v>62</v>
      </c>
      <c r="HW36">
        <f t="shared" si="45"/>
        <v>0</v>
      </c>
      <c r="HX36">
        <f t="shared" si="45"/>
        <v>0</v>
      </c>
      <c r="HY36">
        <f t="shared" si="46"/>
        <v>1.25</v>
      </c>
      <c r="HZ36">
        <f t="shared" si="47"/>
        <v>17.5</v>
      </c>
      <c r="IA36">
        <f t="shared" si="48"/>
        <v>0.25</v>
      </c>
      <c r="IB36">
        <f t="shared" si="48"/>
        <v>0</v>
      </c>
      <c r="IC36">
        <f t="shared" si="48"/>
        <v>0</v>
      </c>
      <c r="ID36">
        <f t="shared" si="49"/>
        <v>0</v>
      </c>
      <c r="IE36">
        <f t="shared" si="50"/>
        <v>0.25</v>
      </c>
      <c r="IF36">
        <f t="shared" si="51"/>
        <v>0</v>
      </c>
      <c r="IG36">
        <f t="shared" si="52"/>
        <v>10.75</v>
      </c>
      <c r="IH36">
        <f t="shared" si="53"/>
        <v>5.5</v>
      </c>
      <c r="II36">
        <f t="shared" si="54"/>
        <v>0</v>
      </c>
      <c r="IJ36">
        <f t="shared" si="55"/>
        <v>0</v>
      </c>
      <c r="IK36">
        <f t="shared" si="56"/>
        <v>0</v>
      </c>
      <c r="IL36">
        <f t="shared" si="62"/>
        <v>0</v>
      </c>
      <c r="IM36">
        <f t="shared" si="57"/>
        <v>2.5</v>
      </c>
      <c r="IN36">
        <f t="shared" si="58"/>
        <v>0</v>
      </c>
      <c r="IO36">
        <f t="shared" si="60"/>
        <v>4463.75</v>
      </c>
      <c r="IP36">
        <f t="shared" si="60"/>
        <v>56.5</v>
      </c>
      <c r="IQ36">
        <f t="shared" si="60"/>
        <v>4.75</v>
      </c>
      <c r="IR36">
        <f t="shared" si="60"/>
        <v>0</v>
      </c>
      <c r="IS36">
        <f t="shared" si="60"/>
        <v>0.25</v>
      </c>
      <c r="IT36">
        <f t="shared" si="60"/>
        <v>0</v>
      </c>
      <c r="IU36">
        <f t="shared" si="60"/>
        <v>0</v>
      </c>
      <c r="IV36">
        <f t="shared" si="60"/>
        <v>4.75</v>
      </c>
      <c r="IW36">
        <f t="shared" si="60"/>
        <v>1</v>
      </c>
      <c r="IX36">
        <f t="shared" si="60"/>
        <v>0</v>
      </c>
      <c r="IY36">
        <f t="shared" si="59"/>
        <v>8.75</v>
      </c>
      <c r="IZ36">
        <f t="shared" si="63"/>
        <v>0.5</v>
      </c>
      <c r="JA36">
        <f t="shared" si="61"/>
        <v>0.25</v>
      </c>
      <c r="JB36">
        <f t="shared" si="61"/>
        <v>0</v>
      </c>
      <c r="JC36">
        <f t="shared" si="61"/>
        <v>0</v>
      </c>
      <c r="JD36">
        <f t="shared" si="61"/>
        <v>0</v>
      </c>
      <c r="JE36">
        <f t="shared" si="61"/>
        <v>3.75</v>
      </c>
      <c r="JF36">
        <f t="shared" si="61"/>
        <v>0</v>
      </c>
      <c r="JG36">
        <f t="shared" si="61"/>
        <v>0</v>
      </c>
      <c r="JH36">
        <f t="shared" si="61"/>
        <v>0</v>
      </c>
      <c r="JI36">
        <f t="shared" si="61"/>
        <v>0</v>
      </c>
      <c r="JJ36">
        <f t="shared" si="61"/>
        <v>0</v>
      </c>
      <c r="JK36">
        <f t="shared" si="61"/>
        <v>0</v>
      </c>
      <c r="JL36">
        <f t="shared" si="61"/>
        <v>0</v>
      </c>
      <c r="JM36">
        <f t="shared" si="61"/>
        <v>0</v>
      </c>
      <c r="JN36">
        <f t="shared" si="61"/>
        <v>0</v>
      </c>
      <c r="JO36">
        <f t="shared" si="61"/>
        <v>0.25</v>
      </c>
    </row>
    <row r="37" spans="2:275" x14ac:dyDescent="0.25">
      <c r="B37" s="51">
        <v>63</v>
      </c>
      <c r="C37" t="s">
        <v>16</v>
      </c>
      <c r="D37" t="s">
        <v>439</v>
      </c>
      <c r="E37">
        <v>52.1875</v>
      </c>
      <c r="F37">
        <v>49.25</v>
      </c>
      <c r="G37">
        <v>47.75</v>
      </c>
      <c r="H37">
        <v>3.125</v>
      </c>
      <c r="I37" s="51">
        <v>63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0.5</v>
      </c>
      <c r="R37">
        <v>0</v>
      </c>
      <c r="S37">
        <v>0</v>
      </c>
      <c r="T37">
        <v>0</v>
      </c>
      <c r="U37">
        <v>0.5</v>
      </c>
      <c r="V37">
        <v>0</v>
      </c>
      <c r="W37">
        <v>3.5</v>
      </c>
      <c r="X37">
        <v>0</v>
      </c>
      <c r="Y37">
        <v>0.75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0.25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0.75</v>
      </c>
      <c r="BC37">
        <v>0.25</v>
      </c>
      <c r="BD37">
        <v>0</v>
      </c>
      <c r="BE37">
        <v>0.75</v>
      </c>
      <c r="BF37">
        <v>2.75</v>
      </c>
      <c r="BG37">
        <v>1.25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10.75</v>
      </c>
      <c r="BX37">
        <v>5.25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1908.75</v>
      </c>
      <c r="CG37">
        <v>3.75</v>
      </c>
      <c r="CH37">
        <v>88.25</v>
      </c>
      <c r="CI37">
        <v>10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0.5</v>
      </c>
      <c r="CS37">
        <v>0.5</v>
      </c>
      <c r="CT37">
        <v>0.5</v>
      </c>
      <c r="CU37">
        <v>0</v>
      </c>
      <c r="CV37">
        <v>0</v>
      </c>
      <c r="CW37">
        <v>0</v>
      </c>
      <c r="CX37">
        <v>1.25</v>
      </c>
      <c r="CY37">
        <v>0</v>
      </c>
      <c r="CZ37">
        <v>1</v>
      </c>
      <c r="DA37">
        <v>0.25</v>
      </c>
      <c r="DB37">
        <v>0</v>
      </c>
      <c r="DC37">
        <v>1</v>
      </c>
      <c r="DD37">
        <v>0.25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0.25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P37" s="51">
        <v>63</v>
      </c>
      <c r="EQ37" t="s">
        <v>16</v>
      </c>
      <c r="ER37" t="s">
        <v>439</v>
      </c>
      <c r="ES37">
        <v>52.1875</v>
      </c>
      <c r="ET37">
        <v>49.25</v>
      </c>
      <c r="EU37">
        <v>47.75</v>
      </c>
      <c r="EV37">
        <v>3.125</v>
      </c>
      <c r="EW37" s="51">
        <v>63</v>
      </c>
      <c r="EX37">
        <f t="shared" si="4"/>
        <v>0</v>
      </c>
      <c r="EY37">
        <f t="shared" si="5"/>
        <v>0</v>
      </c>
      <c r="EZ37">
        <f t="shared" si="6"/>
        <v>0</v>
      </c>
      <c r="FA37">
        <f t="shared" si="6"/>
        <v>0</v>
      </c>
      <c r="FB37">
        <f t="shared" si="6"/>
        <v>0</v>
      </c>
      <c r="FC37">
        <f t="shared" si="6"/>
        <v>1</v>
      </c>
      <c r="FD37">
        <f t="shared" si="7"/>
        <v>0</v>
      </c>
      <c r="FE37">
        <f t="shared" si="7"/>
        <v>4.25</v>
      </c>
      <c r="FF37">
        <f t="shared" si="8"/>
        <v>0</v>
      </c>
      <c r="FG37">
        <f t="shared" si="9"/>
        <v>0</v>
      </c>
      <c r="FH37">
        <f t="shared" si="10"/>
        <v>0</v>
      </c>
      <c r="FI37">
        <f t="shared" si="11"/>
        <v>0</v>
      </c>
      <c r="FJ37">
        <f t="shared" si="11"/>
        <v>0</v>
      </c>
      <c r="FK37">
        <f t="shared" si="11"/>
        <v>0</v>
      </c>
      <c r="FL37">
        <f t="shared" si="11"/>
        <v>0</v>
      </c>
      <c r="FM37">
        <f t="shared" si="12"/>
        <v>0</v>
      </c>
      <c r="FN37">
        <f t="shared" si="12"/>
        <v>0</v>
      </c>
      <c r="FO37">
        <f t="shared" si="12"/>
        <v>0.25</v>
      </c>
      <c r="FP37">
        <f t="shared" si="13"/>
        <v>0</v>
      </c>
      <c r="FQ37">
        <f t="shared" si="13"/>
        <v>0</v>
      </c>
      <c r="FR37">
        <f t="shared" si="13"/>
        <v>0</v>
      </c>
      <c r="FS37">
        <f t="shared" si="14"/>
        <v>0</v>
      </c>
      <c r="FT37">
        <f t="shared" si="14"/>
        <v>0.75</v>
      </c>
      <c r="FU37">
        <f t="shared" si="14"/>
        <v>3.5</v>
      </c>
      <c r="FV37">
        <f t="shared" si="14"/>
        <v>1.5</v>
      </c>
      <c r="FW37">
        <f t="shared" si="15"/>
        <v>0</v>
      </c>
      <c r="FX37">
        <f t="shared" si="15"/>
        <v>0</v>
      </c>
      <c r="FY37">
        <f t="shared" si="15"/>
        <v>0</v>
      </c>
      <c r="FZ37">
        <f t="shared" si="16"/>
        <v>0</v>
      </c>
      <c r="GA37">
        <f t="shared" si="16"/>
        <v>0</v>
      </c>
      <c r="GB37">
        <f t="shared" si="17"/>
        <v>0</v>
      </c>
      <c r="GC37">
        <f t="shared" si="18"/>
        <v>10.75</v>
      </c>
      <c r="GD37">
        <f t="shared" si="18"/>
        <v>5.25</v>
      </c>
      <c r="GE37">
        <f t="shared" si="18"/>
        <v>0</v>
      </c>
      <c r="GF37">
        <f t="shared" si="19"/>
        <v>0</v>
      </c>
      <c r="GG37">
        <f t="shared" si="19"/>
        <v>0</v>
      </c>
      <c r="GH37">
        <f t="shared" si="19"/>
        <v>0</v>
      </c>
      <c r="GI37">
        <f t="shared" si="20"/>
        <v>1997</v>
      </c>
      <c r="GJ37">
        <f t="shared" si="20"/>
        <v>13.75</v>
      </c>
      <c r="GK37">
        <f t="shared" si="21"/>
        <v>0</v>
      </c>
      <c r="GL37">
        <f t="shared" si="22"/>
        <v>0</v>
      </c>
      <c r="GM37">
        <f t="shared" si="23"/>
        <v>0</v>
      </c>
      <c r="GN37">
        <f t="shared" si="23"/>
        <v>0</v>
      </c>
      <c r="GO37">
        <f t="shared" si="24"/>
        <v>0.5</v>
      </c>
      <c r="GP37">
        <f t="shared" si="25"/>
        <v>1</v>
      </c>
      <c r="GQ37">
        <f t="shared" si="26"/>
        <v>0</v>
      </c>
      <c r="GR37">
        <f t="shared" si="27"/>
        <v>1.25</v>
      </c>
      <c r="GS37">
        <f t="shared" si="28"/>
        <v>0</v>
      </c>
      <c r="GT37">
        <f t="shared" si="28"/>
        <v>2</v>
      </c>
      <c r="GU37">
        <f t="shared" si="28"/>
        <v>0.5</v>
      </c>
      <c r="GV37">
        <f t="shared" si="29"/>
        <v>0</v>
      </c>
      <c r="GW37">
        <f t="shared" si="29"/>
        <v>0</v>
      </c>
      <c r="GX37">
        <f t="shared" si="29"/>
        <v>0</v>
      </c>
      <c r="GY37">
        <f t="shared" si="30"/>
        <v>0</v>
      </c>
      <c r="GZ37">
        <f t="shared" si="31"/>
        <v>0</v>
      </c>
      <c r="HA37">
        <f t="shared" si="32"/>
        <v>0</v>
      </c>
      <c r="HB37">
        <f t="shared" si="33"/>
        <v>0</v>
      </c>
      <c r="HC37">
        <f t="shared" si="34"/>
        <v>0.25</v>
      </c>
      <c r="HD37">
        <f t="shared" si="35"/>
        <v>0</v>
      </c>
      <c r="HE37">
        <f t="shared" si="36"/>
        <v>0</v>
      </c>
      <c r="HF37">
        <f t="shared" si="37"/>
        <v>0</v>
      </c>
      <c r="HG37">
        <f t="shared" si="38"/>
        <v>0</v>
      </c>
      <c r="HH37">
        <f t="shared" si="39"/>
        <v>0</v>
      </c>
      <c r="HI37">
        <f t="shared" si="40"/>
        <v>0</v>
      </c>
      <c r="HJ37">
        <f t="shared" si="41"/>
        <v>0</v>
      </c>
      <c r="HK37">
        <f t="shared" si="42"/>
        <v>0</v>
      </c>
      <c r="HL37">
        <f t="shared" si="43"/>
        <v>0</v>
      </c>
      <c r="HM37">
        <f t="shared" si="44"/>
        <v>0</v>
      </c>
      <c r="HO37" s="51">
        <v>63</v>
      </c>
      <c r="HP37" t="s">
        <v>16</v>
      </c>
      <c r="HQ37" t="s">
        <v>439</v>
      </c>
      <c r="HR37">
        <v>52.1875</v>
      </c>
      <c r="HS37">
        <v>49.25</v>
      </c>
      <c r="HT37">
        <v>47.75</v>
      </c>
      <c r="HU37">
        <v>3.125</v>
      </c>
      <c r="HV37" s="51">
        <v>63</v>
      </c>
      <c r="HW37">
        <f t="shared" si="45"/>
        <v>0</v>
      </c>
      <c r="HX37">
        <f t="shared" si="45"/>
        <v>0</v>
      </c>
      <c r="HY37">
        <f t="shared" si="46"/>
        <v>1</v>
      </c>
      <c r="HZ37">
        <f t="shared" si="47"/>
        <v>4.25</v>
      </c>
      <c r="IA37">
        <f t="shared" si="48"/>
        <v>0</v>
      </c>
      <c r="IB37">
        <f t="shared" si="48"/>
        <v>0</v>
      </c>
      <c r="IC37">
        <f t="shared" si="48"/>
        <v>0</v>
      </c>
      <c r="ID37">
        <f t="shared" si="49"/>
        <v>0</v>
      </c>
      <c r="IE37">
        <f t="shared" si="50"/>
        <v>0.25</v>
      </c>
      <c r="IF37">
        <f t="shared" si="51"/>
        <v>0</v>
      </c>
      <c r="IG37">
        <f t="shared" si="52"/>
        <v>4.25</v>
      </c>
      <c r="IH37">
        <f t="shared" si="53"/>
        <v>1.5</v>
      </c>
      <c r="II37">
        <f t="shared" si="54"/>
        <v>0</v>
      </c>
      <c r="IJ37">
        <f t="shared" si="55"/>
        <v>0</v>
      </c>
      <c r="IK37">
        <f t="shared" si="56"/>
        <v>0</v>
      </c>
      <c r="IL37">
        <f t="shared" si="62"/>
        <v>0</v>
      </c>
      <c r="IM37">
        <f t="shared" si="57"/>
        <v>16</v>
      </c>
      <c r="IN37">
        <f t="shared" si="58"/>
        <v>0</v>
      </c>
      <c r="IO37">
        <f t="shared" si="60"/>
        <v>1997</v>
      </c>
      <c r="IP37">
        <f t="shared" si="60"/>
        <v>13.75</v>
      </c>
      <c r="IQ37">
        <f t="shared" si="60"/>
        <v>0</v>
      </c>
      <c r="IR37">
        <f t="shared" si="60"/>
        <v>0</v>
      </c>
      <c r="IS37">
        <f t="shared" si="60"/>
        <v>0</v>
      </c>
      <c r="IT37">
        <f t="shared" si="60"/>
        <v>0</v>
      </c>
      <c r="IU37">
        <f t="shared" si="60"/>
        <v>0.5</v>
      </c>
      <c r="IV37">
        <f t="shared" si="60"/>
        <v>1</v>
      </c>
      <c r="IW37">
        <f t="shared" si="60"/>
        <v>0</v>
      </c>
      <c r="IX37">
        <f t="shared" si="60"/>
        <v>1.25</v>
      </c>
      <c r="IY37">
        <f t="shared" si="59"/>
        <v>2.5</v>
      </c>
      <c r="IZ37">
        <f t="shared" si="63"/>
        <v>0</v>
      </c>
      <c r="JA37">
        <f t="shared" si="61"/>
        <v>0</v>
      </c>
      <c r="JB37">
        <f t="shared" si="61"/>
        <v>0</v>
      </c>
      <c r="JC37">
        <f t="shared" si="61"/>
        <v>0</v>
      </c>
      <c r="JD37">
        <f t="shared" si="61"/>
        <v>0</v>
      </c>
      <c r="JE37">
        <f t="shared" si="61"/>
        <v>0.25</v>
      </c>
      <c r="JF37">
        <f t="shared" si="61"/>
        <v>0</v>
      </c>
      <c r="JG37">
        <f t="shared" si="61"/>
        <v>0</v>
      </c>
      <c r="JH37">
        <f t="shared" si="61"/>
        <v>0</v>
      </c>
      <c r="JI37">
        <f t="shared" si="61"/>
        <v>0</v>
      </c>
      <c r="JJ37">
        <f t="shared" si="61"/>
        <v>0</v>
      </c>
      <c r="JK37">
        <f t="shared" si="61"/>
        <v>0</v>
      </c>
      <c r="JL37">
        <f t="shared" si="61"/>
        <v>0</v>
      </c>
      <c r="JM37">
        <f t="shared" si="61"/>
        <v>0</v>
      </c>
      <c r="JN37">
        <f t="shared" si="61"/>
        <v>0</v>
      </c>
      <c r="JO37">
        <f t="shared" si="61"/>
        <v>0</v>
      </c>
    </row>
    <row r="38" spans="2:275" x14ac:dyDescent="0.25">
      <c r="B38" s="51">
        <v>65</v>
      </c>
      <c r="C38" t="s">
        <v>0</v>
      </c>
      <c r="D38" t="s">
        <v>439</v>
      </c>
      <c r="E38">
        <v>89.708333333333343</v>
      </c>
      <c r="F38">
        <v>93.125</v>
      </c>
      <c r="G38">
        <v>117.16666666666666</v>
      </c>
      <c r="H38">
        <v>2.75</v>
      </c>
      <c r="I38" s="51">
        <v>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0.33333333333333331</v>
      </c>
      <c r="U38">
        <v>0.66666666666666663</v>
      </c>
      <c r="V38">
        <v>0</v>
      </c>
      <c r="W38">
        <v>4.25</v>
      </c>
      <c r="X38">
        <v>0.25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2.3333333333333335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</v>
      </c>
      <c r="BC38">
        <v>1</v>
      </c>
      <c r="BD38">
        <v>0</v>
      </c>
      <c r="BE38">
        <v>1.25</v>
      </c>
      <c r="BF38">
        <v>12.666666666666666</v>
      </c>
      <c r="BG38">
        <v>5.666666666666667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0.33333333333333331</v>
      </c>
      <c r="BN38">
        <v>0</v>
      </c>
      <c r="BO38">
        <v>0</v>
      </c>
      <c r="BP38">
        <v>0</v>
      </c>
      <c r="BQ38">
        <v>0.33333333333333331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6.666666666666667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3881.25</v>
      </c>
      <c r="CG38">
        <v>102.66666666666667</v>
      </c>
      <c r="CH38">
        <v>736.66666666666663</v>
      </c>
      <c r="CI38">
        <v>19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0.33333333333333331</v>
      </c>
      <c r="CT38">
        <v>2.833333333333333</v>
      </c>
      <c r="CU38">
        <v>0.66666666666666663</v>
      </c>
      <c r="CV38">
        <v>0.58333333333333326</v>
      </c>
      <c r="CW38">
        <v>0</v>
      </c>
      <c r="CX38">
        <v>0</v>
      </c>
      <c r="CY38">
        <v>0</v>
      </c>
      <c r="CZ38">
        <v>3.3333333333333335</v>
      </c>
      <c r="DA38">
        <v>0.33333333333333331</v>
      </c>
      <c r="DB38">
        <v>0</v>
      </c>
      <c r="DC38">
        <v>2.3333333333333335</v>
      </c>
      <c r="DD38">
        <v>1</v>
      </c>
      <c r="DE38">
        <v>0</v>
      </c>
      <c r="DF38">
        <v>0</v>
      </c>
      <c r="DG38">
        <v>0</v>
      </c>
      <c r="DH38">
        <v>0.66666666666666663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3.75</v>
      </c>
      <c r="EP38" s="51">
        <v>65</v>
      </c>
      <c r="EQ38" t="s">
        <v>0</v>
      </c>
      <c r="ER38" t="s">
        <v>439</v>
      </c>
      <c r="ES38">
        <v>89.708333333333343</v>
      </c>
      <c r="ET38">
        <v>93.125</v>
      </c>
      <c r="EU38">
        <v>117.16666666666666</v>
      </c>
      <c r="EV38">
        <v>2.75</v>
      </c>
      <c r="EW38" s="51">
        <v>65</v>
      </c>
      <c r="EX38">
        <f t="shared" si="4"/>
        <v>0</v>
      </c>
      <c r="EY38">
        <f t="shared" si="5"/>
        <v>0</v>
      </c>
      <c r="EZ38">
        <f t="shared" si="6"/>
        <v>0</v>
      </c>
      <c r="FA38">
        <f t="shared" si="6"/>
        <v>0</v>
      </c>
      <c r="FB38">
        <f t="shared" si="6"/>
        <v>0.33333333333333331</v>
      </c>
      <c r="FC38">
        <f t="shared" si="6"/>
        <v>1.6666666666666665</v>
      </c>
      <c r="FD38">
        <f t="shared" si="7"/>
        <v>0.25</v>
      </c>
      <c r="FE38">
        <f t="shared" si="7"/>
        <v>4.25</v>
      </c>
      <c r="FF38">
        <f t="shared" si="8"/>
        <v>0</v>
      </c>
      <c r="FG38">
        <f t="shared" si="9"/>
        <v>0</v>
      </c>
      <c r="FH38">
        <f t="shared" si="10"/>
        <v>0</v>
      </c>
      <c r="FI38">
        <f t="shared" si="11"/>
        <v>2.3333333333333335</v>
      </c>
      <c r="FJ38">
        <f t="shared" si="11"/>
        <v>0</v>
      </c>
      <c r="FK38">
        <f t="shared" si="11"/>
        <v>0</v>
      </c>
      <c r="FL38">
        <f t="shared" si="11"/>
        <v>0</v>
      </c>
      <c r="FM38">
        <f t="shared" si="12"/>
        <v>0</v>
      </c>
      <c r="FN38">
        <f t="shared" si="12"/>
        <v>0</v>
      </c>
      <c r="FO38">
        <f t="shared" si="12"/>
        <v>0</v>
      </c>
      <c r="FP38">
        <f t="shared" si="13"/>
        <v>0</v>
      </c>
      <c r="FQ38">
        <f t="shared" si="13"/>
        <v>0</v>
      </c>
      <c r="FR38">
        <f t="shared" si="13"/>
        <v>0</v>
      </c>
      <c r="FS38">
        <f t="shared" si="14"/>
        <v>0</v>
      </c>
      <c r="FT38">
        <f t="shared" si="14"/>
        <v>1.25</v>
      </c>
      <c r="FU38">
        <f t="shared" si="14"/>
        <v>14.666666666666666</v>
      </c>
      <c r="FV38">
        <f t="shared" si="14"/>
        <v>6.666666666666667</v>
      </c>
      <c r="FW38">
        <f t="shared" si="15"/>
        <v>0</v>
      </c>
      <c r="FX38">
        <f t="shared" si="15"/>
        <v>0</v>
      </c>
      <c r="FY38">
        <f t="shared" si="15"/>
        <v>0.33333333333333331</v>
      </c>
      <c r="FZ38">
        <f t="shared" si="16"/>
        <v>0</v>
      </c>
      <c r="GA38">
        <f t="shared" si="16"/>
        <v>0.33333333333333331</v>
      </c>
      <c r="GB38">
        <f t="shared" si="17"/>
        <v>0</v>
      </c>
      <c r="GC38">
        <f t="shared" si="18"/>
        <v>0</v>
      </c>
      <c r="GD38">
        <f t="shared" si="18"/>
        <v>6.666666666666667</v>
      </c>
      <c r="GE38">
        <f t="shared" si="18"/>
        <v>0</v>
      </c>
      <c r="GF38">
        <f t="shared" si="19"/>
        <v>0</v>
      </c>
      <c r="GG38">
        <f t="shared" si="19"/>
        <v>0</v>
      </c>
      <c r="GH38">
        <f t="shared" si="19"/>
        <v>0</v>
      </c>
      <c r="GI38">
        <f t="shared" si="20"/>
        <v>4617.916666666667</v>
      </c>
      <c r="GJ38">
        <f t="shared" si="20"/>
        <v>121.66666666666667</v>
      </c>
      <c r="GK38">
        <f t="shared" si="21"/>
        <v>0</v>
      </c>
      <c r="GL38">
        <f t="shared" si="22"/>
        <v>0</v>
      </c>
      <c r="GM38">
        <f t="shared" si="23"/>
        <v>0</v>
      </c>
      <c r="GN38">
        <f t="shared" si="23"/>
        <v>0</v>
      </c>
      <c r="GO38">
        <f t="shared" si="24"/>
        <v>0</v>
      </c>
      <c r="GP38">
        <f t="shared" si="25"/>
        <v>3.1666666666666665</v>
      </c>
      <c r="GQ38">
        <f t="shared" si="26"/>
        <v>1.25</v>
      </c>
      <c r="GR38">
        <f t="shared" si="27"/>
        <v>0</v>
      </c>
      <c r="GS38">
        <f t="shared" si="28"/>
        <v>0</v>
      </c>
      <c r="GT38">
        <f t="shared" si="28"/>
        <v>5.666666666666667</v>
      </c>
      <c r="GU38">
        <f t="shared" si="28"/>
        <v>1.3333333333333333</v>
      </c>
      <c r="GV38">
        <f t="shared" si="29"/>
        <v>0.66666666666666663</v>
      </c>
      <c r="GW38">
        <f t="shared" si="29"/>
        <v>0</v>
      </c>
      <c r="GX38">
        <f t="shared" si="29"/>
        <v>0</v>
      </c>
      <c r="GY38">
        <f t="shared" si="30"/>
        <v>0</v>
      </c>
      <c r="GZ38">
        <f t="shared" si="31"/>
        <v>0</v>
      </c>
      <c r="HA38">
        <f t="shared" si="32"/>
        <v>0</v>
      </c>
      <c r="HB38">
        <f t="shared" si="33"/>
        <v>0</v>
      </c>
      <c r="HC38">
        <f t="shared" si="34"/>
        <v>0</v>
      </c>
      <c r="HD38">
        <f t="shared" si="35"/>
        <v>0</v>
      </c>
      <c r="HE38">
        <f t="shared" si="36"/>
        <v>0</v>
      </c>
      <c r="HF38">
        <f t="shared" si="37"/>
        <v>0</v>
      </c>
      <c r="HG38">
        <f t="shared" si="38"/>
        <v>0</v>
      </c>
      <c r="HH38">
        <f t="shared" si="39"/>
        <v>0</v>
      </c>
      <c r="HI38">
        <f t="shared" si="40"/>
        <v>0</v>
      </c>
      <c r="HJ38">
        <f t="shared" si="41"/>
        <v>0</v>
      </c>
      <c r="HK38">
        <f t="shared" si="42"/>
        <v>0</v>
      </c>
      <c r="HL38">
        <f t="shared" si="43"/>
        <v>0</v>
      </c>
      <c r="HM38">
        <f t="shared" si="44"/>
        <v>3.75</v>
      </c>
      <c r="HO38" s="51">
        <v>65</v>
      </c>
      <c r="HP38" t="s">
        <v>0</v>
      </c>
      <c r="HQ38" t="s">
        <v>439</v>
      </c>
      <c r="HR38">
        <v>89.708333333333343</v>
      </c>
      <c r="HS38">
        <v>93.125</v>
      </c>
      <c r="HT38">
        <v>117.16666666666666</v>
      </c>
      <c r="HU38">
        <v>2.75</v>
      </c>
      <c r="HV38" s="51">
        <v>65</v>
      </c>
      <c r="HW38">
        <f t="shared" si="45"/>
        <v>0</v>
      </c>
      <c r="HX38">
        <f t="shared" si="45"/>
        <v>0</v>
      </c>
      <c r="HY38">
        <f t="shared" si="46"/>
        <v>1.9999999999999998</v>
      </c>
      <c r="HZ38">
        <f t="shared" si="47"/>
        <v>4.5</v>
      </c>
      <c r="IA38">
        <f t="shared" si="48"/>
        <v>0</v>
      </c>
      <c r="IB38">
        <f t="shared" si="48"/>
        <v>0</v>
      </c>
      <c r="IC38">
        <f t="shared" si="48"/>
        <v>0</v>
      </c>
      <c r="ID38">
        <f t="shared" si="49"/>
        <v>2.3333333333333335</v>
      </c>
      <c r="IE38">
        <f t="shared" si="50"/>
        <v>0</v>
      </c>
      <c r="IF38">
        <f t="shared" si="51"/>
        <v>0</v>
      </c>
      <c r="IG38">
        <f t="shared" si="52"/>
        <v>15.916666666666666</v>
      </c>
      <c r="IH38">
        <f t="shared" si="53"/>
        <v>6.666666666666667</v>
      </c>
      <c r="II38">
        <f t="shared" si="54"/>
        <v>0.33333333333333331</v>
      </c>
      <c r="IJ38">
        <f t="shared" si="55"/>
        <v>0</v>
      </c>
      <c r="IK38">
        <f t="shared" si="56"/>
        <v>0.33333333333333331</v>
      </c>
      <c r="IL38">
        <f t="shared" si="62"/>
        <v>0</v>
      </c>
      <c r="IM38">
        <f t="shared" si="57"/>
        <v>6.666666666666667</v>
      </c>
      <c r="IN38">
        <f t="shared" si="58"/>
        <v>0</v>
      </c>
      <c r="IO38">
        <f t="shared" si="60"/>
        <v>4617.916666666667</v>
      </c>
      <c r="IP38">
        <f t="shared" si="60"/>
        <v>121.66666666666667</v>
      </c>
      <c r="IQ38">
        <f t="shared" si="60"/>
        <v>0</v>
      </c>
      <c r="IR38">
        <f t="shared" si="60"/>
        <v>0</v>
      </c>
      <c r="IS38">
        <f t="shared" si="60"/>
        <v>0</v>
      </c>
      <c r="IT38">
        <f t="shared" si="60"/>
        <v>0</v>
      </c>
      <c r="IU38">
        <f t="shared" si="60"/>
        <v>0</v>
      </c>
      <c r="IV38">
        <f t="shared" si="60"/>
        <v>3.1666666666666665</v>
      </c>
      <c r="IW38">
        <f t="shared" si="60"/>
        <v>1.25</v>
      </c>
      <c r="IX38">
        <f t="shared" si="60"/>
        <v>0</v>
      </c>
      <c r="IY38">
        <f t="shared" si="59"/>
        <v>7</v>
      </c>
      <c r="IZ38">
        <f t="shared" si="63"/>
        <v>0.66666666666666663</v>
      </c>
      <c r="JA38">
        <f t="shared" si="61"/>
        <v>0</v>
      </c>
      <c r="JB38">
        <f t="shared" si="61"/>
        <v>0</v>
      </c>
      <c r="JC38">
        <f t="shared" si="61"/>
        <v>0</v>
      </c>
      <c r="JD38">
        <f t="shared" si="61"/>
        <v>0</v>
      </c>
      <c r="JE38">
        <f t="shared" si="61"/>
        <v>0</v>
      </c>
      <c r="JF38">
        <f t="shared" si="61"/>
        <v>0</v>
      </c>
      <c r="JG38">
        <f t="shared" si="61"/>
        <v>0</v>
      </c>
      <c r="JH38">
        <f t="shared" si="61"/>
        <v>0</v>
      </c>
      <c r="JI38">
        <f t="shared" si="61"/>
        <v>0</v>
      </c>
      <c r="JJ38">
        <f t="shared" si="61"/>
        <v>0</v>
      </c>
      <c r="JK38">
        <f t="shared" si="61"/>
        <v>0</v>
      </c>
      <c r="JL38">
        <f t="shared" si="61"/>
        <v>0</v>
      </c>
      <c r="JM38">
        <f t="shared" si="61"/>
        <v>0</v>
      </c>
      <c r="JN38">
        <f t="shared" si="61"/>
        <v>0</v>
      </c>
      <c r="JO38">
        <f t="shared" si="61"/>
        <v>3.75</v>
      </c>
    </row>
    <row r="39" spans="2:275" x14ac:dyDescent="0.25">
      <c r="B39" s="51">
        <v>67</v>
      </c>
      <c r="C39" t="s">
        <v>16</v>
      </c>
      <c r="D39" t="s">
        <v>439</v>
      </c>
      <c r="E39">
        <v>38.25</v>
      </c>
      <c r="F39">
        <v>32</v>
      </c>
      <c r="G39">
        <v>6.75</v>
      </c>
      <c r="H39">
        <v>4</v>
      </c>
      <c r="I39" s="51">
        <v>67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0.5</v>
      </c>
      <c r="R39">
        <v>0</v>
      </c>
      <c r="S39">
        <v>0</v>
      </c>
      <c r="T39">
        <v>0</v>
      </c>
      <c r="U39">
        <v>1</v>
      </c>
      <c r="V39">
        <v>0</v>
      </c>
      <c r="W39">
        <v>3.5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0.5</v>
      </c>
      <c r="AO39">
        <v>0</v>
      </c>
      <c r="AP39">
        <v>0</v>
      </c>
      <c r="AQ39">
        <v>0</v>
      </c>
      <c r="AR39">
        <v>0.5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0.5</v>
      </c>
      <c r="BF39">
        <v>1.5</v>
      </c>
      <c r="BG39">
        <v>1.5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25</v>
      </c>
      <c r="CG39">
        <v>0</v>
      </c>
      <c r="CH39">
        <v>80</v>
      </c>
      <c r="CI39">
        <v>3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0.5</v>
      </c>
      <c r="CT39">
        <v>1.5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0.5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0.5</v>
      </c>
      <c r="EP39" s="51">
        <v>67</v>
      </c>
      <c r="EQ39" t="s">
        <v>16</v>
      </c>
      <c r="ER39" t="s">
        <v>439</v>
      </c>
      <c r="ES39">
        <v>38.25</v>
      </c>
      <c r="ET39">
        <v>32</v>
      </c>
      <c r="EU39">
        <v>6.75</v>
      </c>
      <c r="EV39">
        <v>4</v>
      </c>
      <c r="EW39" s="51">
        <v>67</v>
      </c>
      <c r="EX39">
        <f t="shared" si="4"/>
        <v>0</v>
      </c>
      <c r="EY39">
        <f t="shared" si="5"/>
        <v>0</v>
      </c>
      <c r="EZ39">
        <f t="shared" si="6"/>
        <v>0</v>
      </c>
      <c r="FA39">
        <f t="shared" si="6"/>
        <v>0</v>
      </c>
      <c r="FB39">
        <f t="shared" si="6"/>
        <v>0</v>
      </c>
      <c r="FC39">
        <f t="shared" si="6"/>
        <v>1.5</v>
      </c>
      <c r="FD39">
        <f t="shared" si="7"/>
        <v>0</v>
      </c>
      <c r="FE39">
        <f t="shared" si="7"/>
        <v>3.5</v>
      </c>
      <c r="FF39">
        <f t="shared" si="8"/>
        <v>0</v>
      </c>
      <c r="FG39">
        <f t="shared" si="9"/>
        <v>0</v>
      </c>
      <c r="FH39">
        <f t="shared" si="10"/>
        <v>0</v>
      </c>
      <c r="FI39">
        <f t="shared" si="11"/>
        <v>0</v>
      </c>
      <c r="FJ39">
        <f t="shared" si="11"/>
        <v>0</v>
      </c>
      <c r="FK39">
        <f t="shared" si="11"/>
        <v>0</v>
      </c>
      <c r="FL39">
        <f t="shared" si="11"/>
        <v>0</v>
      </c>
      <c r="FM39">
        <f t="shared" si="12"/>
        <v>0.5</v>
      </c>
      <c r="FN39">
        <f t="shared" si="12"/>
        <v>0.5</v>
      </c>
      <c r="FO39">
        <f t="shared" si="12"/>
        <v>0</v>
      </c>
      <c r="FP39">
        <f t="shared" si="13"/>
        <v>0</v>
      </c>
      <c r="FQ39">
        <f t="shared" si="13"/>
        <v>0</v>
      </c>
      <c r="FR39">
        <f t="shared" si="13"/>
        <v>0</v>
      </c>
      <c r="FS39">
        <f t="shared" si="14"/>
        <v>0</v>
      </c>
      <c r="FT39">
        <f t="shared" si="14"/>
        <v>0.5</v>
      </c>
      <c r="FU39">
        <f t="shared" si="14"/>
        <v>1.5</v>
      </c>
      <c r="FV39">
        <f t="shared" si="14"/>
        <v>1.5</v>
      </c>
      <c r="FW39">
        <f t="shared" si="15"/>
        <v>0</v>
      </c>
      <c r="FX39">
        <f t="shared" si="15"/>
        <v>0</v>
      </c>
      <c r="FY39">
        <f t="shared" si="15"/>
        <v>0</v>
      </c>
      <c r="FZ39">
        <f t="shared" si="16"/>
        <v>0</v>
      </c>
      <c r="GA39">
        <f t="shared" si="16"/>
        <v>0</v>
      </c>
      <c r="GB39">
        <f t="shared" si="17"/>
        <v>0</v>
      </c>
      <c r="GC39">
        <f t="shared" si="18"/>
        <v>0</v>
      </c>
      <c r="GD39">
        <f t="shared" si="18"/>
        <v>0</v>
      </c>
      <c r="GE39">
        <f t="shared" si="18"/>
        <v>0</v>
      </c>
      <c r="GF39">
        <f t="shared" si="19"/>
        <v>0</v>
      </c>
      <c r="GG39">
        <f t="shared" si="19"/>
        <v>0</v>
      </c>
      <c r="GH39">
        <f t="shared" si="19"/>
        <v>0</v>
      </c>
      <c r="GI39">
        <f t="shared" si="20"/>
        <v>105</v>
      </c>
      <c r="GJ39">
        <f t="shared" si="20"/>
        <v>3</v>
      </c>
      <c r="GK39">
        <f t="shared" si="21"/>
        <v>0</v>
      </c>
      <c r="GL39">
        <f t="shared" si="22"/>
        <v>0</v>
      </c>
      <c r="GM39">
        <f t="shared" si="23"/>
        <v>0</v>
      </c>
      <c r="GN39">
        <f t="shared" si="23"/>
        <v>0</v>
      </c>
      <c r="GO39">
        <f t="shared" si="24"/>
        <v>0</v>
      </c>
      <c r="GP39">
        <f t="shared" si="25"/>
        <v>2</v>
      </c>
      <c r="GQ39">
        <f t="shared" si="26"/>
        <v>0</v>
      </c>
      <c r="GR39">
        <f t="shared" si="27"/>
        <v>0</v>
      </c>
      <c r="GS39">
        <f t="shared" si="28"/>
        <v>0</v>
      </c>
      <c r="GT39">
        <f t="shared" si="28"/>
        <v>0</v>
      </c>
      <c r="GU39">
        <f t="shared" si="28"/>
        <v>0</v>
      </c>
      <c r="GV39">
        <f t="shared" si="29"/>
        <v>0</v>
      </c>
      <c r="GW39">
        <f t="shared" si="29"/>
        <v>0</v>
      </c>
      <c r="GX39">
        <f t="shared" si="29"/>
        <v>0</v>
      </c>
      <c r="GY39">
        <f t="shared" si="30"/>
        <v>0</v>
      </c>
      <c r="GZ39">
        <f t="shared" si="31"/>
        <v>0</v>
      </c>
      <c r="HA39">
        <f t="shared" si="32"/>
        <v>0</v>
      </c>
      <c r="HB39">
        <f t="shared" si="33"/>
        <v>0</v>
      </c>
      <c r="HC39">
        <f t="shared" si="34"/>
        <v>0.5</v>
      </c>
      <c r="HD39">
        <f t="shared" si="35"/>
        <v>0</v>
      </c>
      <c r="HE39">
        <f t="shared" si="36"/>
        <v>0</v>
      </c>
      <c r="HF39">
        <f t="shared" si="37"/>
        <v>0</v>
      </c>
      <c r="HG39">
        <f t="shared" si="38"/>
        <v>0</v>
      </c>
      <c r="HH39">
        <f t="shared" si="39"/>
        <v>0</v>
      </c>
      <c r="HI39">
        <f t="shared" si="40"/>
        <v>0</v>
      </c>
      <c r="HJ39">
        <f t="shared" si="41"/>
        <v>0</v>
      </c>
      <c r="HK39">
        <f t="shared" si="42"/>
        <v>0</v>
      </c>
      <c r="HL39">
        <f t="shared" si="43"/>
        <v>0</v>
      </c>
      <c r="HM39">
        <f t="shared" si="44"/>
        <v>0.5</v>
      </c>
      <c r="HO39" s="51">
        <v>67</v>
      </c>
      <c r="HP39" t="s">
        <v>16</v>
      </c>
      <c r="HQ39" t="s">
        <v>439</v>
      </c>
      <c r="HR39">
        <v>38.25</v>
      </c>
      <c r="HS39">
        <v>32</v>
      </c>
      <c r="HT39">
        <v>6.75</v>
      </c>
      <c r="HU39">
        <v>4</v>
      </c>
      <c r="HV39" s="51">
        <v>67</v>
      </c>
      <c r="HW39">
        <f t="shared" si="45"/>
        <v>0</v>
      </c>
      <c r="HX39">
        <f t="shared" si="45"/>
        <v>0</v>
      </c>
      <c r="HY39">
        <f t="shared" si="46"/>
        <v>1.5</v>
      </c>
      <c r="HZ39">
        <f t="shared" si="47"/>
        <v>3.5</v>
      </c>
      <c r="IA39">
        <f t="shared" si="48"/>
        <v>0</v>
      </c>
      <c r="IB39">
        <f t="shared" si="48"/>
        <v>0</v>
      </c>
      <c r="IC39">
        <f t="shared" si="48"/>
        <v>0</v>
      </c>
      <c r="ID39">
        <f t="shared" si="49"/>
        <v>0</v>
      </c>
      <c r="IE39">
        <f t="shared" si="50"/>
        <v>1</v>
      </c>
      <c r="IF39">
        <f t="shared" si="51"/>
        <v>0</v>
      </c>
      <c r="IG39">
        <f t="shared" si="52"/>
        <v>2</v>
      </c>
      <c r="IH39">
        <f t="shared" si="53"/>
        <v>1.5</v>
      </c>
      <c r="II39">
        <f t="shared" si="54"/>
        <v>0</v>
      </c>
      <c r="IJ39">
        <f t="shared" si="55"/>
        <v>0</v>
      </c>
      <c r="IK39">
        <f t="shared" si="56"/>
        <v>0</v>
      </c>
      <c r="IL39">
        <f t="shared" si="62"/>
        <v>0</v>
      </c>
      <c r="IM39">
        <f t="shared" si="57"/>
        <v>0</v>
      </c>
      <c r="IN39">
        <f t="shared" si="58"/>
        <v>0</v>
      </c>
      <c r="IO39">
        <f t="shared" si="60"/>
        <v>105</v>
      </c>
      <c r="IP39">
        <f t="shared" si="60"/>
        <v>3</v>
      </c>
      <c r="IQ39">
        <f t="shared" si="60"/>
        <v>0</v>
      </c>
      <c r="IR39">
        <f t="shared" si="60"/>
        <v>0</v>
      </c>
      <c r="IS39">
        <f t="shared" si="60"/>
        <v>0</v>
      </c>
      <c r="IT39">
        <f t="shared" si="60"/>
        <v>0</v>
      </c>
      <c r="IU39">
        <f t="shared" si="60"/>
        <v>0</v>
      </c>
      <c r="IV39">
        <f t="shared" si="60"/>
        <v>2</v>
      </c>
      <c r="IW39">
        <f t="shared" si="60"/>
        <v>0</v>
      </c>
      <c r="IX39">
        <f t="shared" si="60"/>
        <v>0</v>
      </c>
      <c r="IY39">
        <f t="shared" si="59"/>
        <v>0</v>
      </c>
      <c r="IZ39">
        <f t="shared" si="63"/>
        <v>0</v>
      </c>
      <c r="JA39">
        <f t="shared" si="61"/>
        <v>0</v>
      </c>
      <c r="JB39">
        <f t="shared" si="61"/>
        <v>0</v>
      </c>
      <c r="JC39">
        <f t="shared" si="61"/>
        <v>0</v>
      </c>
      <c r="JD39">
        <f t="shared" si="61"/>
        <v>0</v>
      </c>
      <c r="JE39">
        <f t="shared" si="61"/>
        <v>0.5</v>
      </c>
      <c r="JF39">
        <f t="shared" si="61"/>
        <v>0</v>
      </c>
      <c r="JG39">
        <f t="shared" si="61"/>
        <v>0</v>
      </c>
      <c r="JH39">
        <f t="shared" si="61"/>
        <v>0</v>
      </c>
      <c r="JI39">
        <f t="shared" si="61"/>
        <v>0</v>
      </c>
      <c r="JJ39">
        <f t="shared" si="61"/>
        <v>0</v>
      </c>
      <c r="JK39">
        <f t="shared" si="61"/>
        <v>0</v>
      </c>
      <c r="JL39">
        <f t="shared" si="61"/>
        <v>0</v>
      </c>
      <c r="JM39">
        <f t="shared" si="61"/>
        <v>0</v>
      </c>
      <c r="JN39">
        <f t="shared" si="61"/>
        <v>0</v>
      </c>
      <c r="JO39">
        <f t="shared" si="61"/>
        <v>0.5</v>
      </c>
    </row>
    <row r="40" spans="2:275" x14ac:dyDescent="0.25">
      <c r="B40" s="51">
        <v>68</v>
      </c>
      <c r="C40" t="s">
        <v>0</v>
      </c>
      <c r="D40" t="s">
        <v>439</v>
      </c>
      <c r="E40">
        <v>80</v>
      </c>
      <c r="F40">
        <v>95</v>
      </c>
      <c r="G40">
        <v>108.25</v>
      </c>
      <c r="H40">
        <v>3.25</v>
      </c>
      <c r="I40" s="51">
        <v>68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  <c r="BC40">
        <v>1</v>
      </c>
      <c r="BD40">
        <v>0</v>
      </c>
      <c r="BE40">
        <v>0</v>
      </c>
      <c r="BF40">
        <v>16</v>
      </c>
      <c r="BG40">
        <v>15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627</v>
      </c>
      <c r="CG40">
        <v>3</v>
      </c>
      <c r="CH40">
        <v>275</v>
      </c>
      <c r="CI40">
        <v>10</v>
      </c>
      <c r="CJ40">
        <v>0</v>
      </c>
      <c r="CK40">
        <v>56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7.5</v>
      </c>
      <c r="CT40">
        <v>5.5</v>
      </c>
      <c r="CU40">
        <v>1</v>
      </c>
      <c r="CV40">
        <v>1</v>
      </c>
      <c r="CW40">
        <v>0</v>
      </c>
      <c r="CX40">
        <v>0</v>
      </c>
      <c r="CY40">
        <v>0</v>
      </c>
      <c r="CZ40">
        <v>4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3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0.5</v>
      </c>
      <c r="EP40" s="51">
        <v>68</v>
      </c>
      <c r="EQ40" t="s">
        <v>0</v>
      </c>
      <c r="ER40" t="s">
        <v>439</v>
      </c>
      <c r="ES40">
        <v>80</v>
      </c>
      <c r="ET40">
        <v>95</v>
      </c>
      <c r="EU40">
        <v>108.25</v>
      </c>
      <c r="EV40">
        <v>3.25</v>
      </c>
      <c r="EW40" s="51">
        <v>68</v>
      </c>
      <c r="EX40">
        <f t="shared" si="4"/>
        <v>0</v>
      </c>
      <c r="EY40">
        <f t="shared" si="5"/>
        <v>0</v>
      </c>
      <c r="EZ40">
        <f t="shared" si="6"/>
        <v>0</v>
      </c>
      <c r="FA40">
        <f t="shared" si="6"/>
        <v>0</v>
      </c>
      <c r="FB40">
        <f t="shared" si="6"/>
        <v>0</v>
      </c>
      <c r="FC40">
        <f t="shared" si="6"/>
        <v>2</v>
      </c>
      <c r="FD40">
        <f t="shared" si="7"/>
        <v>0</v>
      </c>
      <c r="FE40">
        <f t="shared" si="7"/>
        <v>9</v>
      </c>
      <c r="FF40">
        <f t="shared" si="8"/>
        <v>0</v>
      </c>
      <c r="FG40">
        <f t="shared" si="9"/>
        <v>0.5</v>
      </c>
      <c r="FH40">
        <f t="shared" si="10"/>
        <v>0</v>
      </c>
      <c r="FI40">
        <f t="shared" si="11"/>
        <v>22</v>
      </c>
      <c r="FJ40">
        <f t="shared" si="11"/>
        <v>0</v>
      </c>
      <c r="FK40">
        <f t="shared" si="11"/>
        <v>0</v>
      </c>
      <c r="FL40">
        <f t="shared" si="11"/>
        <v>0</v>
      </c>
      <c r="FM40">
        <f t="shared" si="12"/>
        <v>0</v>
      </c>
      <c r="FN40">
        <f t="shared" si="12"/>
        <v>0</v>
      </c>
      <c r="FO40">
        <f t="shared" si="12"/>
        <v>0</v>
      </c>
      <c r="FP40">
        <f t="shared" si="13"/>
        <v>0</v>
      </c>
      <c r="FQ40">
        <f t="shared" si="13"/>
        <v>0</v>
      </c>
      <c r="FR40">
        <f t="shared" si="13"/>
        <v>0</v>
      </c>
      <c r="FS40">
        <f t="shared" si="14"/>
        <v>0</v>
      </c>
      <c r="FT40">
        <f t="shared" si="14"/>
        <v>0</v>
      </c>
      <c r="FU40">
        <f t="shared" si="14"/>
        <v>18</v>
      </c>
      <c r="FV40">
        <f t="shared" si="14"/>
        <v>16</v>
      </c>
      <c r="FW40">
        <f t="shared" si="15"/>
        <v>0</v>
      </c>
      <c r="FX40">
        <f t="shared" si="15"/>
        <v>0</v>
      </c>
      <c r="FY40">
        <f t="shared" si="15"/>
        <v>0</v>
      </c>
      <c r="FZ40">
        <f t="shared" si="16"/>
        <v>0</v>
      </c>
      <c r="GA40">
        <f t="shared" si="16"/>
        <v>0</v>
      </c>
      <c r="GB40">
        <f t="shared" si="17"/>
        <v>0</v>
      </c>
      <c r="GC40">
        <f t="shared" si="18"/>
        <v>0</v>
      </c>
      <c r="GD40">
        <f t="shared" si="18"/>
        <v>2</v>
      </c>
      <c r="GE40">
        <f t="shared" si="18"/>
        <v>0</v>
      </c>
      <c r="GF40">
        <f t="shared" si="19"/>
        <v>0</v>
      </c>
      <c r="GG40">
        <f t="shared" si="19"/>
        <v>0</v>
      </c>
      <c r="GH40">
        <f t="shared" si="19"/>
        <v>0</v>
      </c>
      <c r="GI40">
        <f t="shared" si="20"/>
        <v>902</v>
      </c>
      <c r="GJ40">
        <f t="shared" si="20"/>
        <v>13</v>
      </c>
      <c r="GK40">
        <f t="shared" si="21"/>
        <v>56</v>
      </c>
      <c r="GL40">
        <f t="shared" si="22"/>
        <v>0</v>
      </c>
      <c r="GM40">
        <f t="shared" si="23"/>
        <v>0</v>
      </c>
      <c r="GN40">
        <f t="shared" si="23"/>
        <v>0</v>
      </c>
      <c r="GO40">
        <f t="shared" si="24"/>
        <v>0</v>
      </c>
      <c r="GP40">
        <f t="shared" si="25"/>
        <v>13</v>
      </c>
      <c r="GQ40">
        <f t="shared" si="26"/>
        <v>2</v>
      </c>
      <c r="GR40">
        <f t="shared" si="27"/>
        <v>0</v>
      </c>
      <c r="GS40">
        <f t="shared" si="28"/>
        <v>0</v>
      </c>
      <c r="GT40">
        <f t="shared" si="28"/>
        <v>4</v>
      </c>
      <c r="GU40">
        <f t="shared" si="28"/>
        <v>0</v>
      </c>
      <c r="GV40">
        <f t="shared" si="29"/>
        <v>3</v>
      </c>
      <c r="GW40">
        <f t="shared" si="29"/>
        <v>0</v>
      </c>
      <c r="GX40">
        <f t="shared" si="29"/>
        <v>0</v>
      </c>
      <c r="GY40">
        <f t="shared" si="30"/>
        <v>0</v>
      </c>
      <c r="GZ40">
        <f t="shared" si="31"/>
        <v>0</v>
      </c>
      <c r="HA40">
        <f t="shared" si="32"/>
        <v>0</v>
      </c>
      <c r="HB40">
        <f t="shared" si="33"/>
        <v>0</v>
      </c>
      <c r="HC40">
        <f t="shared" si="34"/>
        <v>0</v>
      </c>
      <c r="HD40">
        <f t="shared" si="35"/>
        <v>0</v>
      </c>
      <c r="HE40">
        <f t="shared" si="36"/>
        <v>0</v>
      </c>
      <c r="HF40">
        <f t="shared" si="37"/>
        <v>0</v>
      </c>
      <c r="HG40">
        <f t="shared" si="38"/>
        <v>0</v>
      </c>
      <c r="HH40">
        <f t="shared" si="39"/>
        <v>0</v>
      </c>
      <c r="HI40">
        <f t="shared" si="40"/>
        <v>0</v>
      </c>
      <c r="HJ40">
        <f t="shared" si="41"/>
        <v>0</v>
      </c>
      <c r="HK40">
        <f t="shared" si="42"/>
        <v>0</v>
      </c>
      <c r="HL40">
        <f t="shared" si="43"/>
        <v>0</v>
      </c>
      <c r="HM40">
        <f t="shared" si="44"/>
        <v>0.5</v>
      </c>
      <c r="HO40" s="51">
        <v>68</v>
      </c>
      <c r="HP40" t="s">
        <v>0</v>
      </c>
      <c r="HQ40" t="s">
        <v>439</v>
      </c>
      <c r="HR40">
        <v>80</v>
      </c>
      <c r="HS40">
        <v>95</v>
      </c>
      <c r="HT40">
        <v>108.25</v>
      </c>
      <c r="HU40">
        <v>3.25</v>
      </c>
      <c r="HV40" s="51">
        <v>68</v>
      </c>
      <c r="HW40">
        <f t="shared" si="45"/>
        <v>0</v>
      </c>
      <c r="HX40">
        <f t="shared" si="45"/>
        <v>0</v>
      </c>
      <c r="HY40">
        <f t="shared" si="46"/>
        <v>2</v>
      </c>
      <c r="HZ40">
        <f t="shared" si="47"/>
        <v>9</v>
      </c>
      <c r="IA40">
        <f t="shared" si="48"/>
        <v>0</v>
      </c>
      <c r="IB40">
        <f t="shared" si="48"/>
        <v>0.5</v>
      </c>
      <c r="IC40">
        <f t="shared" si="48"/>
        <v>0</v>
      </c>
      <c r="ID40">
        <f t="shared" si="49"/>
        <v>22</v>
      </c>
      <c r="IE40">
        <f t="shared" si="50"/>
        <v>0</v>
      </c>
      <c r="IF40">
        <f t="shared" si="51"/>
        <v>0</v>
      </c>
      <c r="IG40">
        <f t="shared" si="52"/>
        <v>18</v>
      </c>
      <c r="IH40">
        <f t="shared" si="53"/>
        <v>16</v>
      </c>
      <c r="II40">
        <f t="shared" si="54"/>
        <v>0</v>
      </c>
      <c r="IJ40">
        <f t="shared" si="55"/>
        <v>0</v>
      </c>
      <c r="IK40">
        <f t="shared" si="56"/>
        <v>0</v>
      </c>
      <c r="IL40">
        <f t="shared" si="62"/>
        <v>0</v>
      </c>
      <c r="IM40">
        <f t="shared" si="57"/>
        <v>2</v>
      </c>
      <c r="IN40">
        <f t="shared" si="58"/>
        <v>0</v>
      </c>
      <c r="IO40">
        <f t="shared" si="60"/>
        <v>902</v>
      </c>
      <c r="IP40">
        <f t="shared" si="60"/>
        <v>13</v>
      </c>
      <c r="IQ40">
        <f t="shared" si="60"/>
        <v>56</v>
      </c>
      <c r="IR40">
        <f t="shared" si="60"/>
        <v>0</v>
      </c>
      <c r="IS40">
        <f t="shared" si="60"/>
        <v>0</v>
      </c>
      <c r="IT40">
        <f t="shared" si="60"/>
        <v>0</v>
      </c>
      <c r="IU40">
        <f t="shared" si="60"/>
        <v>0</v>
      </c>
      <c r="IV40">
        <f t="shared" si="60"/>
        <v>13</v>
      </c>
      <c r="IW40">
        <f t="shared" si="60"/>
        <v>2</v>
      </c>
      <c r="IX40">
        <f t="shared" si="60"/>
        <v>0</v>
      </c>
      <c r="IY40">
        <f t="shared" si="59"/>
        <v>4</v>
      </c>
      <c r="IZ40">
        <f t="shared" si="63"/>
        <v>3</v>
      </c>
      <c r="JA40">
        <f t="shared" ref="JA40:JO58" si="64">GY40</f>
        <v>0</v>
      </c>
      <c r="JB40">
        <f t="shared" si="64"/>
        <v>0</v>
      </c>
      <c r="JC40">
        <f t="shared" si="64"/>
        <v>0</v>
      </c>
      <c r="JD40">
        <f t="shared" si="64"/>
        <v>0</v>
      </c>
      <c r="JE40">
        <f t="shared" si="64"/>
        <v>0</v>
      </c>
      <c r="JF40">
        <f t="shared" si="64"/>
        <v>0</v>
      </c>
      <c r="JG40">
        <f t="shared" si="64"/>
        <v>0</v>
      </c>
      <c r="JH40">
        <f t="shared" si="64"/>
        <v>0</v>
      </c>
      <c r="JI40">
        <f t="shared" si="64"/>
        <v>0</v>
      </c>
      <c r="JJ40">
        <f t="shared" si="64"/>
        <v>0</v>
      </c>
      <c r="JK40">
        <f t="shared" si="64"/>
        <v>0</v>
      </c>
      <c r="JL40">
        <f t="shared" si="64"/>
        <v>0</v>
      </c>
      <c r="JM40">
        <f t="shared" si="64"/>
        <v>0</v>
      </c>
      <c r="JN40">
        <f t="shared" si="64"/>
        <v>0</v>
      </c>
      <c r="JO40">
        <f t="shared" si="64"/>
        <v>0.5</v>
      </c>
    </row>
    <row r="41" spans="2:275" x14ac:dyDescent="0.25">
      <c r="B41" s="51">
        <v>69</v>
      </c>
      <c r="C41" t="s">
        <v>16</v>
      </c>
      <c r="D41" t="s">
        <v>439</v>
      </c>
      <c r="E41">
        <v>73.75</v>
      </c>
      <c r="F41">
        <v>100.625</v>
      </c>
      <c r="G41">
        <v>88</v>
      </c>
      <c r="H41">
        <v>2.875</v>
      </c>
      <c r="I41" s="51">
        <v>69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0.25</v>
      </c>
      <c r="Q41">
        <v>0.75</v>
      </c>
      <c r="R41">
        <v>0</v>
      </c>
      <c r="S41">
        <v>0</v>
      </c>
      <c r="T41">
        <v>0.5</v>
      </c>
      <c r="U41">
        <v>0</v>
      </c>
      <c r="V41">
        <v>0</v>
      </c>
      <c r="W41">
        <v>5.5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12.25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0.25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0.25</v>
      </c>
      <c r="BB41">
        <v>3</v>
      </c>
      <c r="BC41">
        <v>1.25</v>
      </c>
      <c r="BD41">
        <v>0</v>
      </c>
      <c r="BE41">
        <v>1.5</v>
      </c>
      <c r="BF41">
        <v>5</v>
      </c>
      <c r="BG41">
        <v>2.5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11.75</v>
      </c>
      <c r="BX41">
        <v>0.75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2295</v>
      </c>
      <c r="CG41">
        <v>25.25</v>
      </c>
      <c r="CH41">
        <v>1043.25</v>
      </c>
      <c r="CI41">
        <v>39.5</v>
      </c>
      <c r="CJ41">
        <v>0</v>
      </c>
      <c r="CK41">
        <v>0.5</v>
      </c>
      <c r="CL41">
        <v>0</v>
      </c>
      <c r="CM41">
        <v>0</v>
      </c>
      <c r="CN41">
        <v>0</v>
      </c>
      <c r="CO41">
        <v>0.25</v>
      </c>
      <c r="CP41">
        <v>0</v>
      </c>
      <c r="CQ41">
        <v>0</v>
      </c>
      <c r="CR41">
        <v>0</v>
      </c>
      <c r="CS41">
        <v>2.25</v>
      </c>
      <c r="CT41">
        <v>1</v>
      </c>
      <c r="CU41">
        <v>0</v>
      </c>
      <c r="CV41">
        <v>0.25</v>
      </c>
      <c r="CW41">
        <v>0</v>
      </c>
      <c r="CX41">
        <v>1.5</v>
      </c>
      <c r="CY41">
        <v>0</v>
      </c>
      <c r="CZ41">
        <v>4.25</v>
      </c>
      <c r="DA41">
        <v>0</v>
      </c>
      <c r="DB41">
        <v>0</v>
      </c>
      <c r="DC41">
        <v>4.25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0.5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3.75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0.5</v>
      </c>
      <c r="EP41" s="51">
        <v>69</v>
      </c>
      <c r="EQ41" t="s">
        <v>16</v>
      </c>
      <c r="ER41" t="s">
        <v>439</v>
      </c>
      <c r="ES41">
        <v>73.75</v>
      </c>
      <c r="ET41">
        <v>100.625</v>
      </c>
      <c r="EU41">
        <v>88</v>
      </c>
      <c r="EV41">
        <v>2.875</v>
      </c>
      <c r="EW41" s="51">
        <v>69</v>
      </c>
      <c r="EX41">
        <f t="shared" si="4"/>
        <v>0</v>
      </c>
      <c r="EY41">
        <f t="shared" si="5"/>
        <v>0</v>
      </c>
      <c r="EZ41">
        <f t="shared" si="6"/>
        <v>0</v>
      </c>
      <c r="FA41">
        <f t="shared" si="6"/>
        <v>0</v>
      </c>
      <c r="FB41">
        <f t="shared" si="6"/>
        <v>0.75</v>
      </c>
      <c r="FC41">
        <f t="shared" si="6"/>
        <v>0.75</v>
      </c>
      <c r="FD41">
        <f t="shared" si="7"/>
        <v>0</v>
      </c>
      <c r="FE41">
        <f t="shared" si="7"/>
        <v>5.5</v>
      </c>
      <c r="FF41">
        <f t="shared" si="8"/>
        <v>0</v>
      </c>
      <c r="FG41">
        <f t="shared" si="9"/>
        <v>0</v>
      </c>
      <c r="FH41">
        <f t="shared" si="10"/>
        <v>0</v>
      </c>
      <c r="FI41">
        <f t="shared" si="11"/>
        <v>12.25</v>
      </c>
      <c r="FJ41">
        <f t="shared" si="11"/>
        <v>0</v>
      </c>
      <c r="FK41">
        <f t="shared" si="11"/>
        <v>0</v>
      </c>
      <c r="FL41">
        <f t="shared" si="11"/>
        <v>0</v>
      </c>
      <c r="FM41">
        <f t="shared" si="12"/>
        <v>0</v>
      </c>
      <c r="FN41">
        <f t="shared" si="12"/>
        <v>0</v>
      </c>
      <c r="FO41">
        <f t="shared" si="12"/>
        <v>0.25</v>
      </c>
      <c r="FP41">
        <f t="shared" si="13"/>
        <v>0</v>
      </c>
      <c r="FQ41">
        <f t="shared" si="13"/>
        <v>0</v>
      </c>
      <c r="FR41">
        <f t="shared" si="13"/>
        <v>0</v>
      </c>
      <c r="FS41">
        <f t="shared" si="14"/>
        <v>0</v>
      </c>
      <c r="FT41">
        <f t="shared" si="14"/>
        <v>1.75</v>
      </c>
      <c r="FU41">
        <f t="shared" si="14"/>
        <v>8</v>
      </c>
      <c r="FV41">
        <f t="shared" si="14"/>
        <v>3.75</v>
      </c>
      <c r="FW41">
        <f t="shared" si="15"/>
        <v>0</v>
      </c>
      <c r="FX41">
        <f t="shared" si="15"/>
        <v>0</v>
      </c>
      <c r="FY41">
        <f t="shared" si="15"/>
        <v>0</v>
      </c>
      <c r="FZ41">
        <f t="shared" si="16"/>
        <v>0</v>
      </c>
      <c r="GA41">
        <f t="shared" si="16"/>
        <v>0</v>
      </c>
      <c r="GB41">
        <f t="shared" si="17"/>
        <v>0</v>
      </c>
      <c r="GC41">
        <f t="shared" si="18"/>
        <v>11.75</v>
      </c>
      <c r="GD41">
        <f t="shared" si="18"/>
        <v>0.75</v>
      </c>
      <c r="GE41">
        <f t="shared" si="18"/>
        <v>0</v>
      </c>
      <c r="GF41">
        <f t="shared" si="19"/>
        <v>0</v>
      </c>
      <c r="GG41">
        <f t="shared" si="19"/>
        <v>0</v>
      </c>
      <c r="GH41">
        <f t="shared" si="19"/>
        <v>0</v>
      </c>
      <c r="GI41">
        <f t="shared" si="20"/>
        <v>3338.25</v>
      </c>
      <c r="GJ41">
        <f t="shared" si="20"/>
        <v>64.75</v>
      </c>
      <c r="GK41">
        <f t="shared" si="21"/>
        <v>0.5</v>
      </c>
      <c r="GL41">
        <f t="shared" si="22"/>
        <v>0</v>
      </c>
      <c r="GM41">
        <f t="shared" si="23"/>
        <v>0.25</v>
      </c>
      <c r="GN41">
        <f t="shared" si="23"/>
        <v>0</v>
      </c>
      <c r="GO41">
        <f t="shared" si="24"/>
        <v>0</v>
      </c>
      <c r="GP41">
        <f t="shared" si="25"/>
        <v>3.25</v>
      </c>
      <c r="GQ41">
        <f t="shared" si="26"/>
        <v>0.25</v>
      </c>
      <c r="GR41">
        <f t="shared" si="27"/>
        <v>1.5</v>
      </c>
      <c r="GS41">
        <f t="shared" si="28"/>
        <v>0</v>
      </c>
      <c r="GT41">
        <f t="shared" si="28"/>
        <v>8.5</v>
      </c>
      <c r="GU41">
        <f t="shared" si="28"/>
        <v>0</v>
      </c>
      <c r="GV41">
        <f t="shared" si="29"/>
        <v>0</v>
      </c>
      <c r="GW41">
        <f t="shared" si="29"/>
        <v>0</v>
      </c>
      <c r="GX41">
        <f t="shared" si="29"/>
        <v>0.5</v>
      </c>
      <c r="GY41">
        <f t="shared" si="30"/>
        <v>0</v>
      </c>
      <c r="GZ41">
        <f t="shared" si="31"/>
        <v>0</v>
      </c>
      <c r="HA41">
        <f t="shared" si="32"/>
        <v>0</v>
      </c>
      <c r="HB41">
        <f t="shared" si="33"/>
        <v>0</v>
      </c>
      <c r="HC41">
        <f t="shared" si="34"/>
        <v>3.75</v>
      </c>
      <c r="HD41">
        <f t="shared" si="35"/>
        <v>0</v>
      </c>
      <c r="HE41">
        <f t="shared" si="36"/>
        <v>0</v>
      </c>
      <c r="HF41">
        <f t="shared" si="37"/>
        <v>0</v>
      </c>
      <c r="HG41">
        <f t="shared" si="38"/>
        <v>0</v>
      </c>
      <c r="HH41">
        <f t="shared" si="39"/>
        <v>0</v>
      </c>
      <c r="HI41">
        <f t="shared" si="40"/>
        <v>0</v>
      </c>
      <c r="HJ41">
        <f t="shared" si="41"/>
        <v>0</v>
      </c>
      <c r="HK41">
        <f t="shared" si="42"/>
        <v>0</v>
      </c>
      <c r="HL41">
        <f t="shared" si="43"/>
        <v>0</v>
      </c>
      <c r="HM41">
        <f t="shared" si="44"/>
        <v>0.5</v>
      </c>
      <c r="HO41" s="51">
        <v>69</v>
      </c>
      <c r="HP41" t="s">
        <v>16</v>
      </c>
      <c r="HQ41" t="s">
        <v>439</v>
      </c>
      <c r="HR41">
        <v>73.75</v>
      </c>
      <c r="HS41">
        <v>100.625</v>
      </c>
      <c r="HT41">
        <v>88</v>
      </c>
      <c r="HU41">
        <v>2.875</v>
      </c>
      <c r="HV41" s="51">
        <v>69</v>
      </c>
      <c r="HW41">
        <f t="shared" si="45"/>
        <v>0</v>
      </c>
      <c r="HX41">
        <f t="shared" si="45"/>
        <v>0</v>
      </c>
      <c r="HY41">
        <f t="shared" si="46"/>
        <v>1.5</v>
      </c>
      <c r="HZ41">
        <f t="shared" si="47"/>
        <v>5.5</v>
      </c>
      <c r="IA41">
        <f t="shared" si="48"/>
        <v>0</v>
      </c>
      <c r="IB41">
        <f t="shared" si="48"/>
        <v>0</v>
      </c>
      <c r="IC41">
        <f t="shared" si="48"/>
        <v>0</v>
      </c>
      <c r="ID41">
        <f t="shared" si="49"/>
        <v>12.25</v>
      </c>
      <c r="IE41">
        <f t="shared" si="50"/>
        <v>0.25</v>
      </c>
      <c r="IF41">
        <f t="shared" si="51"/>
        <v>0</v>
      </c>
      <c r="IG41">
        <f t="shared" si="52"/>
        <v>9.75</v>
      </c>
      <c r="IH41">
        <f t="shared" si="53"/>
        <v>3.75</v>
      </c>
      <c r="II41">
        <f t="shared" si="54"/>
        <v>0</v>
      </c>
      <c r="IJ41">
        <f t="shared" si="55"/>
        <v>0</v>
      </c>
      <c r="IK41">
        <f t="shared" si="56"/>
        <v>0</v>
      </c>
      <c r="IL41">
        <f t="shared" si="62"/>
        <v>0</v>
      </c>
      <c r="IM41">
        <f t="shared" si="57"/>
        <v>12.5</v>
      </c>
      <c r="IN41">
        <f t="shared" si="58"/>
        <v>0</v>
      </c>
      <c r="IO41">
        <f t="shared" si="60"/>
        <v>3338.25</v>
      </c>
      <c r="IP41">
        <f t="shared" si="60"/>
        <v>64.75</v>
      </c>
      <c r="IQ41">
        <f t="shared" si="60"/>
        <v>0.5</v>
      </c>
      <c r="IR41">
        <f t="shared" si="60"/>
        <v>0</v>
      </c>
      <c r="IS41">
        <f t="shared" si="60"/>
        <v>0.25</v>
      </c>
      <c r="IT41">
        <f t="shared" si="60"/>
        <v>0</v>
      </c>
      <c r="IU41">
        <f t="shared" si="60"/>
        <v>0</v>
      </c>
      <c r="IV41">
        <f t="shared" si="60"/>
        <v>3.25</v>
      </c>
      <c r="IW41">
        <f t="shared" si="60"/>
        <v>0.25</v>
      </c>
      <c r="IX41">
        <f t="shared" si="60"/>
        <v>1.5</v>
      </c>
      <c r="IY41">
        <f t="shared" si="59"/>
        <v>8.5</v>
      </c>
      <c r="IZ41">
        <f t="shared" si="63"/>
        <v>0.5</v>
      </c>
      <c r="JA41">
        <f t="shared" si="64"/>
        <v>0</v>
      </c>
      <c r="JB41">
        <f t="shared" si="64"/>
        <v>0</v>
      </c>
      <c r="JC41">
        <f t="shared" si="64"/>
        <v>0</v>
      </c>
      <c r="JD41">
        <f t="shared" si="64"/>
        <v>0</v>
      </c>
      <c r="JE41">
        <f t="shared" si="64"/>
        <v>3.75</v>
      </c>
      <c r="JF41">
        <f t="shared" si="64"/>
        <v>0</v>
      </c>
      <c r="JG41">
        <f t="shared" si="64"/>
        <v>0</v>
      </c>
      <c r="JH41">
        <f t="shared" si="64"/>
        <v>0</v>
      </c>
      <c r="JI41">
        <f t="shared" si="64"/>
        <v>0</v>
      </c>
      <c r="JJ41">
        <f t="shared" si="64"/>
        <v>0</v>
      </c>
      <c r="JK41">
        <f t="shared" si="64"/>
        <v>0</v>
      </c>
      <c r="JL41">
        <f t="shared" si="64"/>
        <v>0</v>
      </c>
      <c r="JM41">
        <f t="shared" si="64"/>
        <v>0</v>
      </c>
      <c r="JN41">
        <f t="shared" si="64"/>
        <v>0</v>
      </c>
      <c r="JO41">
        <f t="shared" si="64"/>
        <v>0.5</v>
      </c>
    </row>
    <row r="42" spans="2:275" x14ac:dyDescent="0.25">
      <c r="B42" s="51">
        <v>78</v>
      </c>
      <c r="C42" t="s">
        <v>16</v>
      </c>
      <c r="D42" t="s">
        <v>439</v>
      </c>
      <c r="E42">
        <v>77.875</v>
      </c>
      <c r="F42">
        <v>93.75</v>
      </c>
      <c r="G42">
        <v>118.25</v>
      </c>
      <c r="H42">
        <v>3</v>
      </c>
      <c r="I42" s="51">
        <v>78</v>
      </c>
      <c r="J42">
        <v>0</v>
      </c>
      <c r="K42">
        <v>0</v>
      </c>
      <c r="L42">
        <v>0</v>
      </c>
      <c r="M42">
        <v>0</v>
      </c>
      <c r="N42">
        <v>0</v>
      </c>
      <c r="O42">
        <v>0.25</v>
      </c>
      <c r="P42">
        <v>0</v>
      </c>
      <c r="Q42">
        <v>1</v>
      </c>
      <c r="R42">
        <v>0</v>
      </c>
      <c r="S42">
        <v>0</v>
      </c>
      <c r="T42">
        <v>0</v>
      </c>
      <c r="U42">
        <v>0.5</v>
      </c>
      <c r="V42">
        <v>0</v>
      </c>
      <c r="W42">
        <v>15</v>
      </c>
      <c r="X42">
        <v>0</v>
      </c>
      <c r="Y42">
        <v>0</v>
      </c>
      <c r="Z42">
        <v>0.25</v>
      </c>
      <c r="AA42">
        <v>0</v>
      </c>
      <c r="AB42">
        <v>0</v>
      </c>
      <c r="AC42">
        <v>0.25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2.75</v>
      </c>
      <c r="BC42">
        <v>1.75</v>
      </c>
      <c r="BD42">
        <v>0</v>
      </c>
      <c r="BE42">
        <v>0.75</v>
      </c>
      <c r="BF42">
        <v>3</v>
      </c>
      <c r="BG42">
        <v>2.25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0.25</v>
      </c>
      <c r="BV42">
        <v>0</v>
      </c>
      <c r="BW42">
        <v>0</v>
      </c>
      <c r="BX42">
        <v>2.25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2981.5</v>
      </c>
      <c r="CG42">
        <v>288.75</v>
      </c>
      <c r="CH42">
        <v>973.75</v>
      </c>
      <c r="CI42">
        <v>64.25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0.75</v>
      </c>
      <c r="CT42">
        <v>1.25</v>
      </c>
      <c r="CU42">
        <v>1</v>
      </c>
      <c r="CV42">
        <v>0.25</v>
      </c>
      <c r="CW42">
        <v>0</v>
      </c>
      <c r="CX42">
        <v>0</v>
      </c>
      <c r="CY42">
        <v>0</v>
      </c>
      <c r="CZ42">
        <v>2.25</v>
      </c>
      <c r="DA42">
        <v>0</v>
      </c>
      <c r="DB42">
        <v>0</v>
      </c>
      <c r="DC42">
        <v>2.25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P42" s="51">
        <v>78</v>
      </c>
      <c r="EQ42" t="s">
        <v>16</v>
      </c>
      <c r="ER42" t="s">
        <v>439</v>
      </c>
      <c r="ES42">
        <v>77.875</v>
      </c>
      <c r="ET42">
        <v>93.75</v>
      </c>
      <c r="EU42">
        <v>118.25</v>
      </c>
      <c r="EV42">
        <v>3</v>
      </c>
      <c r="EW42" s="51">
        <v>78</v>
      </c>
      <c r="EX42">
        <f t="shared" si="4"/>
        <v>0</v>
      </c>
      <c r="EY42">
        <f t="shared" si="5"/>
        <v>0</v>
      </c>
      <c r="EZ42">
        <f t="shared" si="6"/>
        <v>0</v>
      </c>
      <c r="FA42">
        <f t="shared" si="6"/>
        <v>0.25</v>
      </c>
      <c r="FB42">
        <f t="shared" si="6"/>
        <v>0</v>
      </c>
      <c r="FC42">
        <f t="shared" si="6"/>
        <v>1.5</v>
      </c>
      <c r="FD42">
        <f t="shared" si="7"/>
        <v>0</v>
      </c>
      <c r="FE42">
        <f t="shared" si="7"/>
        <v>15</v>
      </c>
      <c r="FF42">
        <f t="shared" si="8"/>
        <v>0.25</v>
      </c>
      <c r="FG42">
        <f t="shared" si="9"/>
        <v>0.25</v>
      </c>
      <c r="FH42">
        <f t="shared" si="10"/>
        <v>0</v>
      </c>
      <c r="FI42">
        <f t="shared" si="11"/>
        <v>0</v>
      </c>
      <c r="FJ42">
        <f t="shared" si="11"/>
        <v>0</v>
      </c>
      <c r="FK42">
        <f t="shared" si="11"/>
        <v>0</v>
      </c>
      <c r="FL42">
        <f t="shared" si="11"/>
        <v>0</v>
      </c>
      <c r="FM42">
        <f t="shared" si="12"/>
        <v>0</v>
      </c>
      <c r="FN42">
        <f t="shared" si="12"/>
        <v>0</v>
      </c>
      <c r="FO42">
        <f t="shared" si="12"/>
        <v>0</v>
      </c>
      <c r="FP42">
        <f t="shared" si="13"/>
        <v>0</v>
      </c>
      <c r="FQ42">
        <f t="shared" si="13"/>
        <v>0</v>
      </c>
      <c r="FR42">
        <f t="shared" si="13"/>
        <v>0</v>
      </c>
      <c r="FS42">
        <f t="shared" si="14"/>
        <v>0</v>
      </c>
      <c r="FT42">
        <f t="shared" si="14"/>
        <v>0.75</v>
      </c>
      <c r="FU42">
        <f t="shared" si="14"/>
        <v>5.75</v>
      </c>
      <c r="FV42">
        <f t="shared" si="14"/>
        <v>4</v>
      </c>
      <c r="FW42">
        <f t="shared" si="15"/>
        <v>0</v>
      </c>
      <c r="FX42">
        <f t="shared" si="15"/>
        <v>0</v>
      </c>
      <c r="FY42">
        <f t="shared" si="15"/>
        <v>0</v>
      </c>
      <c r="FZ42">
        <f t="shared" si="16"/>
        <v>0</v>
      </c>
      <c r="GA42">
        <f t="shared" si="16"/>
        <v>0</v>
      </c>
      <c r="GB42">
        <f t="shared" si="17"/>
        <v>0</v>
      </c>
      <c r="GC42">
        <f t="shared" si="18"/>
        <v>0</v>
      </c>
      <c r="GD42">
        <f t="shared" si="18"/>
        <v>2.5</v>
      </c>
      <c r="GE42">
        <f t="shared" si="18"/>
        <v>0</v>
      </c>
      <c r="GF42">
        <f t="shared" si="19"/>
        <v>0</v>
      </c>
      <c r="GG42">
        <f t="shared" si="19"/>
        <v>0</v>
      </c>
      <c r="GH42">
        <f t="shared" si="19"/>
        <v>0</v>
      </c>
      <c r="GI42">
        <f t="shared" si="20"/>
        <v>3955.25</v>
      </c>
      <c r="GJ42">
        <f t="shared" si="20"/>
        <v>353</v>
      </c>
      <c r="GK42">
        <f t="shared" si="21"/>
        <v>0</v>
      </c>
      <c r="GL42">
        <f t="shared" si="22"/>
        <v>0</v>
      </c>
      <c r="GM42">
        <f t="shared" si="23"/>
        <v>0</v>
      </c>
      <c r="GN42">
        <f t="shared" si="23"/>
        <v>0</v>
      </c>
      <c r="GO42">
        <f t="shared" si="24"/>
        <v>0</v>
      </c>
      <c r="GP42">
        <f t="shared" si="25"/>
        <v>2</v>
      </c>
      <c r="GQ42">
        <f t="shared" si="26"/>
        <v>1.25</v>
      </c>
      <c r="GR42">
        <f t="shared" si="27"/>
        <v>0</v>
      </c>
      <c r="GS42">
        <f t="shared" si="28"/>
        <v>0</v>
      </c>
      <c r="GT42">
        <f t="shared" si="28"/>
        <v>4.5</v>
      </c>
      <c r="GU42">
        <f t="shared" si="28"/>
        <v>0</v>
      </c>
      <c r="GV42">
        <f t="shared" si="29"/>
        <v>0</v>
      </c>
      <c r="GW42">
        <f t="shared" si="29"/>
        <v>0</v>
      </c>
      <c r="GX42">
        <f t="shared" si="29"/>
        <v>0</v>
      </c>
      <c r="GY42">
        <f t="shared" si="30"/>
        <v>0</v>
      </c>
      <c r="GZ42">
        <f t="shared" si="31"/>
        <v>0</v>
      </c>
      <c r="HA42">
        <f t="shared" si="32"/>
        <v>0</v>
      </c>
      <c r="HB42">
        <f t="shared" si="33"/>
        <v>0</v>
      </c>
      <c r="HC42">
        <f t="shared" si="34"/>
        <v>0</v>
      </c>
      <c r="HD42">
        <f t="shared" si="35"/>
        <v>0</v>
      </c>
      <c r="HE42">
        <f t="shared" si="36"/>
        <v>0</v>
      </c>
      <c r="HF42">
        <f t="shared" si="37"/>
        <v>0</v>
      </c>
      <c r="HG42">
        <f t="shared" si="38"/>
        <v>0</v>
      </c>
      <c r="HH42">
        <f t="shared" si="39"/>
        <v>0</v>
      </c>
      <c r="HI42">
        <f t="shared" si="40"/>
        <v>0</v>
      </c>
      <c r="HJ42">
        <f t="shared" si="41"/>
        <v>0</v>
      </c>
      <c r="HK42">
        <f t="shared" si="42"/>
        <v>0</v>
      </c>
      <c r="HL42">
        <f t="shared" si="43"/>
        <v>0</v>
      </c>
      <c r="HM42">
        <f t="shared" si="44"/>
        <v>0</v>
      </c>
      <c r="HO42" s="51">
        <v>78</v>
      </c>
      <c r="HP42" t="s">
        <v>16</v>
      </c>
      <c r="HQ42" t="s">
        <v>439</v>
      </c>
      <c r="HR42">
        <v>77.875</v>
      </c>
      <c r="HS42">
        <v>93.75</v>
      </c>
      <c r="HT42">
        <v>118.25</v>
      </c>
      <c r="HU42">
        <v>3</v>
      </c>
      <c r="HV42" s="51">
        <v>78</v>
      </c>
      <c r="HW42">
        <f t="shared" si="45"/>
        <v>0</v>
      </c>
      <c r="HX42">
        <f t="shared" si="45"/>
        <v>0</v>
      </c>
      <c r="HY42">
        <f t="shared" si="46"/>
        <v>1.75</v>
      </c>
      <c r="HZ42">
        <f t="shared" si="47"/>
        <v>15</v>
      </c>
      <c r="IA42">
        <f t="shared" si="48"/>
        <v>0.25</v>
      </c>
      <c r="IB42">
        <f t="shared" si="48"/>
        <v>0.25</v>
      </c>
      <c r="IC42">
        <f t="shared" si="48"/>
        <v>0</v>
      </c>
      <c r="ID42">
        <f t="shared" si="49"/>
        <v>0</v>
      </c>
      <c r="IE42">
        <f t="shared" si="50"/>
        <v>0</v>
      </c>
      <c r="IF42">
        <f t="shared" si="51"/>
        <v>0</v>
      </c>
      <c r="IG42">
        <f t="shared" si="52"/>
        <v>6.5</v>
      </c>
      <c r="IH42">
        <f t="shared" si="53"/>
        <v>4</v>
      </c>
      <c r="II42">
        <f t="shared" si="54"/>
        <v>0</v>
      </c>
      <c r="IJ42">
        <f t="shared" si="55"/>
        <v>0</v>
      </c>
      <c r="IK42">
        <f t="shared" si="56"/>
        <v>0</v>
      </c>
      <c r="IL42">
        <f t="shared" si="62"/>
        <v>0</v>
      </c>
      <c r="IM42">
        <f t="shared" si="57"/>
        <v>2.5</v>
      </c>
      <c r="IN42">
        <f t="shared" si="58"/>
        <v>0</v>
      </c>
      <c r="IO42">
        <f t="shared" si="60"/>
        <v>3955.25</v>
      </c>
      <c r="IP42">
        <f t="shared" si="60"/>
        <v>353</v>
      </c>
      <c r="IQ42">
        <f t="shared" si="60"/>
        <v>0</v>
      </c>
      <c r="IR42">
        <f t="shared" si="60"/>
        <v>0</v>
      </c>
      <c r="IS42">
        <f t="shared" si="60"/>
        <v>0</v>
      </c>
      <c r="IT42">
        <f t="shared" si="60"/>
        <v>0</v>
      </c>
      <c r="IU42">
        <f t="shared" si="60"/>
        <v>0</v>
      </c>
      <c r="IV42">
        <f t="shared" si="60"/>
        <v>2</v>
      </c>
      <c r="IW42">
        <f t="shared" si="60"/>
        <v>1.25</v>
      </c>
      <c r="IX42">
        <f t="shared" si="60"/>
        <v>0</v>
      </c>
      <c r="IY42">
        <f t="shared" si="59"/>
        <v>4.5</v>
      </c>
      <c r="IZ42">
        <f t="shared" si="63"/>
        <v>0</v>
      </c>
      <c r="JA42">
        <f t="shared" si="64"/>
        <v>0</v>
      </c>
      <c r="JB42">
        <f t="shared" si="64"/>
        <v>0</v>
      </c>
      <c r="JC42">
        <f t="shared" si="64"/>
        <v>0</v>
      </c>
      <c r="JD42">
        <f t="shared" si="64"/>
        <v>0</v>
      </c>
      <c r="JE42">
        <f t="shared" si="64"/>
        <v>0</v>
      </c>
      <c r="JF42">
        <f t="shared" si="64"/>
        <v>0</v>
      </c>
      <c r="JG42">
        <f t="shared" si="64"/>
        <v>0</v>
      </c>
      <c r="JH42">
        <f t="shared" si="64"/>
        <v>0</v>
      </c>
      <c r="JI42">
        <f t="shared" si="64"/>
        <v>0</v>
      </c>
      <c r="JJ42">
        <f t="shared" si="64"/>
        <v>0</v>
      </c>
      <c r="JK42">
        <f t="shared" si="64"/>
        <v>0</v>
      </c>
      <c r="JL42">
        <f t="shared" si="64"/>
        <v>0</v>
      </c>
      <c r="JM42">
        <f t="shared" si="64"/>
        <v>0</v>
      </c>
      <c r="JN42">
        <f t="shared" si="64"/>
        <v>0</v>
      </c>
      <c r="JO42">
        <f t="shared" si="64"/>
        <v>0</v>
      </c>
    </row>
    <row r="43" spans="2:275" x14ac:dyDescent="0.25">
      <c r="B43" s="51">
        <v>79</v>
      </c>
      <c r="C43" t="s">
        <v>440</v>
      </c>
      <c r="D43" t="s">
        <v>439</v>
      </c>
      <c r="E43" s="91" t="s">
        <v>589</v>
      </c>
      <c r="F43" s="90"/>
      <c r="G43" s="90"/>
      <c r="H43" s="90"/>
      <c r="I43" s="51">
        <v>79</v>
      </c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P43" s="51">
        <v>79</v>
      </c>
      <c r="EQ43" t="s">
        <v>440</v>
      </c>
      <c r="ER43" t="s">
        <v>439</v>
      </c>
      <c r="ES43" s="50"/>
      <c r="ET43" s="50"/>
      <c r="EU43" s="50"/>
      <c r="EV43" s="50"/>
      <c r="EW43" s="51">
        <v>79</v>
      </c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O43" s="51">
        <v>79</v>
      </c>
      <c r="HP43" t="s">
        <v>440</v>
      </c>
      <c r="HQ43" t="s">
        <v>439</v>
      </c>
      <c r="HR43" s="68"/>
      <c r="HS43" s="68"/>
      <c r="HT43" s="68"/>
      <c r="HU43" s="68"/>
      <c r="HV43" s="51">
        <v>79</v>
      </c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8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</row>
    <row r="44" spans="2:275" x14ac:dyDescent="0.25">
      <c r="B44" s="51">
        <v>82</v>
      </c>
      <c r="C44" t="s">
        <v>440</v>
      </c>
      <c r="D44" t="s">
        <v>439</v>
      </c>
      <c r="E44">
        <v>91.5</v>
      </c>
      <c r="F44">
        <v>178.75</v>
      </c>
      <c r="G44">
        <v>146.25</v>
      </c>
      <c r="H44">
        <v>2.75</v>
      </c>
      <c r="I44" s="51">
        <v>82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1.25</v>
      </c>
      <c r="R44">
        <v>0</v>
      </c>
      <c r="S44">
        <v>0.5</v>
      </c>
      <c r="T44">
        <v>0</v>
      </c>
      <c r="U44">
        <v>1</v>
      </c>
      <c r="V44">
        <v>0.25</v>
      </c>
      <c r="W44">
        <v>20</v>
      </c>
      <c r="X44">
        <v>0</v>
      </c>
      <c r="Y44">
        <v>0.75</v>
      </c>
      <c r="Z44">
        <v>0.5</v>
      </c>
      <c r="AA44">
        <v>0</v>
      </c>
      <c r="AB44">
        <v>0</v>
      </c>
      <c r="AC44">
        <v>0.25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2.75</v>
      </c>
      <c r="BC44">
        <v>0.5</v>
      </c>
      <c r="BD44">
        <v>0</v>
      </c>
      <c r="BE44">
        <v>6</v>
      </c>
      <c r="BF44">
        <v>6.25</v>
      </c>
      <c r="BG44">
        <v>4.5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0.25</v>
      </c>
      <c r="BT44">
        <v>0</v>
      </c>
      <c r="BU44">
        <v>0.75</v>
      </c>
      <c r="BV44">
        <v>0</v>
      </c>
      <c r="BW44">
        <v>1</v>
      </c>
      <c r="BX44">
        <v>0.75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891.25</v>
      </c>
      <c r="CG44">
        <v>58.5</v>
      </c>
      <c r="CH44">
        <v>468</v>
      </c>
      <c r="CI44">
        <v>18</v>
      </c>
      <c r="CJ44">
        <v>0</v>
      </c>
      <c r="CK44">
        <v>6.75</v>
      </c>
      <c r="CL44">
        <v>0</v>
      </c>
      <c r="CM44">
        <v>0</v>
      </c>
      <c r="CN44">
        <v>0</v>
      </c>
      <c r="CO44">
        <v>0.25</v>
      </c>
      <c r="CP44">
        <v>0</v>
      </c>
      <c r="CQ44">
        <v>0</v>
      </c>
      <c r="CR44">
        <v>0</v>
      </c>
      <c r="CS44">
        <v>2.25</v>
      </c>
      <c r="CT44">
        <v>3</v>
      </c>
      <c r="CU44">
        <v>0.75</v>
      </c>
      <c r="CV44">
        <v>0.75</v>
      </c>
      <c r="CW44">
        <v>0</v>
      </c>
      <c r="CX44">
        <v>0</v>
      </c>
      <c r="CY44">
        <v>0</v>
      </c>
      <c r="CZ44">
        <v>2</v>
      </c>
      <c r="DA44">
        <v>0</v>
      </c>
      <c r="DB44">
        <v>0</v>
      </c>
      <c r="DC44">
        <v>0.25</v>
      </c>
      <c r="DD44">
        <v>0</v>
      </c>
      <c r="DE44">
        <v>0.25</v>
      </c>
      <c r="DF44">
        <v>0</v>
      </c>
      <c r="DG44">
        <v>0</v>
      </c>
      <c r="DH44">
        <v>0.5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0.25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0.75</v>
      </c>
      <c r="EP44" s="51">
        <v>82</v>
      </c>
      <c r="EQ44" t="s">
        <v>440</v>
      </c>
      <c r="ER44" t="s">
        <v>439</v>
      </c>
      <c r="ES44">
        <v>91.5</v>
      </c>
      <c r="ET44">
        <v>178.75</v>
      </c>
      <c r="EU44">
        <v>146.25</v>
      </c>
      <c r="EV44">
        <v>2.75</v>
      </c>
      <c r="EW44" s="51">
        <v>82</v>
      </c>
      <c r="EX44">
        <f t="shared" si="4"/>
        <v>0</v>
      </c>
      <c r="EY44">
        <f t="shared" si="5"/>
        <v>0</v>
      </c>
      <c r="EZ44">
        <f t="shared" si="6"/>
        <v>0</v>
      </c>
      <c r="FA44">
        <f t="shared" si="6"/>
        <v>0.5</v>
      </c>
      <c r="FB44">
        <f t="shared" si="6"/>
        <v>0</v>
      </c>
      <c r="FC44">
        <f t="shared" si="6"/>
        <v>2.25</v>
      </c>
      <c r="FD44">
        <f t="shared" si="7"/>
        <v>0.25</v>
      </c>
      <c r="FE44">
        <f t="shared" si="7"/>
        <v>20.75</v>
      </c>
      <c r="FF44">
        <f t="shared" si="8"/>
        <v>0.5</v>
      </c>
      <c r="FG44">
        <f t="shared" si="9"/>
        <v>0.25</v>
      </c>
      <c r="FH44">
        <f t="shared" si="10"/>
        <v>0</v>
      </c>
      <c r="FI44">
        <f t="shared" si="11"/>
        <v>0</v>
      </c>
      <c r="FJ44">
        <f t="shared" si="11"/>
        <v>0</v>
      </c>
      <c r="FK44">
        <f t="shared" si="11"/>
        <v>0</v>
      </c>
      <c r="FL44">
        <f t="shared" si="11"/>
        <v>0</v>
      </c>
      <c r="FM44">
        <f t="shared" si="12"/>
        <v>0</v>
      </c>
      <c r="FN44">
        <f t="shared" si="12"/>
        <v>0</v>
      </c>
      <c r="FO44">
        <f t="shared" si="12"/>
        <v>0</v>
      </c>
      <c r="FP44">
        <f t="shared" si="13"/>
        <v>0</v>
      </c>
      <c r="FQ44">
        <f t="shared" si="13"/>
        <v>0</v>
      </c>
      <c r="FR44">
        <f t="shared" si="13"/>
        <v>0</v>
      </c>
      <c r="FS44">
        <f t="shared" si="14"/>
        <v>0</v>
      </c>
      <c r="FT44">
        <f t="shared" si="14"/>
        <v>6</v>
      </c>
      <c r="FU44">
        <f t="shared" si="14"/>
        <v>9</v>
      </c>
      <c r="FV44">
        <f t="shared" si="14"/>
        <v>5</v>
      </c>
      <c r="FW44">
        <f t="shared" si="15"/>
        <v>0</v>
      </c>
      <c r="FX44">
        <f t="shared" si="15"/>
        <v>0</v>
      </c>
      <c r="FY44">
        <f t="shared" si="15"/>
        <v>0</v>
      </c>
      <c r="FZ44">
        <f t="shared" si="16"/>
        <v>0</v>
      </c>
      <c r="GA44">
        <f t="shared" si="16"/>
        <v>0</v>
      </c>
      <c r="GB44">
        <f t="shared" si="17"/>
        <v>0.25</v>
      </c>
      <c r="GC44">
        <f t="shared" si="18"/>
        <v>1</v>
      </c>
      <c r="GD44">
        <f t="shared" si="18"/>
        <v>1.5</v>
      </c>
      <c r="GE44">
        <f t="shared" si="18"/>
        <v>0</v>
      </c>
      <c r="GF44">
        <f t="shared" si="19"/>
        <v>0</v>
      </c>
      <c r="GG44">
        <f t="shared" si="19"/>
        <v>0</v>
      </c>
      <c r="GH44">
        <f t="shared" si="19"/>
        <v>0</v>
      </c>
      <c r="GI44">
        <f t="shared" si="20"/>
        <v>1359.25</v>
      </c>
      <c r="GJ44">
        <f t="shared" si="20"/>
        <v>76.5</v>
      </c>
      <c r="GK44">
        <f t="shared" si="21"/>
        <v>6.75</v>
      </c>
      <c r="GL44">
        <f t="shared" si="22"/>
        <v>0</v>
      </c>
      <c r="GM44">
        <f t="shared" si="23"/>
        <v>0.25</v>
      </c>
      <c r="GN44">
        <f t="shared" si="23"/>
        <v>0</v>
      </c>
      <c r="GO44">
        <f t="shared" si="24"/>
        <v>0</v>
      </c>
      <c r="GP44">
        <f t="shared" si="25"/>
        <v>5.25</v>
      </c>
      <c r="GQ44">
        <f t="shared" si="26"/>
        <v>1.5</v>
      </c>
      <c r="GR44">
        <f t="shared" si="27"/>
        <v>0</v>
      </c>
      <c r="GS44">
        <f t="shared" si="28"/>
        <v>0</v>
      </c>
      <c r="GT44">
        <f t="shared" si="28"/>
        <v>2.25</v>
      </c>
      <c r="GU44">
        <f t="shared" si="28"/>
        <v>0</v>
      </c>
      <c r="GV44">
        <f t="shared" si="29"/>
        <v>0.75</v>
      </c>
      <c r="GW44">
        <f t="shared" si="29"/>
        <v>0</v>
      </c>
      <c r="GX44">
        <f t="shared" si="29"/>
        <v>0</v>
      </c>
      <c r="GY44">
        <f t="shared" si="30"/>
        <v>0</v>
      </c>
      <c r="GZ44">
        <f t="shared" si="31"/>
        <v>0</v>
      </c>
      <c r="HA44">
        <f t="shared" si="32"/>
        <v>0</v>
      </c>
      <c r="HB44">
        <f t="shared" si="33"/>
        <v>0</v>
      </c>
      <c r="HC44">
        <f t="shared" si="34"/>
        <v>0.25</v>
      </c>
      <c r="HD44">
        <f t="shared" si="35"/>
        <v>0</v>
      </c>
      <c r="HE44">
        <f t="shared" si="36"/>
        <v>0</v>
      </c>
      <c r="HF44">
        <f t="shared" si="37"/>
        <v>0</v>
      </c>
      <c r="HG44">
        <f t="shared" si="38"/>
        <v>0</v>
      </c>
      <c r="HH44">
        <f t="shared" si="39"/>
        <v>0</v>
      </c>
      <c r="HI44">
        <f t="shared" si="40"/>
        <v>0</v>
      </c>
      <c r="HJ44">
        <f t="shared" si="41"/>
        <v>0</v>
      </c>
      <c r="HK44">
        <f t="shared" si="42"/>
        <v>0</v>
      </c>
      <c r="HL44">
        <f t="shared" si="43"/>
        <v>0</v>
      </c>
      <c r="HM44">
        <f t="shared" si="44"/>
        <v>0.75</v>
      </c>
      <c r="HO44" s="51">
        <v>82</v>
      </c>
      <c r="HP44" t="s">
        <v>440</v>
      </c>
      <c r="HQ44" t="s">
        <v>439</v>
      </c>
      <c r="HR44">
        <v>91.5</v>
      </c>
      <c r="HS44">
        <v>178.75</v>
      </c>
      <c r="HT44">
        <v>146.25</v>
      </c>
      <c r="HU44">
        <v>2.75</v>
      </c>
      <c r="HV44" s="51">
        <v>82</v>
      </c>
      <c r="HW44">
        <f t="shared" si="45"/>
        <v>0</v>
      </c>
      <c r="HX44">
        <f t="shared" si="45"/>
        <v>0</v>
      </c>
      <c r="HY44">
        <f t="shared" si="46"/>
        <v>2.75</v>
      </c>
      <c r="HZ44">
        <f t="shared" si="47"/>
        <v>21</v>
      </c>
      <c r="IA44">
        <f t="shared" si="48"/>
        <v>0.5</v>
      </c>
      <c r="IB44">
        <f t="shared" si="48"/>
        <v>0.25</v>
      </c>
      <c r="IC44">
        <f t="shared" si="48"/>
        <v>0</v>
      </c>
      <c r="ID44">
        <f t="shared" si="49"/>
        <v>0</v>
      </c>
      <c r="IE44">
        <f t="shared" si="50"/>
        <v>0</v>
      </c>
      <c r="IF44">
        <f t="shared" si="51"/>
        <v>0</v>
      </c>
      <c r="IG44">
        <f t="shared" si="52"/>
        <v>15</v>
      </c>
      <c r="IH44">
        <f t="shared" si="53"/>
        <v>5</v>
      </c>
      <c r="II44">
        <f t="shared" si="54"/>
        <v>0</v>
      </c>
      <c r="IJ44">
        <f t="shared" si="55"/>
        <v>0</v>
      </c>
      <c r="IK44">
        <f t="shared" si="56"/>
        <v>0</v>
      </c>
      <c r="IL44">
        <f t="shared" ref="IL44:IL49" si="65">SUM(GB44)</f>
        <v>0.25</v>
      </c>
      <c r="IM44">
        <f t="shared" si="57"/>
        <v>2.5</v>
      </c>
      <c r="IN44">
        <f t="shared" si="58"/>
        <v>0</v>
      </c>
      <c r="IO44">
        <f t="shared" si="60"/>
        <v>1359.25</v>
      </c>
      <c r="IP44">
        <f t="shared" si="60"/>
        <v>76.5</v>
      </c>
      <c r="IQ44">
        <f t="shared" si="60"/>
        <v>6.75</v>
      </c>
      <c r="IR44">
        <f t="shared" si="60"/>
        <v>0</v>
      </c>
      <c r="IS44">
        <f t="shared" si="60"/>
        <v>0.25</v>
      </c>
      <c r="IT44">
        <f t="shared" si="60"/>
        <v>0</v>
      </c>
      <c r="IU44">
        <f t="shared" si="60"/>
        <v>0</v>
      </c>
      <c r="IV44">
        <f t="shared" si="60"/>
        <v>5.25</v>
      </c>
      <c r="IW44">
        <f t="shared" si="60"/>
        <v>1.5</v>
      </c>
      <c r="IX44">
        <f t="shared" si="60"/>
        <v>0</v>
      </c>
      <c r="IY44">
        <f t="shared" si="59"/>
        <v>2.25</v>
      </c>
      <c r="IZ44">
        <f t="shared" ref="IZ44:IZ49" si="66">SUM(GV44:GX44)</f>
        <v>0.75</v>
      </c>
      <c r="JA44">
        <f t="shared" si="64"/>
        <v>0</v>
      </c>
      <c r="JB44">
        <f t="shared" si="64"/>
        <v>0</v>
      </c>
      <c r="JC44">
        <f t="shared" si="64"/>
        <v>0</v>
      </c>
      <c r="JD44">
        <f t="shared" si="64"/>
        <v>0</v>
      </c>
      <c r="JE44">
        <f t="shared" si="64"/>
        <v>0.25</v>
      </c>
      <c r="JF44">
        <f t="shared" si="64"/>
        <v>0</v>
      </c>
      <c r="JG44">
        <f t="shared" si="64"/>
        <v>0</v>
      </c>
      <c r="JH44">
        <f t="shared" si="64"/>
        <v>0</v>
      </c>
      <c r="JI44">
        <f t="shared" si="64"/>
        <v>0</v>
      </c>
      <c r="JJ44">
        <f t="shared" si="64"/>
        <v>0</v>
      </c>
      <c r="JK44">
        <f t="shared" si="64"/>
        <v>0</v>
      </c>
      <c r="JL44">
        <f t="shared" si="64"/>
        <v>0</v>
      </c>
      <c r="JM44">
        <f t="shared" si="64"/>
        <v>0</v>
      </c>
      <c r="JN44">
        <f t="shared" si="64"/>
        <v>0</v>
      </c>
      <c r="JO44">
        <f t="shared" si="64"/>
        <v>0.75</v>
      </c>
    </row>
    <row r="45" spans="2:275" x14ac:dyDescent="0.25">
      <c r="B45" s="51">
        <v>86</v>
      </c>
      <c r="C45" t="s">
        <v>16</v>
      </c>
      <c r="D45" t="s">
        <v>439</v>
      </c>
      <c r="E45">
        <v>93.375</v>
      </c>
      <c r="F45">
        <v>88.125</v>
      </c>
      <c r="G45">
        <v>104.5</v>
      </c>
      <c r="H45">
        <v>3.375</v>
      </c>
      <c r="I45" s="51">
        <v>86</v>
      </c>
      <c r="J45">
        <v>0</v>
      </c>
      <c r="K45">
        <v>0</v>
      </c>
      <c r="L45">
        <v>0</v>
      </c>
      <c r="M45">
        <v>0</v>
      </c>
      <c r="N45">
        <v>0</v>
      </c>
      <c r="O45">
        <v>0.25</v>
      </c>
      <c r="P45">
        <v>0</v>
      </c>
      <c r="Q45">
        <v>2.75</v>
      </c>
      <c r="R45">
        <v>0</v>
      </c>
      <c r="S45">
        <v>0.25</v>
      </c>
      <c r="T45">
        <v>0</v>
      </c>
      <c r="U45">
        <v>0</v>
      </c>
      <c r="V45">
        <v>0</v>
      </c>
      <c r="W45">
        <v>5.5</v>
      </c>
      <c r="X45">
        <v>0</v>
      </c>
      <c r="Y45">
        <v>0.25</v>
      </c>
      <c r="Z45">
        <v>0.25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0.25</v>
      </c>
      <c r="AY45">
        <v>0.25</v>
      </c>
      <c r="AZ45">
        <v>0</v>
      </c>
      <c r="BA45">
        <v>0</v>
      </c>
      <c r="BB45">
        <v>1.25</v>
      </c>
      <c r="BC45">
        <v>0.75</v>
      </c>
      <c r="BD45">
        <v>0</v>
      </c>
      <c r="BE45">
        <v>1</v>
      </c>
      <c r="BF45">
        <v>2.5</v>
      </c>
      <c r="BG45">
        <v>1.75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3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3312.5</v>
      </c>
      <c r="CG45">
        <v>171.25</v>
      </c>
      <c r="CH45">
        <v>1868.5</v>
      </c>
      <c r="CI45">
        <v>211.25</v>
      </c>
      <c r="CJ45">
        <v>0</v>
      </c>
      <c r="CK45">
        <v>1.5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1.5</v>
      </c>
      <c r="CT45">
        <v>1</v>
      </c>
      <c r="CU45">
        <v>0.25</v>
      </c>
      <c r="CV45">
        <v>0.25</v>
      </c>
      <c r="CW45">
        <v>0</v>
      </c>
      <c r="CX45">
        <v>0</v>
      </c>
      <c r="CY45">
        <v>0</v>
      </c>
      <c r="CZ45">
        <v>5.5</v>
      </c>
      <c r="DA45">
        <v>0</v>
      </c>
      <c r="DB45">
        <v>0</v>
      </c>
      <c r="DC45">
        <v>11</v>
      </c>
      <c r="DD45">
        <v>0.5</v>
      </c>
      <c r="DE45">
        <v>0</v>
      </c>
      <c r="DF45">
        <v>0</v>
      </c>
      <c r="DG45">
        <v>0</v>
      </c>
      <c r="DH45">
        <v>0.25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0.25</v>
      </c>
      <c r="EP45" s="51">
        <v>86</v>
      </c>
      <c r="EQ45" t="s">
        <v>16</v>
      </c>
      <c r="ER45" t="s">
        <v>439</v>
      </c>
      <c r="ES45">
        <v>93.375</v>
      </c>
      <c r="ET45">
        <v>88.125</v>
      </c>
      <c r="EU45">
        <v>104.5</v>
      </c>
      <c r="EV45">
        <v>3.375</v>
      </c>
      <c r="EW45" s="51">
        <v>86</v>
      </c>
      <c r="EX45">
        <f t="shared" si="4"/>
        <v>0</v>
      </c>
      <c r="EY45">
        <f t="shared" si="5"/>
        <v>0</v>
      </c>
      <c r="EZ45">
        <f t="shared" si="6"/>
        <v>0</v>
      </c>
      <c r="FA45">
        <f t="shared" si="6"/>
        <v>0.5</v>
      </c>
      <c r="FB45">
        <f t="shared" si="6"/>
        <v>0</v>
      </c>
      <c r="FC45">
        <f t="shared" si="6"/>
        <v>2.75</v>
      </c>
      <c r="FD45">
        <f t="shared" si="7"/>
        <v>0</v>
      </c>
      <c r="FE45">
        <f t="shared" si="7"/>
        <v>5.75</v>
      </c>
      <c r="FF45">
        <f t="shared" si="8"/>
        <v>0.25</v>
      </c>
      <c r="FG45">
        <f t="shared" si="9"/>
        <v>0</v>
      </c>
      <c r="FH45">
        <f t="shared" si="10"/>
        <v>0</v>
      </c>
      <c r="FI45">
        <f t="shared" si="11"/>
        <v>5.5</v>
      </c>
      <c r="FJ45">
        <f t="shared" si="11"/>
        <v>0</v>
      </c>
      <c r="FK45">
        <f t="shared" si="11"/>
        <v>0</v>
      </c>
      <c r="FL45">
        <f t="shared" si="11"/>
        <v>0</v>
      </c>
      <c r="FM45">
        <f t="shared" si="12"/>
        <v>0</v>
      </c>
      <c r="FN45">
        <f t="shared" si="12"/>
        <v>0</v>
      </c>
      <c r="FO45">
        <f t="shared" si="12"/>
        <v>0</v>
      </c>
      <c r="FP45">
        <f t="shared" si="13"/>
        <v>0</v>
      </c>
      <c r="FQ45">
        <f t="shared" si="13"/>
        <v>0.25</v>
      </c>
      <c r="FR45">
        <f t="shared" si="13"/>
        <v>0.25</v>
      </c>
      <c r="FS45">
        <f t="shared" si="14"/>
        <v>0</v>
      </c>
      <c r="FT45">
        <f t="shared" si="14"/>
        <v>1</v>
      </c>
      <c r="FU45">
        <f t="shared" si="14"/>
        <v>3.75</v>
      </c>
      <c r="FV45">
        <f t="shared" si="14"/>
        <v>2.5</v>
      </c>
      <c r="FW45">
        <f t="shared" si="15"/>
        <v>0</v>
      </c>
      <c r="FX45">
        <f t="shared" si="15"/>
        <v>0</v>
      </c>
      <c r="FY45">
        <f t="shared" si="15"/>
        <v>0</v>
      </c>
      <c r="FZ45">
        <f t="shared" si="16"/>
        <v>0</v>
      </c>
      <c r="GA45">
        <f t="shared" si="16"/>
        <v>0</v>
      </c>
      <c r="GB45">
        <f t="shared" si="17"/>
        <v>0</v>
      </c>
      <c r="GC45">
        <f t="shared" si="18"/>
        <v>3</v>
      </c>
      <c r="GD45">
        <f t="shared" si="18"/>
        <v>1</v>
      </c>
      <c r="GE45">
        <f t="shared" si="18"/>
        <v>0</v>
      </c>
      <c r="GF45">
        <f t="shared" si="19"/>
        <v>0</v>
      </c>
      <c r="GG45">
        <f t="shared" si="19"/>
        <v>0</v>
      </c>
      <c r="GH45">
        <f t="shared" si="19"/>
        <v>0</v>
      </c>
      <c r="GI45">
        <f t="shared" si="20"/>
        <v>5181</v>
      </c>
      <c r="GJ45">
        <f t="shared" si="20"/>
        <v>382.5</v>
      </c>
      <c r="GK45">
        <f t="shared" si="21"/>
        <v>1.5</v>
      </c>
      <c r="GL45">
        <f t="shared" si="22"/>
        <v>0</v>
      </c>
      <c r="GM45">
        <f t="shared" si="23"/>
        <v>0</v>
      </c>
      <c r="GN45">
        <f t="shared" si="23"/>
        <v>0</v>
      </c>
      <c r="GO45">
        <f t="shared" si="24"/>
        <v>0</v>
      </c>
      <c r="GP45">
        <f t="shared" si="25"/>
        <v>2.5</v>
      </c>
      <c r="GQ45">
        <f t="shared" si="26"/>
        <v>0.5</v>
      </c>
      <c r="GR45">
        <f t="shared" si="27"/>
        <v>0</v>
      </c>
      <c r="GS45">
        <f t="shared" si="28"/>
        <v>0</v>
      </c>
      <c r="GT45">
        <f t="shared" si="28"/>
        <v>16.5</v>
      </c>
      <c r="GU45">
        <f t="shared" si="28"/>
        <v>0.5</v>
      </c>
      <c r="GV45">
        <f t="shared" si="29"/>
        <v>0.25</v>
      </c>
      <c r="GW45">
        <f t="shared" si="29"/>
        <v>0</v>
      </c>
      <c r="GX45">
        <f t="shared" si="29"/>
        <v>0</v>
      </c>
      <c r="GY45">
        <f t="shared" si="30"/>
        <v>0</v>
      </c>
      <c r="GZ45">
        <f t="shared" si="31"/>
        <v>0</v>
      </c>
      <c r="HA45">
        <f t="shared" si="32"/>
        <v>0</v>
      </c>
      <c r="HB45">
        <f t="shared" si="33"/>
        <v>0</v>
      </c>
      <c r="HC45">
        <f t="shared" si="34"/>
        <v>0</v>
      </c>
      <c r="HD45">
        <f t="shared" si="35"/>
        <v>0</v>
      </c>
      <c r="HE45">
        <f t="shared" si="36"/>
        <v>0</v>
      </c>
      <c r="HF45">
        <f t="shared" si="37"/>
        <v>0</v>
      </c>
      <c r="HG45">
        <f t="shared" si="38"/>
        <v>0</v>
      </c>
      <c r="HH45">
        <f t="shared" si="39"/>
        <v>0</v>
      </c>
      <c r="HI45">
        <f t="shared" si="40"/>
        <v>0</v>
      </c>
      <c r="HJ45">
        <f t="shared" si="41"/>
        <v>0</v>
      </c>
      <c r="HK45">
        <f t="shared" si="42"/>
        <v>0</v>
      </c>
      <c r="HL45">
        <f t="shared" si="43"/>
        <v>0</v>
      </c>
      <c r="HM45">
        <f t="shared" si="44"/>
        <v>0.25</v>
      </c>
      <c r="HO45" s="51">
        <v>86</v>
      </c>
      <c r="HP45" t="s">
        <v>16</v>
      </c>
      <c r="HQ45" t="s">
        <v>439</v>
      </c>
      <c r="HR45">
        <v>93.375</v>
      </c>
      <c r="HS45">
        <v>88.125</v>
      </c>
      <c r="HT45">
        <v>104.5</v>
      </c>
      <c r="HU45">
        <v>3.375</v>
      </c>
      <c r="HV45" s="51">
        <v>86</v>
      </c>
      <c r="HW45">
        <f t="shared" si="45"/>
        <v>0</v>
      </c>
      <c r="HX45">
        <f t="shared" si="45"/>
        <v>0</v>
      </c>
      <c r="HY45">
        <f t="shared" si="46"/>
        <v>3.25</v>
      </c>
      <c r="HZ45">
        <f t="shared" si="47"/>
        <v>5.75</v>
      </c>
      <c r="IA45">
        <f t="shared" si="48"/>
        <v>0.25</v>
      </c>
      <c r="IB45">
        <f t="shared" si="48"/>
        <v>0</v>
      </c>
      <c r="IC45">
        <f t="shared" si="48"/>
        <v>0</v>
      </c>
      <c r="ID45">
        <f t="shared" si="49"/>
        <v>5.5</v>
      </c>
      <c r="IE45">
        <f t="shared" si="50"/>
        <v>0</v>
      </c>
      <c r="IF45">
        <f t="shared" si="51"/>
        <v>0.5</v>
      </c>
      <c r="IG45">
        <f t="shared" si="52"/>
        <v>4.75</v>
      </c>
      <c r="IH45">
        <f t="shared" si="53"/>
        <v>2.5</v>
      </c>
      <c r="II45">
        <f t="shared" si="54"/>
        <v>0</v>
      </c>
      <c r="IJ45">
        <f t="shared" si="55"/>
        <v>0</v>
      </c>
      <c r="IK45">
        <f t="shared" si="56"/>
        <v>0</v>
      </c>
      <c r="IL45">
        <f t="shared" si="65"/>
        <v>0</v>
      </c>
      <c r="IM45">
        <f t="shared" si="57"/>
        <v>4</v>
      </c>
      <c r="IN45">
        <f t="shared" si="58"/>
        <v>0</v>
      </c>
      <c r="IO45">
        <f t="shared" si="60"/>
        <v>5181</v>
      </c>
      <c r="IP45">
        <f t="shared" si="60"/>
        <v>382.5</v>
      </c>
      <c r="IQ45">
        <f t="shared" si="60"/>
        <v>1.5</v>
      </c>
      <c r="IR45">
        <f t="shared" si="60"/>
        <v>0</v>
      </c>
      <c r="IS45">
        <f t="shared" si="60"/>
        <v>0</v>
      </c>
      <c r="IT45">
        <f t="shared" si="60"/>
        <v>0</v>
      </c>
      <c r="IU45">
        <f t="shared" si="60"/>
        <v>0</v>
      </c>
      <c r="IV45">
        <f t="shared" si="60"/>
        <v>2.5</v>
      </c>
      <c r="IW45">
        <f t="shared" si="60"/>
        <v>0.5</v>
      </c>
      <c r="IX45">
        <f t="shared" si="60"/>
        <v>0</v>
      </c>
      <c r="IY45">
        <f t="shared" si="59"/>
        <v>17</v>
      </c>
      <c r="IZ45">
        <f t="shared" si="66"/>
        <v>0.25</v>
      </c>
      <c r="JA45">
        <f t="shared" si="64"/>
        <v>0</v>
      </c>
      <c r="JB45">
        <f t="shared" si="64"/>
        <v>0</v>
      </c>
      <c r="JC45">
        <f t="shared" si="64"/>
        <v>0</v>
      </c>
      <c r="JD45">
        <f t="shared" si="64"/>
        <v>0</v>
      </c>
      <c r="JE45">
        <f t="shared" si="64"/>
        <v>0</v>
      </c>
      <c r="JF45">
        <f t="shared" si="64"/>
        <v>0</v>
      </c>
      <c r="JG45">
        <f t="shared" si="64"/>
        <v>0</v>
      </c>
      <c r="JH45">
        <f t="shared" si="64"/>
        <v>0</v>
      </c>
      <c r="JI45">
        <f t="shared" si="64"/>
        <v>0</v>
      </c>
      <c r="JJ45">
        <f t="shared" si="64"/>
        <v>0</v>
      </c>
      <c r="JK45">
        <f t="shared" si="64"/>
        <v>0</v>
      </c>
      <c r="JL45">
        <f t="shared" si="64"/>
        <v>0</v>
      </c>
      <c r="JM45">
        <f t="shared" si="64"/>
        <v>0</v>
      </c>
      <c r="JN45">
        <f t="shared" si="64"/>
        <v>0</v>
      </c>
      <c r="JO45">
        <f t="shared" si="64"/>
        <v>0.25</v>
      </c>
    </row>
    <row r="46" spans="2:275" x14ac:dyDescent="0.25">
      <c r="B46" s="51">
        <v>87</v>
      </c>
      <c r="C46" t="s">
        <v>0</v>
      </c>
      <c r="D46" t="s">
        <v>439</v>
      </c>
      <c r="E46">
        <v>84.375</v>
      </c>
      <c r="F46">
        <v>160</v>
      </c>
      <c r="G46">
        <v>90.25</v>
      </c>
      <c r="H46">
        <v>2.8125</v>
      </c>
      <c r="I46" s="51">
        <v>87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1.5</v>
      </c>
      <c r="R46">
        <v>0</v>
      </c>
      <c r="S46">
        <v>0</v>
      </c>
      <c r="T46">
        <v>0</v>
      </c>
      <c r="U46">
        <v>0.5</v>
      </c>
      <c r="V46">
        <v>0</v>
      </c>
      <c r="W46">
        <v>15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0.25</v>
      </c>
      <c r="BB46">
        <v>1.75</v>
      </c>
      <c r="BC46">
        <v>1</v>
      </c>
      <c r="BD46">
        <v>0</v>
      </c>
      <c r="BE46">
        <v>0.5</v>
      </c>
      <c r="BF46">
        <v>11.25</v>
      </c>
      <c r="BG46">
        <v>7.5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0.25</v>
      </c>
      <c r="BV46">
        <v>0</v>
      </c>
      <c r="BW46">
        <v>0</v>
      </c>
      <c r="BX46">
        <v>6.25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2153.75</v>
      </c>
      <c r="CG46">
        <v>98.75</v>
      </c>
      <c r="CH46">
        <v>805</v>
      </c>
      <c r="CI46">
        <v>44.5</v>
      </c>
      <c r="CJ46">
        <v>0</v>
      </c>
      <c r="CK46">
        <v>5.75</v>
      </c>
      <c r="CL46">
        <v>0</v>
      </c>
      <c r="CM46">
        <v>0</v>
      </c>
      <c r="CN46">
        <v>0</v>
      </c>
      <c r="CO46">
        <v>0.5</v>
      </c>
      <c r="CP46">
        <v>0</v>
      </c>
      <c r="CQ46">
        <v>0</v>
      </c>
      <c r="CR46">
        <v>0</v>
      </c>
      <c r="CS46">
        <v>1.75</v>
      </c>
      <c r="CT46">
        <v>3.5</v>
      </c>
      <c r="CU46">
        <v>1.5</v>
      </c>
      <c r="CV46">
        <v>0.5</v>
      </c>
      <c r="CW46">
        <v>0</v>
      </c>
      <c r="CX46">
        <v>0.75</v>
      </c>
      <c r="CY46">
        <v>0</v>
      </c>
      <c r="CZ46">
        <v>2</v>
      </c>
      <c r="DA46">
        <v>0</v>
      </c>
      <c r="DB46">
        <v>0</v>
      </c>
      <c r="DC46">
        <v>5.5</v>
      </c>
      <c r="DD46">
        <v>0.75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0.25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0.25</v>
      </c>
      <c r="EP46" s="51">
        <v>87</v>
      </c>
      <c r="EQ46" t="s">
        <v>0</v>
      </c>
      <c r="ER46" t="s">
        <v>439</v>
      </c>
      <c r="ES46">
        <v>84.375</v>
      </c>
      <c r="ET46">
        <v>160</v>
      </c>
      <c r="EU46">
        <v>90.25</v>
      </c>
      <c r="EV46">
        <v>2.8125</v>
      </c>
      <c r="EW46" s="51">
        <v>87</v>
      </c>
      <c r="EX46">
        <f t="shared" si="4"/>
        <v>0</v>
      </c>
      <c r="EY46">
        <f t="shared" si="5"/>
        <v>0</v>
      </c>
      <c r="EZ46">
        <f t="shared" si="6"/>
        <v>0</v>
      </c>
      <c r="FA46">
        <f t="shared" si="6"/>
        <v>0</v>
      </c>
      <c r="FB46">
        <f t="shared" si="6"/>
        <v>0</v>
      </c>
      <c r="FC46">
        <f t="shared" si="6"/>
        <v>2</v>
      </c>
      <c r="FD46">
        <f t="shared" si="7"/>
        <v>0</v>
      </c>
      <c r="FE46">
        <f t="shared" si="7"/>
        <v>15</v>
      </c>
      <c r="FF46">
        <f t="shared" si="8"/>
        <v>0</v>
      </c>
      <c r="FG46">
        <f t="shared" si="9"/>
        <v>0</v>
      </c>
      <c r="FH46">
        <f t="shared" si="10"/>
        <v>0</v>
      </c>
      <c r="FI46">
        <f t="shared" si="11"/>
        <v>0</v>
      </c>
      <c r="FJ46">
        <f t="shared" si="11"/>
        <v>0</v>
      </c>
      <c r="FK46">
        <f t="shared" si="11"/>
        <v>0</v>
      </c>
      <c r="FL46">
        <f t="shared" si="11"/>
        <v>0</v>
      </c>
      <c r="FM46">
        <f t="shared" si="12"/>
        <v>0</v>
      </c>
      <c r="FN46">
        <f t="shared" si="12"/>
        <v>0</v>
      </c>
      <c r="FO46">
        <f t="shared" si="12"/>
        <v>0</v>
      </c>
      <c r="FP46">
        <f t="shared" si="13"/>
        <v>0</v>
      </c>
      <c r="FQ46">
        <f t="shared" si="13"/>
        <v>0</v>
      </c>
      <c r="FR46">
        <f t="shared" si="13"/>
        <v>0</v>
      </c>
      <c r="FS46">
        <f t="shared" si="14"/>
        <v>0</v>
      </c>
      <c r="FT46">
        <f t="shared" si="14"/>
        <v>0.75</v>
      </c>
      <c r="FU46">
        <f t="shared" si="14"/>
        <v>13</v>
      </c>
      <c r="FV46">
        <f t="shared" si="14"/>
        <v>8.5</v>
      </c>
      <c r="FW46">
        <f t="shared" si="15"/>
        <v>0</v>
      </c>
      <c r="FX46">
        <f t="shared" si="15"/>
        <v>0</v>
      </c>
      <c r="FY46">
        <f t="shared" si="15"/>
        <v>0</v>
      </c>
      <c r="FZ46">
        <f t="shared" si="16"/>
        <v>0</v>
      </c>
      <c r="GA46">
        <f t="shared" si="16"/>
        <v>0</v>
      </c>
      <c r="GB46">
        <f t="shared" si="17"/>
        <v>0</v>
      </c>
      <c r="GC46">
        <f t="shared" si="18"/>
        <v>0</v>
      </c>
      <c r="GD46">
        <f t="shared" si="18"/>
        <v>6.5</v>
      </c>
      <c r="GE46">
        <f t="shared" si="18"/>
        <v>0</v>
      </c>
      <c r="GF46">
        <f t="shared" si="19"/>
        <v>0</v>
      </c>
      <c r="GG46">
        <f t="shared" si="19"/>
        <v>0</v>
      </c>
      <c r="GH46">
        <f t="shared" si="19"/>
        <v>0</v>
      </c>
      <c r="GI46">
        <f t="shared" si="20"/>
        <v>2958.75</v>
      </c>
      <c r="GJ46">
        <f t="shared" si="20"/>
        <v>143.25</v>
      </c>
      <c r="GK46">
        <f t="shared" si="21"/>
        <v>5.75</v>
      </c>
      <c r="GL46">
        <f t="shared" si="22"/>
        <v>0</v>
      </c>
      <c r="GM46">
        <f t="shared" si="23"/>
        <v>0.5</v>
      </c>
      <c r="GN46">
        <f t="shared" si="23"/>
        <v>0</v>
      </c>
      <c r="GO46">
        <f t="shared" si="24"/>
        <v>0</v>
      </c>
      <c r="GP46">
        <f t="shared" si="25"/>
        <v>5.25</v>
      </c>
      <c r="GQ46">
        <f t="shared" si="26"/>
        <v>2</v>
      </c>
      <c r="GR46">
        <f t="shared" si="27"/>
        <v>0.75</v>
      </c>
      <c r="GS46">
        <f t="shared" si="28"/>
        <v>0</v>
      </c>
      <c r="GT46">
        <f t="shared" si="28"/>
        <v>7.5</v>
      </c>
      <c r="GU46">
        <f t="shared" si="28"/>
        <v>0.75</v>
      </c>
      <c r="GV46">
        <f t="shared" si="29"/>
        <v>0</v>
      </c>
      <c r="GW46">
        <f t="shared" si="29"/>
        <v>0</v>
      </c>
      <c r="GX46">
        <f t="shared" si="29"/>
        <v>0</v>
      </c>
      <c r="GY46">
        <f t="shared" si="30"/>
        <v>0</v>
      </c>
      <c r="GZ46">
        <f t="shared" si="31"/>
        <v>0</v>
      </c>
      <c r="HA46">
        <f t="shared" si="32"/>
        <v>0</v>
      </c>
      <c r="HB46">
        <f t="shared" si="33"/>
        <v>0</v>
      </c>
      <c r="HC46">
        <f t="shared" si="34"/>
        <v>0</v>
      </c>
      <c r="HD46">
        <f t="shared" si="35"/>
        <v>0.25</v>
      </c>
      <c r="HE46">
        <f t="shared" si="36"/>
        <v>0</v>
      </c>
      <c r="HF46">
        <f t="shared" si="37"/>
        <v>0</v>
      </c>
      <c r="HG46">
        <f t="shared" si="38"/>
        <v>0</v>
      </c>
      <c r="HH46">
        <f t="shared" si="39"/>
        <v>0</v>
      </c>
      <c r="HI46">
        <f t="shared" si="40"/>
        <v>0</v>
      </c>
      <c r="HJ46">
        <f t="shared" si="41"/>
        <v>0</v>
      </c>
      <c r="HK46">
        <f t="shared" si="42"/>
        <v>0</v>
      </c>
      <c r="HL46">
        <f t="shared" si="43"/>
        <v>0</v>
      </c>
      <c r="HM46">
        <f t="shared" si="44"/>
        <v>0.25</v>
      </c>
      <c r="HO46" s="51">
        <v>87</v>
      </c>
      <c r="HP46" t="s">
        <v>0</v>
      </c>
      <c r="HQ46" t="s">
        <v>439</v>
      </c>
      <c r="HR46">
        <v>84.375</v>
      </c>
      <c r="HS46">
        <v>160</v>
      </c>
      <c r="HT46">
        <v>90.25</v>
      </c>
      <c r="HU46">
        <v>2.8125</v>
      </c>
      <c r="HV46" s="51">
        <v>87</v>
      </c>
      <c r="HW46">
        <f t="shared" si="45"/>
        <v>0</v>
      </c>
      <c r="HX46">
        <f t="shared" si="45"/>
        <v>0</v>
      </c>
      <c r="HY46">
        <f t="shared" si="46"/>
        <v>2</v>
      </c>
      <c r="HZ46">
        <f t="shared" si="47"/>
        <v>15</v>
      </c>
      <c r="IA46">
        <f t="shared" si="48"/>
        <v>0</v>
      </c>
      <c r="IB46">
        <f t="shared" si="48"/>
        <v>0</v>
      </c>
      <c r="IC46">
        <f t="shared" si="48"/>
        <v>0</v>
      </c>
      <c r="ID46">
        <f t="shared" si="49"/>
        <v>0</v>
      </c>
      <c r="IE46">
        <f t="shared" si="50"/>
        <v>0</v>
      </c>
      <c r="IF46">
        <f t="shared" si="51"/>
        <v>0</v>
      </c>
      <c r="IG46">
        <f t="shared" si="52"/>
        <v>13.75</v>
      </c>
      <c r="IH46">
        <f t="shared" si="53"/>
        <v>8.5</v>
      </c>
      <c r="II46">
        <f t="shared" si="54"/>
        <v>0</v>
      </c>
      <c r="IJ46">
        <f t="shared" si="55"/>
        <v>0</v>
      </c>
      <c r="IK46">
        <f t="shared" si="56"/>
        <v>0</v>
      </c>
      <c r="IL46">
        <f t="shared" si="65"/>
        <v>0</v>
      </c>
      <c r="IM46">
        <f t="shared" si="57"/>
        <v>6.5</v>
      </c>
      <c r="IN46">
        <f t="shared" si="58"/>
        <v>0</v>
      </c>
      <c r="IO46">
        <f t="shared" si="60"/>
        <v>2958.75</v>
      </c>
      <c r="IP46">
        <f t="shared" si="60"/>
        <v>143.25</v>
      </c>
      <c r="IQ46">
        <f t="shared" si="60"/>
        <v>5.75</v>
      </c>
      <c r="IR46">
        <f t="shared" si="60"/>
        <v>0</v>
      </c>
      <c r="IS46">
        <f t="shared" si="60"/>
        <v>0.5</v>
      </c>
      <c r="IT46">
        <f t="shared" si="60"/>
        <v>0</v>
      </c>
      <c r="IU46">
        <f t="shared" si="60"/>
        <v>0</v>
      </c>
      <c r="IV46">
        <f t="shared" si="60"/>
        <v>5.25</v>
      </c>
      <c r="IW46">
        <f t="shared" si="60"/>
        <v>2</v>
      </c>
      <c r="IX46">
        <f t="shared" si="60"/>
        <v>0.75</v>
      </c>
      <c r="IY46">
        <f t="shared" si="59"/>
        <v>8.25</v>
      </c>
      <c r="IZ46">
        <f t="shared" si="66"/>
        <v>0</v>
      </c>
      <c r="JA46">
        <f t="shared" si="64"/>
        <v>0</v>
      </c>
      <c r="JB46">
        <f t="shared" si="64"/>
        <v>0</v>
      </c>
      <c r="JC46">
        <f t="shared" si="64"/>
        <v>0</v>
      </c>
      <c r="JD46">
        <f t="shared" si="64"/>
        <v>0</v>
      </c>
      <c r="JE46">
        <f t="shared" si="64"/>
        <v>0</v>
      </c>
      <c r="JF46">
        <f t="shared" si="64"/>
        <v>0.25</v>
      </c>
      <c r="JG46">
        <f t="shared" si="64"/>
        <v>0</v>
      </c>
      <c r="JH46">
        <f t="shared" si="64"/>
        <v>0</v>
      </c>
      <c r="JI46">
        <f t="shared" si="64"/>
        <v>0</v>
      </c>
      <c r="JJ46">
        <f t="shared" si="64"/>
        <v>0</v>
      </c>
      <c r="JK46">
        <f t="shared" si="64"/>
        <v>0</v>
      </c>
      <c r="JL46">
        <f t="shared" si="64"/>
        <v>0</v>
      </c>
      <c r="JM46">
        <f t="shared" si="64"/>
        <v>0</v>
      </c>
      <c r="JN46">
        <f t="shared" si="64"/>
        <v>0</v>
      </c>
      <c r="JO46">
        <f t="shared" si="64"/>
        <v>0.25</v>
      </c>
    </row>
    <row r="47" spans="2:275" x14ac:dyDescent="0.25">
      <c r="B47" s="51">
        <v>88</v>
      </c>
      <c r="C47" t="s">
        <v>440</v>
      </c>
      <c r="D47" t="s">
        <v>439</v>
      </c>
      <c r="E47">
        <v>86.375</v>
      </c>
      <c r="F47">
        <v>139.375</v>
      </c>
      <c r="G47">
        <v>137.25</v>
      </c>
      <c r="H47">
        <v>2.75</v>
      </c>
      <c r="I47" s="51">
        <v>88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</v>
      </c>
      <c r="R47">
        <v>0</v>
      </c>
      <c r="S47">
        <v>0</v>
      </c>
      <c r="T47">
        <v>0</v>
      </c>
      <c r="U47">
        <v>0</v>
      </c>
      <c r="V47">
        <v>0</v>
      </c>
      <c r="W47">
        <v>23.5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0.75</v>
      </c>
      <c r="BC47">
        <v>0.25</v>
      </c>
      <c r="BD47">
        <v>0</v>
      </c>
      <c r="BE47">
        <v>0</v>
      </c>
      <c r="BF47">
        <v>3.25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0.25</v>
      </c>
      <c r="BV47">
        <v>0</v>
      </c>
      <c r="BW47">
        <v>3.75</v>
      </c>
      <c r="BX47">
        <v>1.25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10495.75</v>
      </c>
      <c r="CG47">
        <v>242.5</v>
      </c>
      <c r="CH47">
        <v>600</v>
      </c>
      <c r="CI47">
        <v>52.5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0.5</v>
      </c>
      <c r="CP47">
        <v>0</v>
      </c>
      <c r="CQ47">
        <v>0</v>
      </c>
      <c r="CR47">
        <v>0</v>
      </c>
      <c r="CS47">
        <v>1.25</v>
      </c>
      <c r="CT47">
        <v>1.25</v>
      </c>
      <c r="CU47">
        <v>0.5</v>
      </c>
      <c r="CV47">
        <v>0</v>
      </c>
      <c r="CW47">
        <v>0</v>
      </c>
      <c r="CX47">
        <v>0</v>
      </c>
      <c r="CY47">
        <v>0</v>
      </c>
      <c r="CZ47">
        <v>3.25</v>
      </c>
      <c r="DA47">
        <v>0</v>
      </c>
      <c r="DB47">
        <v>0</v>
      </c>
      <c r="DC47">
        <v>1.25</v>
      </c>
      <c r="DD47">
        <v>0.25</v>
      </c>
      <c r="DE47">
        <v>0</v>
      </c>
      <c r="DF47">
        <v>0</v>
      </c>
      <c r="DG47">
        <v>0.25</v>
      </c>
      <c r="DH47">
        <v>0.75</v>
      </c>
      <c r="DI47">
        <v>0.25</v>
      </c>
      <c r="DJ47">
        <v>1.25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0.25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P47" s="51">
        <v>88</v>
      </c>
      <c r="EQ47" t="s">
        <v>440</v>
      </c>
      <c r="ER47" t="s">
        <v>439</v>
      </c>
      <c r="ES47">
        <v>86.375</v>
      </c>
      <c r="ET47">
        <v>139.375</v>
      </c>
      <c r="EU47">
        <v>137.25</v>
      </c>
      <c r="EV47">
        <v>2.75</v>
      </c>
      <c r="EW47" s="51">
        <v>88</v>
      </c>
      <c r="EX47">
        <f t="shared" si="4"/>
        <v>0</v>
      </c>
      <c r="EY47">
        <f t="shared" si="5"/>
        <v>0</v>
      </c>
      <c r="EZ47">
        <f t="shared" si="6"/>
        <v>0</v>
      </c>
      <c r="FA47">
        <f t="shared" si="6"/>
        <v>0</v>
      </c>
      <c r="FB47">
        <f t="shared" si="6"/>
        <v>0</v>
      </c>
      <c r="FC47">
        <f t="shared" si="6"/>
        <v>1.5</v>
      </c>
      <c r="FD47">
        <f t="shared" si="7"/>
        <v>0</v>
      </c>
      <c r="FE47">
        <f t="shared" si="7"/>
        <v>23.5</v>
      </c>
      <c r="FF47">
        <f t="shared" si="8"/>
        <v>0</v>
      </c>
      <c r="FG47">
        <f t="shared" si="9"/>
        <v>0</v>
      </c>
      <c r="FH47">
        <f t="shared" si="10"/>
        <v>0</v>
      </c>
      <c r="FI47">
        <f t="shared" si="11"/>
        <v>0</v>
      </c>
      <c r="FJ47">
        <f t="shared" si="11"/>
        <v>0</v>
      </c>
      <c r="FK47">
        <f t="shared" si="11"/>
        <v>0</v>
      </c>
      <c r="FL47">
        <f t="shared" si="11"/>
        <v>0</v>
      </c>
      <c r="FM47">
        <f t="shared" si="12"/>
        <v>0</v>
      </c>
      <c r="FN47">
        <f t="shared" si="12"/>
        <v>0</v>
      </c>
      <c r="FO47">
        <f t="shared" si="12"/>
        <v>0</v>
      </c>
      <c r="FP47">
        <f t="shared" si="13"/>
        <v>0</v>
      </c>
      <c r="FQ47">
        <f t="shared" si="13"/>
        <v>0</v>
      </c>
      <c r="FR47">
        <f t="shared" si="13"/>
        <v>0</v>
      </c>
      <c r="FS47">
        <f t="shared" si="14"/>
        <v>0</v>
      </c>
      <c r="FT47">
        <f t="shared" si="14"/>
        <v>0</v>
      </c>
      <c r="FU47">
        <f t="shared" si="14"/>
        <v>4</v>
      </c>
      <c r="FV47">
        <f t="shared" si="14"/>
        <v>2.25</v>
      </c>
      <c r="FW47">
        <f t="shared" si="15"/>
        <v>0</v>
      </c>
      <c r="FX47">
        <f t="shared" si="15"/>
        <v>0</v>
      </c>
      <c r="FY47">
        <f t="shared" si="15"/>
        <v>0</v>
      </c>
      <c r="FZ47">
        <f t="shared" si="16"/>
        <v>0</v>
      </c>
      <c r="GA47">
        <f t="shared" si="16"/>
        <v>0</v>
      </c>
      <c r="GB47">
        <f t="shared" si="17"/>
        <v>0</v>
      </c>
      <c r="GC47">
        <f t="shared" si="18"/>
        <v>3.75</v>
      </c>
      <c r="GD47">
        <f t="shared" si="18"/>
        <v>1.5</v>
      </c>
      <c r="GE47">
        <f t="shared" si="18"/>
        <v>0</v>
      </c>
      <c r="GF47">
        <f t="shared" si="19"/>
        <v>0</v>
      </c>
      <c r="GG47">
        <f t="shared" si="19"/>
        <v>0</v>
      </c>
      <c r="GH47">
        <f t="shared" si="19"/>
        <v>0</v>
      </c>
      <c r="GI47">
        <f t="shared" si="20"/>
        <v>11095.75</v>
      </c>
      <c r="GJ47">
        <f t="shared" si="20"/>
        <v>295</v>
      </c>
      <c r="GK47">
        <f t="shared" si="21"/>
        <v>0</v>
      </c>
      <c r="GL47">
        <f t="shared" si="22"/>
        <v>0</v>
      </c>
      <c r="GM47">
        <f t="shared" si="23"/>
        <v>0.5</v>
      </c>
      <c r="GN47">
        <f t="shared" si="23"/>
        <v>0</v>
      </c>
      <c r="GO47">
        <f t="shared" si="24"/>
        <v>0</v>
      </c>
      <c r="GP47">
        <f t="shared" si="25"/>
        <v>2.5</v>
      </c>
      <c r="GQ47">
        <f t="shared" si="26"/>
        <v>0.5</v>
      </c>
      <c r="GR47">
        <f t="shared" si="27"/>
        <v>0</v>
      </c>
      <c r="GS47">
        <f t="shared" si="28"/>
        <v>0</v>
      </c>
      <c r="GT47">
        <f t="shared" si="28"/>
        <v>4.5</v>
      </c>
      <c r="GU47">
        <f t="shared" si="28"/>
        <v>0.25</v>
      </c>
      <c r="GV47">
        <f t="shared" si="29"/>
        <v>0.75</v>
      </c>
      <c r="GW47">
        <f t="shared" si="29"/>
        <v>0.25</v>
      </c>
      <c r="GX47">
        <f t="shared" si="29"/>
        <v>1.5</v>
      </c>
      <c r="GY47">
        <f t="shared" si="30"/>
        <v>0</v>
      </c>
      <c r="GZ47">
        <f t="shared" si="31"/>
        <v>0</v>
      </c>
      <c r="HA47">
        <f t="shared" si="32"/>
        <v>0</v>
      </c>
      <c r="HB47">
        <f t="shared" si="33"/>
        <v>0</v>
      </c>
      <c r="HC47">
        <f t="shared" si="34"/>
        <v>0.25</v>
      </c>
      <c r="HD47">
        <f t="shared" si="35"/>
        <v>0</v>
      </c>
      <c r="HE47">
        <f t="shared" si="36"/>
        <v>0</v>
      </c>
      <c r="HF47">
        <f t="shared" si="37"/>
        <v>0</v>
      </c>
      <c r="HG47">
        <f t="shared" si="38"/>
        <v>0</v>
      </c>
      <c r="HH47">
        <f t="shared" si="39"/>
        <v>0</v>
      </c>
      <c r="HI47">
        <f t="shared" si="40"/>
        <v>0</v>
      </c>
      <c r="HJ47">
        <f t="shared" si="41"/>
        <v>0</v>
      </c>
      <c r="HK47">
        <f t="shared" si="42"/>
        <v>0</v>
      </c>
      <c r="HL47">
        <f t="shared" si="43"/>
        <v>0</v>
      </c>
      <c r="HM47">
        <f t="shared" si="44"/>
        <v>0</v>
      </c>
      <c r="HO47" s="51">
        <v>88</v>
      </c>
      <c r="HP47" t="s">
        <v>440</v>
      </c>
      <c r="HQ47" t="s">
        <v>439</v>
      </c>
      <c r="HR47">
        <v>86.375</v>
      </c>
      <c r="HS47">
        <v>139.375</v>
      </c>
      <c r="HT47">
        <v>137.25</v>
      </c>
      <c r="HU47">
        <v>2.75</v>
      </c>
      <c r="HV47" s="51">
        <v>88</v>
      </c>
      <c r="HW47">
        <f t="shared" si="45"/>
        <v>0</v>
      </c>
      <c r="HX47">
        <f t="shared" si="45"/>
        <v>0</v>
      </c>
      <c r="HY47">
        <f t="shared" si="46"/>
        <v>1.5</v>
      </c>
      <c r="HZ47">
        <f t="shared" si="47"/>
        <v>23.5</v>
      </c>
      <c r="IA47">
        <f t="shared" si="48"/>
        <v>0</v>
      </c>
      <c r="IB47">
        <f t="shared" si="48"/>
        <v>0</v>
      </c>
      <c r="IC47">
        <f t="shared" si="48"/>
        <v>0</v>
      </c>
      <c r="ID47">
        <f t="shared" si="49"/>
        <v>0</v>
      </c>
      <c r="IE47">
        <f t="shared" si="50"/>
        <v>0</v>
      </c>
      <c r="IF47">
        <f t="shared" si="51"/>
        <v>0</v>
      </c>
      <c r="IG47">
        <f t="shared" si="52"/>
        <v>4</v>
      </c>
      <c r="IH47">
        <f t="shared" si="53"/>
        <v>2.25</v>
      </c>
      <c r="II47">
        <f t="shared" si="54"/>
        <v>0</v>
      </c>
      <c r="IJ47">
        <f t="shared" si="55"/>
        <v>0</v>
      </c>
      <c r="IK47">
        <f t="shared" si="56"/>
        <v>0</v>
      </c>
      <c r="IL47">
        <f t="shared" si="65"/>
        <v>0</v>
      </c>
      <c r="IM47">
        <f t="shared" si="57"/>
        <v>5.25</v>
      </c>
      <c r="IN47">
        <f t="shared" si="58"/>
        <v>0</v>
      </c>
      <c r="IO47">
        <f t="shared" si="60"/>
        <v>11095.75</v>
      </c>
      <c r="IP47">
        <f t="shared" si="60"/>
        <v>295</v>
      </c>
      <c r="IQ47">
        <f t="shared" si="60"/>
        <v>0</v>
      </c>
      <c r="IR47">
        <f t="shared" si="60"/>
        <v>0</v>
      </c>
      <c r="IS47">
        <f t="shared" si="60"/>
        <v>0.5</v>
      </c>
      <c r="IT47">
        <f t="shared" si="60"/>
        <v>0</v>
      </c>
      <c r="IU47">
        <f t="shared" si="60"/>
        <v>0</v>
      </c>
      <c r="IV47">
        <f t="shared" si="60"/>
        <v>2.5</v>
      </c>
      <c r="IW47">
        <f t="shared" si="60"/>
        <v>0.5</v>
      </c>
      <c r="IX47">
        <f t="shared" si="60"/>
        <v>0</v>
      </c>
      <c r="IY47">
        <f t="shared" si="59"/>
        <v>4.75</v>
      </c>
      <c r="IZ47">
        <f t="shared" si="66"/>
        <v>2.5</v>
      </c>
      <c r="JA47">
        <f t="shared" si="64"/>
        <v>0</v>
      </c>
      <c r="JB47">
        <f t="shared" si="64"/>
        <v>0</v>
      </c>
      <c r="JC47">
        <f t="shared" si="64"/>
        <v>0</v>
      </c>
      <c r="JD47">
        <f t="shared" si="64"/>
        <v>0</v>
      </c>
      <c r="JE47">
        <f t="shared" si="64"/>
        <v>0.25</v>
      </c>
      <c r="JF47">
        <f t="shared" si="64"/>
        <v>0</v>
      </c>
      <c r="JG47">
        <f t="shared" si="64"/>
        <v>0</v>
      </c>
      <c r="JH47">
        <f t="shared" si="64"/>
        <v>0</v>
      </c>
      <c r="JI47">
        <f t="shared" si="64"/>
        <v>0</v>
      </c>
      <c r="JJ47">
        <f t="shared" si="64"/>
        <v>0</v>
      </c>
      <c r="JK47">
        <f t="shared" si="64"/>
        <v>0</v>
      </c>
      <c r="JL47">
        <f t="shared" si="64"/>
        <v>0</v>
      </c>
      <c r="JM47">
        <f t="shared" si="64"/>
        <v>0</v>
      </c>
      <c r="JN47">
        <f t="shared" si="64"/>
        <v>0</v>
      </c>
      <c r="JO47">
        <f t="shared" si="64"/>
        <v>0</v>
      </c>
    </row>
    <row r="48" spans="2:275" x14ac:dyDescent="0.25">
      <c r="B48" s="51">
        <v>90</v>
      </c>
      <c r="C48" t="s">
        <v>16</v>
      </c>
      <c r="D48" t="s">
        <v>439</v>
      </c>
      <c r="E48">
        <v>88.375</v>
      </c>
      <c r="F48">
        <v>81.25</v>
      </c>
      <c r="G48">
        <v>82.625</v>
      </c>
      <c r="H48">
        <v>4</v>
      </c>
      <c r="I48" s="51">
        <v>90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0.5</v>
      </c>
      <c r="T48">
        <v>0</v>
      </c>
      <c r="U48">
        <v>0.5</v>
      </c>
      <c r="V48">
        <v>0</v>
      </c>
      <c r="W48">
        <v>6.5</v>
      </c>
      <c r="X48">
        <v>0</v>
      </c>
      <c r="Y48">
        <v>0.25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0.25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0.5</v>
      </c>
      <c r="BC48">
        <v>0.5</v>
      </c>
      <c r="BD48">
        <v>0</v>
      </c>
      <c r="BE48">
        <v>1</v>
      </c>
      <c r="BF48">
        <v>4.75</v>
      </c>
      <c r="BG48">
        <v>3.75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4</v>
      </c>
      <c r="BX48">
        <v>5.5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0.25</v>
      </c>
      <c r="CE48">
        <v>0</v>
      </c>
      <c r="CF48">
        <v>6592.5</v>
      </c>
      <c r="CG48">
        <v>312.5</v>
      </c>
      <c r="CH48">
        <v>3981.75</v>
      </c>
      <c r="CI48">
        <v>265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0.25</v>
      </c>
      <c r="CR48">
        <v>0</v>
      </c>
      <c r="CS48">
        <v>2.25</v>
      </c>
      <c r="CT48">
        <v>2.5</v>
      </c>
      <c r="CU48">
        <v>0.25</v>
      </c>
      <c r="CV48">
        <v>0.5</v>
      </c>
      <c r="CW48">
        <v>0</v>
      </c>
      <c r="CX48">
        <v>0</v>
      </c>
      <c r="CY48">
        <v>0</v>
      </c>
      <c r="CZ48">
        <v>7.75</v>
      </c>
      <c r="DA48">
        <v>0</v>
      </c>
      <c r="DB48">
        <v>0</v>
      </c>
      <c r="DC48">
        <v>4.5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0.25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P48" s="51">
        <v>90</v>
      </c>
      <c r="EQ48" t="s">
        <v>16</v>
      </c>
      <c r="ER48" t="s">
        <v>439</v>
      </c>
      <c r="ES48">
        <v>88.375</v>
      </c>
      <c r="ET48">
        <v>81.25</v>
      </c>
      <c r="EU48">
        <v>82.625</v>
      </c>
      <c r="EV48">
        <v>4</v>
      </c>
      <c r="EW48" s="51">
        <v>90</v>
      </c>
      <c r="EX48">
        <f t="shared" si="4"/>
        <v>0</v>
      </c>
      <c r="EY48">
        <f t="shared" si="5"/>
        <v>0</v>
      </c>
      <c r="EZ48">
        <f t="shared" si="6"/>
        <v>0</v>
      </c>
      <c r="FA48">
        <f t="shared" si="6"/>
        <v>1.5</v>
      </c>
      <c r="FB48">
        <f t="shared" si="6"/>
        <v>0</v>
      </c>
      <c r="FC48">
        <f t="shared" si="6"/>
        <v>1.5</v>
      </c>
      <c r="FD48">
        <f t="shared" si="7"/>
        <v>0</v>
      </c>
      <c r="FE48">
        <f t="shared" si="7"/>
        <v>6.75</v>
      </c>
      <c r="FF48">
        <f t="shared" si="8"/>
        <v>1</v>
      </c>
      <c r="FG48">
        <f t="shared" si="9"/>
        <v>0</v>
      </c>
      <c r="FH48">
        <f t="shared" si="10"/>
        <v>0</v>
      </c>
      <c r="FI48">
        <f t="shared" si="11"/>
        <v>0</v>
      </c>
      <c r="FJ48">
        <f t="shared" si="11"/>
        <v>0</v>
      </c>
      <c r="FK48">
        <f t="shared" si="11"/>
        <v>0</v>
      </c>
      <c r="FL48">
        <f t="shared" si="11"/>
        <v>0.25</v>
      </c>
      <c r="FM48">
        <f t="shared" si="12"/>
        <v>0</v>
      </c>
      <c r="FN48">
        <f t="shared" si="12"/>
        <v>0</v>
      </c>
      <c r="FO48">
        <f t="shared" si="12"/>
        <v>0</v>
      </c>
      <c r="FP48">
        <f t="shared" si="13"/>
        <v>0</v>
      </c>
      <c r="FQ48">
        <f t="shared" si="13"/>
        <v>0</v>
      </c>
      <c r="FR48">
        <f t="shared" si="13"/>
        <v>0</v>
      </c>
      <c r="FS48">
        <f t="shared" si="14"/>
        <v>0</v>
      </c>
      <c r="FT48">
        <f t="shared" si="14"/>
        <v>1</v>
      </c>
      <c r="FU48">
        <f t="shared" si="14"/>
        <v>5.25</v>
      </c>
      <c r="FV48">
        <f t="shared" si="14"/>
        <v>4.25</v>
      </c>
      <c r="FW48">
        <f t="shared" si="15"/>
        <v>0</v>
      </c>
      <c r="FX48">
        <f t="shared" si="15"/>
        <v>0</v>
      </c>
      <c r="FY48">
        <f t="shared" si="15"/>
        <v>0</v>
      </c>
      <c r="FZ48">
        <f t="shared" si="16"/>
        <v>0</v>
      </c>
      <c r="GA48">
        <f t="shared" si="16"/>
        <v>0</v>
      </c>
      <c r="GB48">
        <f t="shared" si="17"/>
        <v>0</v>
      </c>
      <c r="GC48">
        <f t="shared" si="18"/>
        <v>4</v>
      </c>
      <c r="GD48">
        <f t="shared" si="18"/>
        <v>5.5</v>
      </c>
      <c r="GE48">
        <f t="shared" si="18"/>
        <v>0</v>
      </c>
      <c r="GF48">
        <f t="shared" si="19"/>
        <v>0</v>
      </c>
      <c r="GG48">
        <f t="shared" si="19"/>
        <v>0.25</v>
      </c>
      <c r="GH48">
        <f t="shared" si="19"/>
        <v>0</v>
      </c>
      <c r="GI48">
        <f t="shared" si="20"/>
        <v>10574.25</v>
      </c>
      <c r="GJ48">
        <f t="shared" si="20"/>
        <v>577.5</v>
      </c>
      <c r="GK48">
        <f t="shared" si="21"/>
        <v>0</v>
      </c>
      <c r="GL48">
        <f t="shared" si="22"/>
        <v>0</v>
      </c>
      <c r="GM48">
        <f t="shared" si="23"/>
        <v>0</v>
      </c>
      <c r="GN48">
        <f t="shared" si="23"/>
        <v>0</v>
      </c>
      <c r="GO48">
        <f t="shared" si="24"/>
        <v>0.25</v>
      </c>
      <c r="GP48">
        <f t="shared" si="25"/>
        <v>4.75</v>
      </c>
      <c r="GQ48">
        <f t="shared" si="26"/>
        <v>0.75</v>
      </c>
      <c r="GR48">
        <f t="shared" si="27"/>
        <v>0</v>
      </c>
      <c r="GS48">
        <f t="shared" si="28"/>
        <v>0</v>
      </c>
      <c r="GT48">
        <f t="shared" si="28"/>
        <v>12.25</v>
      </c>
      <c r="GU48">
        <f t="shared" si="28"/>
        <v>0</v>
      </c>
      <c r="GV48">
        <f t="shared" si="29"/>
        <v>0</v>
      </c>
      <c r="GW48">
        <f t="shared" si="29"/>
        <v>0</v>
      </c>
      <c r="GX48">
        <f t="shared" si="29"/>
        <v>0</v>
      </c>
      <c r="GY48">
        <f t="shared" si="30"/>
        <v>0</v>
      </c>
      <c r="GZ48">
        <f t="shared" si="31"/>
        <v>0</v>
      </c>
      <c r="HA48">
        <f t="shared" si="32"/>
        <v>0</v>
      </c>
      <c r="HB48">
        <f t="shared" si="33"/>
        <v>0</v>
      </c>
      <c r="HC48">
        <f t="shared" si="34"/>
        <v>0.25</v>
      </c>
      <c r="HD48">
        <f t="shared" si="35"/>
        <v>0</v>
      </c>
      <c r="HE48">
        <f t="shared" si="36"/>
        <v>0</v>
      </c>
      <c r="HF48">
        <f t="shared" si="37"/>
        <v>0</v>
      </c>
      <c r="HG48">
        <f t="shared" si="38"/>
        <v>0</v>
      </c>
      <c r="HH48">
        <f t="shared" si="39"/>
        <v>0</v>
      </c>
      <c r="HI48">
        <f t="shared" si="40"/>
        <v>0</v>
      </c>
      <c r="HJ48">
        <f t="shared" si="41"/>
        <v>0</v>
      </c>
      <c r="HK48">
        <f t="shared" si="42"/>
        <v>0</v>
      </c>
      <c r="HL48">
        <f t="shared" si="43"/>
        <v>0</v>
      </c>
      <c r="HM48">
        <f t="shared" si="44"/>
        <v>1</v>
      </c>
      <c r="HO48" s="51">
        <v>90</v>
      </c>
      <c r="HP48" t="s">
        <v>16</v>
      </c>
      <c r="HQ48" t="s">
        <v>439</v>
      </c>
      <c r="HR48">
        <v>88.375</v>
      </c>
      <c r="HS48">
        <v>81.25</v>
      </c>
      <c r="HT48">
        <v>82.625</v>
      </c>
      <c r="HU48">
        <v>4</v>
      </c>
      <c r="HV48" s="51">
        <v>90</v>
      </c>
      <c r="HW48">
        <f t="shared" si="45"/>
        <v>0</v>
      </c>
      <c r="HX48">
        <f t="shared" si="45"/>
        <v>0</v>
      </c>
      <c r="HY48">
        <f t="shared" si="46"/>
        <v>3</v>
      </c>
      <c r="HZ48">
        <f t="shared" si="47"/>
        <v>6.75</v>
      </c>
      <c r="IA48">
        <f t="shared" si="48"/>
        <v>1</v>
      </c>
      <c r="IB48">
        <f t="shared" si="48"/>
        <v>0</v>
      </c>
      <c r="IC48">
        <f t="shared" si="48"/>
        <v>0</v>
      </c>
      <c r="ID48">
        <f t="shared" si="49"/>
        <v>0.25</v>
      </c>
      <c r="IE48">
        <f t="shared" si="50"/>
        <v>0</v>
      </c>
      <c r="IF48">
        <f t="shared" si="51"/>
        <v>0</v>
      </c>
      <c r="IG48">
        <f t="shared" si="52"/>
        <v>6.25</v>
      </c>
      <c r="IH48">
        <f t="shared" si="53"/>
        <v>4.25</v>
      </c>
      <c r="II48">
        <f t="shared" si="54"/>
        <v>0</v>
      </c>
      <c r="IJ48">
        <f t="shared" si="55"/>
        <v>0</v>
      </c>
      <c r="IK48">
        <f t="shared" si="56"/>
        <v>0</v>
      </c>
      <c r="IL48">
        <f t="shared" si="65"/>
        <v>0</v>
      </c>
      <c r="IM48">
        <f t="shared" si="57"/>
        <v>9.5</v>
      </c>
      <c r="IN48">
        <f t="shared" si="58"/>
        <v>0.25</v>
      </c>
      <c r="IO48">
        <f t="shared" si="60"/>
        <v>10574.25</v>
      </c>
      <c r="IP48">
        <f t="shared" si="60"/>
        <v>577.5</v>
      </c>
      <c r="IQ48">
        <f t="shared" si="60"/>
        <v>0</v>
      </c>
      <c r="IR48">
        <f t="shared" si="60"/>
        <v>0</v>
      </c>
      <c r="IS48">
        <f t="shared" si="60"/>
        <v>0</v>
      </c>
      <c r="IT48">
        <f t="shared" si="60"/>
        <v>0</v>
      </c>
      <c r="IU48">
        <f t="shared" si="60"/>
        <v>0.25</v>
      </c>
      <c r="IV48">
        <f t="shared" si="60"/>
        <v>4.75</v>
      </c>
      <c r="IW48">
        <f t="shared" si="60"/>
        <v>0.75</v>
      </c>
      <c r="IX48">
        <f t="shared" si="60"/>
        <v>0</v>
      </c>
      <c r="IY48">
        <f t="shared" si="59"/>
        <v>12.25</v>
      </c>
      <c r="IZ48">
        <f t="shared" si="66"/>
        <v>0</v>
      </c>
      <c r="JA48">
        <f t="shared" si="64"/>
        <v>0</v>
      </c>
      <c r="JB48">
        <f t="shared" si="64"/>
        <v>0</v>
      </c>
      <c r="JC48">
        <f t="shared" si="64"/>
        <v>0</v>
      </c>
      <c r="JD48">
        <f t="shared" si="64"/>
        <v>0</v>
      </c>
      <c r="JE48">
        <f t="shared" si="64"/>
        <v>0.25</v>
      </c>
      <c r="JF48">
        <f t="shared" si="64"/>
        <v>0</v>
      </c>
      <c r="JG48">
        <f t="shared" si="64"/>
        <v>0</v>
      </c>
      <c r="JH48">
        <f t="shared" si="64"/>
        <v>0</v>
      </c>
      <c r="JI48">
        <f t="shared" si="64"/>
        <v>0</v>
      </c>
      <c r="JJ48">
        <f t="shared" si="64"/>
        <v>0</v>
      </c>
      <c r="JK48">
        <f t="shared" si="64"/>
        <v>0</v>
      </c>
      <c r="JL48">
        <f t="shared" si="64"/>
        <v>0</v>
      </c>
      <c r="JM48">
        <f t="shared" si="64"/>
        <v>0</v>
      </c>
      <c r="JN48">
        <f t="shared" si="64"/>
        <v>0</v>
      </c>
      <c r="JO48">
        <f t="shared" si="64"/>
        <v>1</v>
      </c>
    </row>
    <row r="49" spans="2:275" x14ac:dyDescent="0.25">
      <c r="B49" s="51">
        <v>91</v>
      </c>
      <c r="C49" t="s">
        <v>440</v>
      </c>
      <c r="D49" t="s">
        <v>439</v>
      </c>
      <c r="E49">
        <v>107.875</v>
      </c>
      <c r="F49">
        <v>106.875</v>
      </c>
      <c r="G49">
        <v>106.25</v>
      </c>
      <c r="H49">
        <v>2.375</v>
      </c>
      <c r="I49" s="51">
        <v>91</v>
      </c>
      <c r="J49">
        <v>0</v>
      </c>
      <c r="K49">
        <v>0</v>
      </c>
      <c r="L49">
        <v>0</v>
      </c>
      <c r="M49">
        <v>0</v>
      </c>
      <c r="N49">
        <v>0</v>
      </c>
      <c r="O49">
        <v>1.25</v>
      </c>
      <c r="P49">
        <v>0.5</v>
      </c>
      <c r="Q49">
        <v>0.5</v>
      </c>
      <c r="R49">
        <v>0</v>
      </c>
      <c r="S49">
        <v>0.5</v>
      </c>
      <c r="T49">
        <v>0.75</v>
      </c>
      <c r="U49">
        <v>0.5</v>
      </c>
      <c r="V49">
        <v>0</v>
      </c>
      <c r="W49">
        <v>5</v>
      </c>
      <c r="X49">
        <v>0</v>
      </c>
      <c r="Y49">
        <v>0</v>
      </c>
      <c r="Z49">
        <v>0.5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1.25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1.25</v>
      </c>
      <c r="BB49">
        <v>0</v>
      </c>
      <c r="BC49">
        <v>0</v>
      </c>
      <c r="BD49">
        <v>0</v>
      </c>
      <c r="BE49">
        <v>2.25</v>
      </c>
      <c r="BF49">
        <v>0.75</v>
      </c>
      <c r="BG49">
        <v>0.5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14</v>
      </c>
      <c r="BX49">
        <v>20.25</v>
      </c>
      <c r="BY49">
        <v>0.5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428.75</v>
      </c>
      <c r="CG49">
        <v>282.5</v>
      </c>
      <c r="CH49">
        <v>37.75</v>
      </c>
      <c r="CI49">
        <v>59.75</v>
      </c>
      <c r="CJ49">
        <v>0</v>
      </c>
      <c r="CK49">
        <v>0.5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0.25</v>
      </c>
      <c r="CS49">
        <v>1.75</v>
      </c>
      <c r="CT49">
        <v>2.5</v>
      </c>
      <c r="CU49">
        <v>0.25</v>
      </c>
      <c r="CV49">
        <v>0</v>
      </c>
      <c r="CW49">
        <v>0</v>
      </c>
      <c r="CX49">
        <v>20</v>
      </c>
      <c r="CY49">
        <v>0</v>
      </c>
      <c r="CZ49">
        <v>0</v>
      </c>
      <c r="DA49">
        <v>0</v>
      </c>
      <c r="DB49">
        <v>1</v>
      </c>
      <c r="DC49">
        <v>0.25</v>
      </c>
      <c r="DD49">
        <v>0.25</v>
      </c>
      <c r="DE49">
        <v>0</v>
      </c>
      <c r="DF49">
        <v>0</v>
      </c>
      <c r="DG49">
        <v>0</v>
      </c>
      <c r="DH49">
        <v>2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0.25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P49" s="51">
        <v>91</v>
      </c>
      <c r="EQ49" t="s">
        <v>440</v>
      </c>
      <c r="ER49" t="s">
        <v>439</v>
      </c>
      <c r="ES49">
        <v>107.875</v>
      </c>
      <c r="ET49">
        <v>106.875</v>
      </c>
      <c r="EU49">
        <v>106.25</v>
      </c>
      <c r="EV49">
        <v>2.375</v>
      </c>
      <c r="EW49" s="51">
        <v>91</v>
      </c>
      <c r="EX49">
        <f t="shared" si="4"/>
        <v>0</v>
      </c>
      <c r="EY49">
        <f t="shared" si="5"/>
        <v>0</v>
      </c>
      <c r="EZ49">
        <f t="shared" si="6"/>
        <v>0</v>
      </c>
      <c r="FA49">
        <f t="shared" si="6"/>
        <v>1.75</v>
      </c>
      <c r="FB49">
        <f t="shared" si="6"/>
        <v>1.25</v>
      </c>
      <c r="FC49">
        <f t="shared" si="6"/>
        <v>1</v>
      </c>
      <c r="FD49">
        <f t="shared" si="7"/>
        <v>0</v>
      </c>
      <c r="FE49">
        <f t="shared" si="7"/>
        <v>5</v>
      </c>
      <c r="FF49">
        <f t="shared" si="8"/>
        <v>0.5</v>
      </c>
      <c r="FG49">
        <f t="shared" si="9"/>
        <v>0</v>
      </c>
      <c r="FH49">
        <f t="shared" si="10"/>
        <v>0</v>
      </c>
      <c r="FI49">
        <f t="shared" si="11"/>
        <v>0</v>
      </c>
      <c r="FJ49">
        <f t="shared" si="11"/>
        <v>0</v>
      </c>
      <c r="FK49">
        <f t="shared" si="11"/>
        <v>0</v>
      </c>
      <c r="FL49">
        <f t="shared" si="11"/>
        <v>0</v>
      </c>
      <c r="FM49">
        <f t="shared" si="12"/>
        <v>1</v>
      </c>
      <c r="FN49">
        <f t="shared" si="12"/>
        <v>1.25</v>
      </c>
      <c r="FO49">
        <f t="shared" si="12"/>
        <v>0</v>
      </c>
      <c r="FP49">
        <f t="shared" si="13"/>
        <v>0</v>
      </c>
      <c r="FQ49">
        <f t="shared" si="13"/>
        <v>0</v>
      </c>
      <c r="FR49">
        <f t="shared" si="13"/>
        <v>0</v>
      </c>
      <c r="FS49">
        <f t="shared" si="14"/>
        <v>0</v>
      </c>
      <c r="FT49">
        <f t="shared" si="14"/>
        <v>3.5</v>
      </c>
      <c r="FU49">
        <f t="shared" si="14"/>
        <v>0.75</v>
      </c>
      <c r="FV49">
        <f t="shared" si="14"/>
        <v>0.5</v>
      </c>
      <c r="FW49">
        <f t="shared" si="15"/>
        <v>0</v>
      </c>
      <c r="FX49">
        <f t="shared" si="15"/>
        <v>0</v>
      </c>
      <c r="FY49">
        <f t="shared" si="15"/>
        <v>0</v>
      </c>
      <c r="FZ49">
        <f t="shared" si="16"/>
        <v>0</v>
      </c>
      <c r="GA49">
        <f t="shared" si="16"/>
        <v>0</v>
      </c>
      <c r="GB49">
        <f t="shared" si="17"/>
        <v>0</v>
      </c>
      <c r="GC49">
        <f t="shared" si="18"/>
        <v>14</v>
      </c>
      <c r="GD49">
        <f t="shared" si="18"/>
        <v>20.25</v>
      </c>
      <c r="GE49">
        <f t="shared" si="18"/>
        <v>0.5</v>
      </c>
      <c r="GF49">
        <f t="shared" si="19"/>
        <v>0</v>
      </c>
      <c r="GG49">
        <f t="shared" si="19"/>
        <v>0</v>
      </c>
      <c r="GH49">
        <f t="shared" si="19"/>
        <v>0</v>
      </c>
      <c r="GI49">
        <f t="shared" si="20"/>
        <v>466.5</v>
      </c>
      <c r="GJ49">
        <f t="shared" si="20"/>
        <v>342.25</v>
      </c>
      <c r="GK49">
        <f t="shared" si="21"/>
        <v>0.5</v>
      </c>
      <c r="GL49">
        <f t="shared" si="22"/>
        <v>0</v>
      </c>
      <c r="GM49">
        <f t="shared" si="23"/>
        <v>0</v>
      </c>
      <c r="GN49">
        <f t="shared" si="23"/>
        <v>0</v>
      </c>
      <c r="GO49">
        <f t="shared" si="24"/>
        <v>0.25</v>
      </c>
      <c r="GP49">
        <f t="shared" si="25"/>
        <v>4.25</v>
      </c>
      <c r="GQ49">
        <f t="shared" si="26"/>
        <v>0.25</v>
      </c>
      <c r="GR49">
        <f t="shared" si="27"/>
        <v>20</v>
      </c>
      <c r="GS49">
        <f t="shared" si="28"/>
        <v>1</v>
      </c>
      <c r="GT49">
        <f t="shared" si="28"/>
        <v>0.25</v>
      </c>
      <c r="GU49">
        <f t="shared" si="28"/>
        <v>0.25</v>
      </c>
      <c r="GV49">
        <f t="shared" si="29"/>
        <v>2</v>
      </c>
      <c r="GW49">
        <f t="shared" si="29"/>
        <v>0</v>
      </c>
      <c r="GX49">
        <f t="shared" si="29"/>
        <v>0</v>
      </c>
      <c r="GY49">
        <f t="shared" si="30"/>
        <v>0</v>
      </c>
      <c r="GZ49">
        <f t="shared" si="31"/>
        <v>0</v>
      </c>
      <c r="HA49">
        <f t="shared" si="32"/>
        <v>0</v>
      </c>
      <c r="HB49">
        <f t="shared" si="33"/>
        <v>0</v>
      </c>
      <c r="HC49">
        <f t="shared" si="34"/>
        <v>0</v>
      </c>
      <c r="HD49">
        <f t="shared" si="35"/>
        <v>0</v>
      </c>
      <c r="HE49">
        <f t="shared" si="36"/>
        <v>0</v>
      </c>
      <c r="HF49">
        <f t="shared" si="37"/>
        <v>0</v>
      </c>
      <c r="HG49">
        <f t="shared" si="38"/>
        <v>0.25</v>
      </c>
      <c r="HH49">
        <f t="shared" si="39"/>
        <v>0</v>
      </c>
      <c r="HI49">
        <f t="shared" si="40"/>
        <v>0</v>
      </c>
      <c r="HJ49">
        <f t="shared" si="41"/>
        <v>0</v>
      </c>
      <c r="HK49">
        <f t="shared" si="42"/>
        <v>0</v>
      </c>
      <c r="HL49">
        <f t="shared" si="43"/>
        <v>0</v>
      </c>
      <c r="HM49">
        <f t="shared" si="44"/>
        <v>0</v>
      </c>
      <c r="HO49" s="51">
        <v>91</v>
      </c>
      <c r="HP49" t="s">
        <v>440</v>
      </c>
      <c r="HQ49" t="s">
        <v>439</v>
      </c>
      <c r="HR49">
        <v>107.875</v>
      </c>
      <c r="HS49">
        <v>106.875</v>
      </c>
      <c r="HT49">
        <v>106.25</v>
      </c>
      <c r="HU49">
        <v>2.375</v>
      </c>
      <c r="HV49" s="51">
        <v>91</v>
      </c>
      <c r="HW49">
        <f t="shared" si="45"/>
        <v>0</v>
      </c>
      <c r="HX49">
        <f t="shared" si="45"/>
        <v>0</v>
      </c>
      <c r="HY49">
        <f t="shared" si="46"/>
        <v>4</v>
      </c>
      <c r="HZ49">
        <f t="shared" si="47"/>
        <v>5</v>
      </c>
      <c r="IA49">
        <f t="shared" si="48"/>
        <v>0.5</v>
      </c>
      <c r="IB49">
        <f t="shared" si="48"/>
        <v>0</v>
      </c>
      <c r="IC49">
        <f t="shared" si="48"/>
        <v>0</v>
      </c>
      <c r="ID49">
        <f t="shared" si="49"/>
        <v>0</v>
      </c>
      <c r="IE49">
        <f t="shared" si="50"/>
        <v>2.25</v>
      </c>
      <c r="IF49">
        <f t="shared" si="51"/>
        <v>0</v>
      </c>
      <c r="IG49">
        <f t="shared" si="52"/>
        <v>4.25</v>
      </c>
      <c r="IH49">
        <f t="shared" si="53"/>
        <v>0.5</v>
      </c>
      <c r="II49">
        <f t="shared" si="54"/>
        <v>0</v>
      </c>
      <c r="IJ49">
        <f t="shared" si="55"/>
        <v>0</v>
      </c>
      <c r="IK49">
        <f t="shared" si="56"/>
        <v>0</v>
      </c>
      <c r="IL49">
        <f t="shared" si="65"/>
        <v>0</v>
      </c>
      <c r="IM49">
        <f t="shared" si="57"/>
        <v>34.75</v>
      </c>
      <c r="IN49">
        <f t="shared" si="58"/>
        <v>0</v>
      </c>
      <c r="IO49">
        <f t="shared" si="60"/>
        <v>466.5</v>
      </c>
      <c r="IP49">
        <f t="shared" si="60"/>
        <v>342.25</v>
      </c>
      <c r="IQ49">
        <f t="shared" si="60"/>
        <v>0.5</v>
      </c>
      <c r="IR49">
        <f t="shared" si="60"/>
        <v>0</v>
      </c>
      <c r="IS49">
        <f t="shared" si="60"/>
        <v>0</v>
      </c>
      <c r="IT49">
        <f t="shared" ref="IT49:IX76" si="67">GN49</f>
        <v>0</v>
      </c>
      <c r="IU49">
        <f t="shared" si="67"/>
        <v>0.25</v>
      </c>
      <c r="IV49">
        <f t="shared" si="67"/>
        <v>4.25</v>
      </c>
      <c r="IW49">
        <f t="shared" si="67"/>
        <v>0.25</v>
      </c>
      <c r="IX49">
        <f t="shared" si="67"/>
        <v>20</v>
      </c>
      <c r="IY49">
        <f t="shared" si="59"/>
        <v>1.5</v>
      </c>
      <c r="IZ49">
        <f t="shared" si="66"/>
        <v>2</v>
      </c>
      <c r="JA49">
        <f t="shared" si="64"/>
        <v>0</v>
      </c>
      <c r="JB49">
        <f t="shared" si="64"/>
        <v>0</v>
      </c>
      <c r="JC49">
        <f t="shared" si="64"/>
        <v>0</v>
      </c>
      <c r="JD49">
        <f t="shared" si="64"/>
        <v>0</v>
      </c>
      <c r="JE49">
        <f t="shared" si="64"/>
        <v>0</v>
      </c>
      <c r="JF49">
        <f t="shared" si="64"/>
        <v>0</v>
      </c>
      <c r="JG49">
        <f t="shared" si="64"/>
        <v>0</v>
      </c>
      <c r="JH49">
        <f t="shared" si="64"/>
        <v>0</v>
      </c>
      <c r="JI49">
        <f t="shared" si="64"/>
        <v>0.25</v>
      </c>
      <c r="JJ49">
        <f t="shared" si="64"/>
        <v>0</v>
      </c>
      <c r="JK49">
        <f t="shared" si="64"/>
        <v>0</v>
      </c>
      <c r="JL49">
        <f t="shared" si="64"/>
        <v>0</v>
      </c>
      <c r="JM49">
        <f t="shared" si="64"/>
        <v>0</v>
      </c>
      <c r="JN49">
        <f t="shared" si="64"/>
        <v>0</v>
      </c>
      <c r="JO49">
        <f t="shared" si="64"/>
        <v>0</v>
      </c>
    </row>
    <row r="50" spans="2:275" x14ac:dyDescent="0.25">
      <c r="B50" s="51">
        <v>92</v>
      </c>
      <c r="C50" t="s">
        <v>0</v>
      </c>
      <c r="D50" t="s">
        <v>439</v>
      </c>
      <c r="E50" s="91" t="s">
        <v>589</v>
      </c>
      <c r="F50" s="90"/>
      <c r="G50" s="90"/>
      <c r="H50" s="90"/>
      <c r="I50" s="51">
        <v>92</v>
      </c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90"/>
      <c r="DW50" s="90"/>
      <c r="DX50" s="90"/>
      <c r="DY50" s="90"/>
      <c r="DZ50" s="90"/>
      <c r="EA50" s="90"/>
      <c r="EB50" s="90"/>
      <c r="EC50" s="90"/>
      <c r="ED50" s="90"/>
      <c r="EE50" s="90"/>
      <c r="EF50" s="90"/>
      <c r="EG50" s="90"/>
      <c r="EH50" s="90"/>
      <c r="EI50" s="90"/>
      <c r="EJ50" s="90"/>
      <c r="EK50" s="90"/>
      <c r="EL50" s="90"/>
      <c r="EP50" s="51">
        <v>92</v>
      </c>
      <c r="EQ50" t="s">
        <v>0</v>
      </c>
      <c r="ER50" t="s">
        <v>439</v>
      </c>
      <c r="ES50" s="50"/>
      <c r="ET50" s="50"/>
      <c r="EU50" s="50"/>
      <c r="EV50" s="50"/>
      <c r="EW50" s="51">
        <v>92</v>
      </c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O50" s="51">
        <v>92</v>
      </c>
      <c r="HP50" t="s">
        <v>0</v>
      </c>
      <c r="HQ50" t="s">
        <v>439</v>
      </c>
      <c r="HR50" s="68"/>
      <c r="HS50" s="68"/>
      <c r="HT50" s="68"/>
      <c r="HU50" s="68"/>
      <c r="HV50" s="51">
        <v>92</v>
      </c>
      <c r="HW50" s="68"/>
      <c r="HX50" s="68"/>
      <c r="HY50" s="68"/>
      <c r="HZ50" s="68"/>
      <c r="IA50" s="68"/>
      <c r="IB50" s="68"/>
      <c r="IC50" s="68"/>
      <c r="ID50" s="68"/>
      <c r="IE50" s="68"/>
      <c r="IF50" s="68"/>
      <c r="IG50" s="68"/>
      <c r="IH50" s="68"/>
      <c r="II50" s="68"/>
      <c r="IJ50" s="68"/>
      <c r="IK50" s="68"/>
      <c r="IL50" s="68"/>
      <c r="IM50" s="68"/>
      <c r="IN50" s="68"/>
      <c r="IO50" s="68"/>
      <c r="IP50" s="68"/>
      <c r="IQ50" s="68"/>
      <c r="IR50" s="68"/>
      <c r="IS50" s="68"/>
      <c r="IT50" s="68"/>
      <c r="IU50" s="68"/>
      <c r="IV50" s="68"/>
      <c r="IW50" s="68"/>
      <c r="IX50" s="68"/>
      <c r="IY50" s="68"/>
      <c r="IZ50" s="68"/>
      <c r="JA50" s="68"/>
      <c r="JB50" s="68"/>
      <c r="JC50" s="68"/>
      <c r="JD50" s="68"/>
      <c r="JE50" s="68"/>
      <c r="JF50" s="68"/>
      <c r="JG50" s="68"/>
      <c r="JH50" s="68"/>
      <c r="JI50" s="68"/>
      <c r="JJ50" s="68"/>
      <c r="JK50" s="68"/>
      <c r="JL50" s="68"/>
      <c r="JM50" s="68"/>
      <c r="JN50" s="68"/>
      <c r="JO50" s="68"/>
    </row>
    <row r="51" spans="2:275" x14ac:dyDescent="0.25">
      <c r="B51" s="51">
        <v>94</v>
      </c>
      <c r="C51" t="s">
        <v>440</v>
      </c>
      <c r="D51" t="s">
        <v>439</v>
      </c>
      <c r="E51">
        <v>88.875</v>
      </c>
      <c r="F51">
        <v>156.25</v>
      </c>
      <c r="G51">
        <v>122</v>
      </c>
      <c r="H51">
        <v>2.3125</v>
      </c>
      <c r="I51" s="51">
        <v>94</v>
      </c>
      <c r="J51">
        <v>0</v>
      </c>
      <c r="K51">
        <v>0</v>
      </c>
      <c r="L51">
        <v>0</v>
      </c>
      <c r="M51">
        <v>0</v>
      </c>
      <c r="N51">
        <v>0</v>
      </c>
      <c r="O51">
        <v>0.25</v>
      </c>
      <c r="P51">
        <v>0</v>
      </c>
      <c r="Q51">
        <v>1.25</v>
      </c>
      <c r="R51">
        <v>0</v>
      </c>
      <c r="S51">
        <v>2.75</v>
      </c>
      <c r="T51">
        <v>0</v>
      </c>
      <c r="U51">
        <v>1</v>
      </c>
      <c r="V51">
        <v>0</v>
      </c>
      <c r="W51">
        <v>12.5</v>
      </c>
      <c r="X51">
        <v>0</v>
      </c>
      <c r="Y51">
        <v>0</v>
      </c>
      <c r="Z51">
        <v>0.5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0.25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0.5</v>
      </c>
      <c r="BD51">
        <v>0</v>
      </c>
      <c r="BE51">
        <v>0</v>
      </c>
      <c r="BF51">
        <v>6.75</v>
      </c>
      <c r="BG51">
        <v>4.75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0.25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2.5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1232.5</v>
      </c>
      <c r="CG51">
        <v>61.25</v>
      </c>
      <c r="CH51">
        <v>93</v>
      </c>
      <c r="CI51">
        <v>14</v>
      </c>
      <c r="CJ51">
        <v>0</v>
      </c>
      <c r="CK51">
        <v>6.25</v>
      </c>
      <c r="CL51">
        <v>0</v>
      </c>
      <c r="CM51">
        <v>0</v>
      </c>
      <c r="CN51">
        <v>0</v>
      </c>
      <c r="CO51">
        <v>0</v>
      </c>
      <c r="CP51">
        <v>0.25</v>
      </c>
      <c r="CQ51">
        <v>0</v>
      </c>
      <c r="CR51">
        <v>0</v>
      </c>
      <c r="CS51">
        <v>2.25</v>
      </c>
      <c r="CT51">
        <v>1.75</v>
      </c>
      <c r="CU51">
        <v>0.5</v>
      </c>
      <c r="CV51">
        <v>0.5</v>
      </c>
      <c r="CW51">
        <v>0</v>
      </c>
      <c r="CX51">
        <v>0</v>
      </c>
      <c r="CY51">
        <v>0</v>
      </c>
      <c r="CZ51">
        <v>1.5</v>
      </c>
      <c r="DA51">
        <v>0.25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0.5</v>
      </c>
      <c r="EP51" s="51">
        <v>94</v>
      </c>
      <c r="EQ51" t="s">
        <v>440</v>
      </c>
      <c r="ER51" t="s">
        <v>439</v>
      </c>
      <c r="ES51">
        <v>88.875</v>
      </c>
      <c r="ET51">
        <v>156.25</v>
      </c>
      <c r="EU51">
        <v>122</v>
      </c>
      <c r="EV51">
        <v>2.3125</v>
      </c>
      <c r="EW51" s="51">
        <v>94</v>
      </c>
      <c r="EX51">
        <f t="shared" si="4"/>
        <v>0</v>
      </c>
      <c r="EY51">
        <f t="shared" si="5"/>
        <v>0</v>
      </c>
      <c r="EZ51">
        <f t="shared" si="6"/>
        <v>0</v>
      </c>
      <c r="FA51">
        <f t="shared" si="6"/>
        <v>3</v>
      </c>
      <c r="FB51">
        <f t="shared" si="6"/>
        <v>0</v>
      </c>
      <c r="FC51">
        <f t="shared" si="6"/>
        <v>2.25</v>
      </c>
      <c r="FD51">
        <f t="shared" si="7"/>
        <v>0</v>
      </c>
      <c r="FE51">
        <f t="shared" si="7"/>
        <v>12.5</v>
      </c>
      <c r="FF51">
        <f t="shared" si="8"/>
        <v>0.5</v>
      </c>
      <c r="FG51">
        <f t="shared" si="9"/>
        <v>0</v>
      </c>
      <c r="FH51">
        <f t="shared" si="10"/>
        <v>0</v>
      </c>
      <c r="FI51">
        <f t="shared" si="11"/>
        <v>0</v>
      </c>
      <c r="FJ51">
        <f t="shared" si="11"/>
        <v>0</v>
      </c>
      <c r="FK51">
        <f t="shared" si="11"/>
        <v>0</v>
      </c>
      <c r="FL51">
        <f t="shared" si="11"/>
        <v>0.25</v>
      </c>
      <c r="FM51">
        <f t="shared" si="12"/>
        <v>0</v>
      </c>
      <c r="FN51">
        <f t="shared" si="12"/>
        <v>0</v>
      </c>
      <c r="FO51">
        <f t="shared" si="12"/>
        <v>0</v>
      </c>
      <c r="FP51">
        <f t="shared" si="13"/>
        <v>0</v>
      </c>
      <c r="FQ51">
        <f t="shared" si="13"/>
        <v>0</v>
      </c>
      <c r="FR51">
        <f t="shared" si="13"/>
        <v>0</v>
      </c>
      <c r="FS51">
        <f t="shared" si="14"/>
        <v>0</v>
      </c>
      <c r="FT51">
        <f t="shared" si="14"/>
        <v>0</v>
      </c>
      <c r="FU51">
        <f t="shared" si="14"/>
        <v>7.25</v>
      </c>
      <c r="FV51">
        <f t="shared" si="14"/>
        <v>5.25</v>
      </c>
      <c r="FW51">
        <f t="shared" si="15"/>
        <v>0</v>
      </c>
      <c r="FX51">
        <f t="shared" si="15"/>
        <v>0</v>
      </c>
      <c r="FY51">
        <f t="shared" si="15"/>
        <v>0.25</v>
      </c>
      <c r="FZ51">
        <f t="shared" si="16"/>
        <v>0</v>
      </c>
      <c r="GA51">
        <f t="shared" si="16"/>
        <v>0</v>
      </c>
      <c r="GB51">
        <f t="shared" si="17"/>
        <v>0</v>
      </c>
      <c r="GC51">
        <f t="shared" si="18"/>
        <v>0</v>
      </c>
      <c r="GD51">
        <f t="shared" si="18"/>
        <v>2.5</v>
      </c>
      <c r="GE51">
        <f t="shared" si="18"/>
        <v>0</v>
      </c>
      <c r="GF51">
        <f t="shared" si="19"/>
        <v>0</v>
      </c>
      <c r="GG51">
        <f t="shared" si="19"/>
        <v>0</v>
      </c>
      <c r="GH51">
        <f t="shared" si="19"/>
        <v>0</v>
      </c>
      <c r="GI51">
        <f t="shared" si="20"/>
        <v>1325.5</v>
      </c>
      <c r="GJ51">
        <f t="shared" si="20"/>
        <v>75.25</v>
      </c>
      <c r="GK51">
        <f t="shared" si="21"/>
        <v>6.25</v>
      </c>
      <c r="GL51">
        <f t="shared" si="22"/>
        <v>0</v>
      </c>
      <c r="GM51">
        <f t="shared" si="23"/>
        <v>0</v>
      </c>
      <c r="GN51">
        <f t="shared" si="23"/>
        <v>0.25</v>
      </c>
      <c r="GO51">
        <f t="shared" si="24"/>
        <v>0</v>
      </c>
      <c r="GP51">
        <f t="shared" si="25"/>
        <v>4</v>
      </c>
      <c r="GQ51">
        <f t="shared" si="26"/>
        <v>1</v>
      </c>
      <c r="GR51">
        <f t="shared" si="27"/>
        <v>0</v>
      </c>
      <c r="GS51">
        <f t="shared" si="28"/>
        <v>0</v>
      </c>
      <c r="GT51">
        <f t="shared" si="28"/>
        <v>2.5</v>
      </c>
      <c r="GU51">
        <f t="shared" si="28"/>
        <v>0.25</v>
      </c>
      <c r="GV51">
        <f t="shared" si="29"/>
        <v>1</v>
      </c>
      <c r="GW51">
        <f t="shared" si="29"/>
        <v>0</v>
      </c>
      <c r="GX51">
        <f t="shared" si="29"/>
        <v>0</v>
      </c>
      <c r="GY51">
        <f t="shared" si="30"/>
        <v>0</v>
      </c>
      <c r="GZ51">
        <f t="shared" si="31"/>
        <v>0</v>
      </c>
      <c r="HA51">
        <f t="shared" si="32"/>
        <v>0</v>
      </c>
      <c r="HB51">
        <f t="shared" si="33"/>
        <v>0</v>
      </c>
      <c r="HC51">
        <f t="shared" si="34"/>
        <v>0</v>
      </c>
      <c r="HD51">
        <f t="shared" si="35"/>
        <v>0</v>
      </c>
      <c r="HE51">
        <f t="shared" si="36"/>
        <v>0</v>
      </c>
      <c r="HF51">
        <f t="shared" si="37"/>
        <v>0</v>
      </c>
      <c r="HG51">
        <f t="shared" si="38"/>
        <v>0</v>
      </c>
      <c r="HH51">
        <f t="shared" si="39"/>
        <v>0</v>
      </c>
      <c r="HI51">
        <f t="shared" si="40"/>
        <v>0</v>
      </c>
      <c r="HJ51">
        <f t="shared" si="41"/>
        <v>0</v>
      </c>
      <c r="HK51">
        <f t="shared" si="42"/>
        <v>0</v>
      </c>
      <c r="HL51">
        <f t="shared" si="43"/>
        <v>0</v>
      </c>
      <c r="HM51">
        <f t="shared" si="44"/>
        <v>0.5</v>
      </c>
      <c r="HO51" s="51">
        <v>94</v>
      </c>
      <c r="HP51" t="s">
        <v>440</v>
      </c>
      <c r="HQ51" t="s">
        <v>439</v>
      </c>
      <c r="HR51">
        <v>88.875</v>
      </c>
      <c r="HS51">
        <v>156.25</v>
      </c>
      <c r="HT51">
        <v>122</v>
      </c>
      <c r="HU51">
        <v>2.3125</v>
      </c>
      <c r="HV51" s="51">
        <v>94</v>
      </c>
      <c r="HW51">
        <f t="shared" si="45"/>
        <v>0</v>
      </c>
      <c r="HX51">
        <f t="shared" si="45"/>
        <v>0</v>
      </c>
      <c r="HY51">
        <f t="shared" si="46"/>
        <v>5.25</v>
      </c>
      <c r="HZ51">
        <f t="shared" si="47"/>
        <v>12.5</v>
      </c>
      <c r="IA51">
        <f t="shared" si="48"/>
        <v>0.5</v>
      </c>
      <c r="IB51">
        <f t="shared" si="48"/>
        <v>0</v>
      </c>
      <c r="IC51">
        <f t="shared" si="48"/>
        <v>0</v>
      </c>
      <c r="ID51">
        <f t="shared" si="49"/>
        <v>0.25</v>
      </c>
      <c r="IE51">
        <f t="shared" si="50"/>
        <v>0</v>
      </c>
      <c r="IF51">
        <f t="shared" si="51"/>
        <v>0</v>
      </c>
      <c r="IG51">
        <f t="shared" si="52"/>
        <v>7.25</v>
      </c>
      <c r="IH51">
        <f t="shared" si="53"/>
        <v>5.25</v>
      </c>
      <c r="II51">
        <f t="shared" si="54"/>
        <v>0.25</v>
      </c>
      <c r="IJ51">
        <f t="shared" si="55"/>
        <v>0</v>
      </c>
      <c r="IK51">
        <f t="shared" si="56"/>
        <v>0</v>
      </c>
      <c r="IL51">
        <f t="shared" ref="IL51:IL70" si="68">SUM(GB51)</f>
        <v>0</v>
      </c>
      <c r="IM51">
        <f t="shared" si="57"/>
        <v>2.5</v>
      </c>
      <c r="IN51">
        <f t="shared" si="58"/>
        <v>0</v>
      </c>
      <c r="IO51">
        <f t="shared" ref="IO51:IS76" si="69">GI51</f>
        <v>1325.5</v>
      </c>
      <c r="IP51">
        <f t="shared" si="69"/>
        <v>75.25</v>
      </c>
      <c r="IQ51">
        <f t="shared" si="69"/>
        <v>6.25</v>
      </c>
      <c r="IR51">
        <f t="shared" si="69"/>
        <v>0</v>
      </c>
      <c r="IS51">
        <f t="shared" si="69"/>
        <v>0</v>
      </c>
      <c r="IT51">
        <f t="shared" si="67"/>
        <v>0.25</v>
      </c>
      <c r="IU51">
        <f t="shared" si="67"/>
        <v>0</v>
      </c>
      <c r="IV51">
        <f t="shared" si="67"/>
        <v>4</v>
      </c>
      <c r="IW51">
        <f t="shared" si="67"/>
        <v>1</v>
      </c>
      <c r="IX51">
        <f t="shared" si="67"/>
        <v>0</v>
      </c>
      <c r="IY51">
        <f t="shared" si="59"/>
        <v>2.75</v>
      </c>
      <c r="IZ51">
        <f t="shared" ref="IZ51:IZ76" si="70">SUM(GV51:GX51)</f>
        <v>1</v>
      </c>
      <c r="JA51">
        <f t="shared" si="64"/>
        <v>0</v>
      </c>
      <c r="JB51">
        <f t="shared" si="64"/>
        <v>0</v>
      </c>
      <c r="JC51">
        <f t="shared" si="64"/>
        <v>0</v>
      </c>
      <c r="JD51">
        <f t="shared" si="64"/>
        <v>0</v>
      </c>
      <c r="JE51">
        <f t="shared" si="64"/>
        <v>0</v>
      </c>
      <c r="JF51">
        <f t="shared" si="64"/>
        <v>0</v>
      </c>
      <c r="JG51">
        <f t="shared" si="64"/>
        <v>0</v>
      </c>
      <c r="JH51">
        <f t="shared" si="64"/>
        <v>0</v>
      </c>
      <c r="JI51">
        <f t="shared" si="64"/>
        <v>0</v>
      </c>
      <c r="JJ51">
        <f t="shared" si="64"/>
        <v>0</v>
      </c>
      <c r="JK51">
        <f t="shared" si="64"/>
        <v>0</v>
      </c>
      <c r="JL51">
        <f t="shared" si="64"/>
        <v>0</v>
      </c>
      <c r="JM51">
        <f t="shared" si="64"/>
        <v>0</v>
      </c>
      <c r="JN51">
        <f t="shared" si="64"/>
        <v>0</v>
      </c>
      <c r="JO51">
        <f t="shared" si="64"/>
        <v>0.5</v>
      </c>
    </row>
    <row r="52" spans="2:275" x14ac:dyDescent="0.25">
      <c r="B52" s="51">
        <v>96</v>
      </c>
      <c r="C52" t="s">
        <v>16</v>
      </c>
      <c r="D52" t="s">
        <v>439</v>
      </c>
      <c r="E52">
        <v>48.166666666666671</v>
      </c>
      <c r="F52">
        <v>91.833333333333329</v>
      </c>
      <c r="G52">
        <v>35.833333333333329</v>
      </c>
      <c r="H52">
        <v>4</v>
      </c>
      <c r="I52" s="51">
        <v>96</v>
      </c>
      <c r="J52">
        <v>0</v>
      </c>
      <c r="K52">
        <v>0</v>
      </c>
      <c r="L52">
        <v>0.33333333333333331</v>
      </c>
      <c r="M52">
        <v>0</v>
      </c>
      <c r="N52">
        <v>0</v>
      </c>
      <c r="O52">
        <v>0.33333333333333331</v>
      </c>
      <c r="P52">
        <v>0</v>
      </c>
      <c r="Q52">
        <v>0.66666666666666663</v>
      </c>
      <c r="R52">
        <v>0</v>
      </c>
      <c r="S52">
        <v>0.33333333333333331</v>
      </c>
      <c r="T52">
        <v>0</v>
      </c>
      <c r="U52">
        <v>0.33333333333333331</v>
      </c>
      <c r="V52">
        <v>0</v>
      </c>
      <c r="W52">
        <v>2.6666666666666665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0.33333333333333331</v>
      </c>
      <c r="BC52">
        <v>0</v>
      </c>
      <c r="BD52">
        <v>0</v>
      </c>
      <c r="BE52">
        <v>1</v>
      </c>
      <c r="BF52">
        <v>5</v>
      </c>
      <c r="BG52">
        <v>4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12.333333333333334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841.66666666666663</v>
      </c>
      <c r="CG52">
        <v>108</v>
      </c>
      <c r="CH52">
        <v>278.33333333333331</v>
      </c>
      <c r="CI52">
        <v>36.666666666666664</v>
      </c>
      <c r="CJ52">
        <v>0</v>
      </c>
      <c r="CK52">
        <v>3.6666666666666665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1.3333333333333333</v>
      </c>
      <c r="CT52">
        <v>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0.66666666666666663</v>
      </c>
      <c r="DA52">
        <v>0</v>
      </c>
      <c r="DB52">
        <v>0</v>
      </c>
      <c r="DC52">
        <v>2.6666666666666665</v>
      </c>
      <c r="DD52">
        <v>0.33333333333333331</v>
      </c>
      <c r="DE52">
        <v>0</v>
      </c>
      <c r="DF52">
        <v>0</v>
      </c>
      <c r="DG52">
        <v>0</v>
      </c>
      <c r="DH52">
        <v>1.6666666666666665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0.66666666666666663</v>
      </c>
      <c r="EP52" s="51">
        <v>96</v>
      </c>
      <c r="EQ52" t="s">
        <v>16</v>
      </c>
      <c r="ER52" t="s">
        <v>439</v>
      </c>
      <c r="ES52">
        <v>48.166666666666671</v>
      </c>
      <c r="ET52">
        <v>91.833333333333329</v>
      </c>
      <c r="EU52">
        <v>35.833333333333329</v>
      </c>
      <c r="EV52">
        <v>4</v>
      </c>
      <c r="EW52" s="51">
        <v>96</v>
      </c>
      <c r="EX52">
        <f t="shared" si="4"/>
        <v>0</v>
      </c>
      <c r="EY52">
        <f t="shared" si="5"/>
        <v>0.33333333333333331</v>
      </c>
      <c r="EZ52">
        <f t="shared" si="6"/>
        <v>0</v>
      </c>
      <c r="FA52">
        <f t="shared" si="6"/>
        <v>0.66666666666666663</v>
      </c>
      <c r="FB52">
        <f t="shared" si="6"/>
        <v>0</v>
      </c>
      <c r="FC52">
        <f t="shared" si="6"/>
        <v>1</v>
      </c>
      <c r="FD52">
        <f t="shared" si="7"/>
        <v>0</v>
      </c>
      <c r="FE52">
        <f t="shared" si="7"/>
        <v>2.6666666666666665</v>
      </c>
      <c r="FF52">
        <f t="shared" si="8"/>
        <v>0</v>
      </c>
      <c r="FG52">
        <f t="shared" si="9"/>
        <v>0</v>
      </c>
      <c r="FH52">
        <f t="shared" si="10"/>
        <v>0</v>
      </c>
      <c r="FI52">
        <f t="shared" si="11"/>
        <v>0</v>
      </c>
      <c r="FJ52">
        <f t="shared" si="11"/>
        <v>0</v>
      </c>
      <c r="FK52">
        <f t="shared" si="11"/>
        <v>0</v>
      </c>
      <c r="FL52">
        <f t="shared" si="11"/>
        <v>0</v>
      </c>
      <c r="FM52">
        <f t="shared" si="12"/>
        <v>0</v>
      </c>
      <c r="FN52">
        <f t="shared" si="12"/>
        <v>0</v>
      </c>
      <c r="FO52">
        <f t="shared" si="12"/>
        <v>0</v>
      </c>
      <c r="FP52">
        <f t="shared" si="13"/>
        <v>0</v>
      </c>
      <c r="FQ52">
        <f t="shared" si="13"/>
        <v>0</v>
      </c>
      <c r="FR52">
        <f t="shared" si="13"/>
        <v>0</v>
      </c>
      <c r="FS52">
        <f t="shared" si="14"/>
        <v>0</v>
      </c>
      <c r="FT52">
        <f t="shared" si="14"/>
        <v>1</v>
      </c>
      <c r="FU52">
        <f t="shared" si="14"/>
        <v>5.333333333333333</v>
      </c>
      <c r="FV52">
        <f t="shared" si="14"/>
        <v>4</v>
      </c>
      <c r="FW52">
        <f t="shared" si="15"/>
        <v>0</v>
      </c>
      <c r="FX52">
        <f t="shared" si="15"/>
        <v>0</v>
      </c>
      <c r="FY52">
        <f t="shared" si="15"/>
        <v>0</v>
      </c>
      <c r="FZ52">
        <f t="shared" si="16"/>
        <v>0</v>
      </c>
      <c r="GA52">
        <f t="shared" si="16"/>
        <v>0</v>
      </c>
      <c r="GB52">
        <f t="shared" si="17"/>
        <v>0</v>
      </c>
      <c r="GC52">
        <f t="shared" si="18"/>
        <v>12.333333333333334</v>
      </c>
      <c r="GD52">
        <f t="shared" si="18"/>
        <v>1</v>
      </c>
      <c r="GE52">
        <f t="shared" si="18"/>
        <v>0</v>
      </c>
      <c r="GF52">
        <f t="shared" si="19"/>
        <v>0</v>
      </c>
      <c r="GG52">
        <f t="shared" si="19"/>
        <v>0</v>
      </c>
      <c r="GH52">
        <f t="shared" si="19"/>
        <v>0</v>
      </c>
      <c r="GI52">
        <f t="shared" si="20"/>
        <v>1120</v>
      </c>
      <c r="GJ52">
        <f t="shared" si="20"/>
        <v>144.66666666666666</v>
      </c>
      <c r="GK52">
        <f t="shared" si="21"/>
        <v>3.6666666666666665</v>
      </c>
      <c r="GL52">
        <f t="shared" si="22"/>
        <v>0</v>
      </c>
      <c r="GM52">
        <f t="shared" si="23"/>
        <v>0</v>
      </c>
      <c r="GN52">
        <f t="shared" si="23"/>
        <v>0</v>
      </c>
      <c r="GO52">
        <f t="shared" si="24"/>
        <v>0</v>
      </c>
      <c r="GP52">
        <f t="shared" si="25"/>
        <v>3.333333333333333</v>
      </c>
      <c r="GQ52">
        <f t="shared" si="26"/>
        <v>0</v>
      </c>
      <c r="GR52">
        <f t="shared" si="27"/>
        <v>0</v>
      </c>
      <c r="GS52">
        <f t="shared" si="28"/>
        <v>0</v>
      </c>
      <c r="GT52">
        <f t="shared" si="28"/>
        <v>3.333333333333333</v>
      </c>
      <c r="GU52">
        <f t="shared" si="28"/>
        <v>0.33333333333333331</v>
      </c>
      <c r="GV52">
        <f t="shared" si="29"/>
        <v>1.6666666666666665</v>
      </c>
      <c r="GW52">
        <f t="shared" si="29"/>
        <v>0</v>
      </c>
      <c r="GX52">
        <f t="shared" si="29"/>
        <v>0</v>
      </c>
      <c r="GY52">
        <f t="shared" si="30"/>
        <v>0</v>
      </c>
      <c r="GZ52">
        <f t="shared" si="31"/>
        <v>0</v>
      </c>
      <c r="HA52">
        <f t="shared" si="32"/>
        <v>0</v>
      </c>
      <c r="HB52">
        <f t="shared" si="33"/>
        <v>0</v>
      </c>
      <c r="HC52">
        <f t="shared" si="34"/>
        <v>0</v>
      </c>
      <c r="HD52">
        <f t="shared" si="35"/>
        <v>0</v>
      </c>
      <c r="HE52">
        <f t="shared" si="36"/>
        <v>0</v>
      </c>
      <c r="HF52">
        <f t="shared" si="37"/>
        <v>0</v>
      </c>
      <c r="HG52">
        <f t="shared" si="38"/>
        <v>0</v>
      </c>
      <c r="HH52">
        <f t="shared" si="39"/>
        <v>0</v>
      </c>
      <c r="HI52">
        <f t="shared" si="40"/>
        <v>0</v>
      </c>
      <c r="HJ52">
        <f t="shared" si="41"/>
        <v>0</v>
      </c>
      <c r="HK52">
        <f t="shared" si="42"/>
        <v>0</v>
      </c>
      <c r="HL52">
        <f t="shared" si="43"/>
        <v>0</v>
      </c>
      <c r="HM52">
        <f t="shared" si="44"/>
        <v>0.66666666666666663</v>
      </c>
      <c r="HO52" s="51">
        <v>96</v>
      </c>
      <c r="HP52" t="s">
        <v>16</v>
      </c>
      <c r="HQ52" t="s">
        <v>439</v>
      </c>
      <c r="HR52">
        <v>48.166666666666671</v>
      </c>
      <c r="HS52">
        <v>91.833333333333329</v>
      </c>
      <c r="HT52">
        <v>35.833333333333329</v>
      </c>
      <c r="HU52">
        <v>4</v>
      </c>
      <c r="HV52" s="51">
        <v>96</v>
      </c>
      <c r="HW52">
        <f t="shared" si="45"/>
        <v>0</v>
      </c>
      <c r="HX52">
        <f t="shared" si="45"/>
        <v>0.33333333333333331</v>
      </c>
      <c r="HY52">
        <f t="shared" si="46"/>
        <v>1.6666666666666665</v>
      </c>
      <c r="HZ52">
        <f t="shared" si="47"/>
        <v>2.6666666666666665</v>
      </c>
      <c r="IA52">
        <f t="shared" si="48"/>
        <v>0</v>
      </c>
      <c r="IB52">
        <f t="shared" si="48"/>
        <v>0</v>
      </c>
      <c r="IC52">
        <f t="shared" si="48"/>
        <v>0</v>
      </c>
      <c r="ID52">
        <f t="shared" si="49"/>
        <v>0</v>
      </c>
      <c r="IE52">
        <f t="shared" si="50"/>
        <v>0</v>
      </c>
      <c r="IF52">
        <f t="shared" si="51"/>
        <v>0</v>
      </c>
      <c r="IG52">
        <f t="shared" si="52"/>
        <v>6.333333333333333</v>
      </c>
      <c r="IH52">
        <f t="shared" si="53"/>
        <v>4</v>
      </c>
      <c r="II52">
        <f t="shared" si="54"/>
        <v>0</v>
      </c>
      <c r="IJ52">
        <f t="shared" si="55"/>
        <v>0</v>
      </c>
      <c r="IK52">
        <f t="shared" si="56"/>
        <v>0</v>
      </c>
      <c r="IL52">
        <f t="shared" si="68"/>
        <v>0</v>
      </c>
      <c r="IM52">
        <f t="shared" si="57"/>
        <v>13.333333333333334</v>
      </c>
      <c r="IN52">
        <f t="shared" si="58"/>
        <v>0</v>
      </c>
      <c r="IO52">
        <f t="shared" si="69"/>
        <v>1120</v>
      </c>
      <c r="IP52">
        <f t="shared" si="69"/>
        <v>144.66666666666666</v>
      </c>
      <c r="IQ52">
        <f t="shared" si="69"/>
        <v>3.6666666666666665</v>
      </c>
      <c r="IR52">
        <f t="shared" si="69"/>
        <v>0</v>
      </c>
      <c r="IS52">
        <f t="shared" si="69"/>
        <v>0</v>
      </c>
      <c r="IT52">
        <f t="shared" si="67"/>
        <v>0</v>
      </c>
      <c r="IU52">
        <f t="shared" si="67"/>
        <v>0</v>
      </c>
      <c r="IV52">
        <f t="shared" si="67"/>
        <v>3.333333333333333</v>
      </c>
      <c r="IW52">
        <f t="shared" si="67"/>
        <v>0</v>
      </c>
      <c r="IX52">
        <f t="shared" si="67"/>
        <v>0</v>
      </c>
      <c r="IY52">
        <f t="shared" si="59"/>
        <v>3.6666666666666665</v>
      </c>
      <c r="IZ52">
        <f t="shared" si="70"/>
        <v>1.6666666666666665</v>
      </c>
      <c r="JA52">
        <f t="shared" si="64"/>
        <v>0</v>
      </c>
      <c r="JB52">
        <f t="shared" si="64"/>
        <v>0</v>
      </c>
      <c r="JC52">
        <f t="shared" si="64"/>
        <v>0</v>
      </c>
      <c r="JD52">
        <f t="shared" si="64"/>
        <v>0</v>
      </c>
      <c r="JE52">
        <f t="shared" si="64"/>
        <v>0</v>
      </c>
      <c r="JF52">
        <f t="shared" si="64"/>
        <v>0</v>
      </c>
      <c r="JG52">
        <f t="shared" si="64"/>
        <v>0</v>
      </c>
      <c r="JH52">
        <f t="shared" si="64"/>
        <v>0</v>
      </c>
      <c r="JI52">
        <f t="shared" si="64"/>
        <v>0</v>
      </c>
      <c r="JJ52">
        <f t="shared" si="64"/>
        <v>0</v>
      </c>
      <c r="JK52">
        <f t="shared" si="64"/>
        <v>0</v>
      </c>
      <c r="JL52">
        <f t="shared" si="64"/>
        <v>0</v>
      </c>
      <c r="JM52">
        <f t="shared" si="64"/>
        <v>0</v>
      </c>
      <c r="JN52">
        <f t="shared" si="64"/>
        <v>0</v>
      </c>
      <c r="JO52">
        <f t="shared" si="64"/>
        <v>0.66666666666666663</v>
      </c>
    </row>
    <row r="53" spans="2:275" x14ac:dyDescent="0.25">
      <c r="B53" s="51">
        <v>98</v>
      </c>
      <c r="C53" t="s">
        <v>440</v>
      </c>
      <c r="D53" t="s">
        <v>439</v>
      </c>
      <c r="E53">
        <v>69.5</v>
      </c>
      <c r="F53">
        <v>71.25</v>
      </c>
      <c r="G53">
        <v>102.75</v>
      </c>
      <c r="H53">
        <v>2.625</v>
      </c>
      <c r="I53" s="51">
        <v>98</v>
      </c>
      <c r="J53">
        <v>0</v>
      </c>
      <c r="K53">
        <v>0</v>
      </c>
      <c r="L53">
        <v>0</v>
      </c>
      <c r="M53">
        <v>0</v>
      </c>
      <c r="N53">
        <v>0</v>
      </c>
      <c r="O53">
        <v>0.75</v>
      </c>
      <c r="P53">
        <v>0</v>
      </c>
      <c r="Q53">
        <v>0.5</v>
      </c>
      <c r="R53">
        <v>0</v>
      </c>
      <c r="S53">
        <v>0.25</v>
      </c>
      <c r="T53">
        <v>0</v>
      </c>
      <c r="U53">
        <v>0</v>
      </c>
      <c r="V53">
        <v>0</v>
      </c>
      <c r="W53">
        <v>2.25</v>
      </c>
      <c r="X53">
        <v>0</v>
      </c>
      <c r="Y53">
        <v>0.25</v>
      </c>
      <c r="Z53">
        <v>0.25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0.25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0.75</v>
      </c>
      <c r="BC53">
        <v>0.5</v>
      </c>
      <c r="BD53">
        <v>0</v>
      </c>
      <c r="BE53">
        <v>0.5</v>
      </c>
      <c r="BF53">
        <v>4.25</v>
      </c>
      <c r="BG53">
        <v>2.5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0.75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5112.5</v>
      </c>
      <c r="CG53">
        <v>95.75</v>
      </c>
      <c r="CH53">
        <v>1312.5</v>
      </c>
      <c r="CI53">
        <v>70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2.25</v>
      </c>
      <c r="CT53">
        <v>3.5</v>
      </c>
      <c r="CU53">
        <v>0.75</v>
      </c>
      <c r="CV53">
        <v>0.25</v>
      </c>
      <c r="CW53">
        <v>0</v>
      </c>
      <c r="CX53">
        <v>2</v>
      </c>
      <c r="CY53">
        <v>0</v>
      </c>
      <c r="CZ53">
        <v>1.5</v>
      </c>
      <c r="DA53">
        <v>0</v>
      </c>
      <c r="DB53">
        <v>0</v>
      </c>
      <c r="DC53">
        <v>2.5</v>
      </c>
      <c r="DD53">
        <v>0</v>
      </c>
      <c r="DE53">
        <v>0.25</v>
      </c>
      <c r="DF53">
        <v>0</v>
      </c>
      <c r="DG53">
        <v>0</v>
      </c>
      <c r="DH53">
        <v>0.25</v>
      </c>
      <c r="DI53">
        <v>0</v>
      </c>
      <c r="DJ53">
        <v>0.5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0.25</v>
      </c>
      <c r="EP53" s="51">
        <v>98</v>
      </c>
      <c r="EQ53" t="s">
        <v>440</v>
      </c>
      <c r="ER53" t="s">
        <v>439</v>
      </c>
      <c r="ES53">
        <v>69.5</v>
      </c>
      <c r="ET53">
        <v>71.25</v>
      </c>
      <c r="EU53">
        <v>102.75</v>
      </c>
      <c r="EV53">
        <v>2.625</v>
      </c>
      <c r="EW53" s="51">
        <v>98</v>
      </c>
      <c r="EX53">
        <f t="shared" si="4"/>
        <v>0</v>
      </c>
      <c r="EY53">
        <f t="shared" si="5"/>
        <v>0</v>
      </c>
      <c r="EZ53">
        <f t="shared" si="6"/>
        <v>0</v>
      </c>
      <c r="FA53">
        <f t="shared" si="6"/>
        <v>1</v>
      </c>
      <c r="FB53">
        <f t="shared" si="6"/>
        <v>0</v>
      </c>
      <c r="FC53">
        <f t="shared" si="6"/>
        <v>0.5</v>
      </c>
      <c r="FD53">
        <f t="shared" si="7"/>
        <v>0</v>
      </c>
      <c r="FE53">
        <f t="shared" si="7"/>
        <v>2.5</v>
      </c>
      <c r="FF53">
        <f t="shared" si="8"/>
        <v>0.25</v>
      </c>
      <c r="FG53">
        <f t="shared" si="9"/>
        <v>0</v>
      </c>
      <c r="FH53">
        <f t="shared" si="10"/>
        <v>0</v>
      </c>
      <c r="FI53">
        <f t="shared" si="11"/>
        <v>0</v>
      </c>
      <c r="FJ53">
        <f t="shared" si="11"/>
        <v>0</v>
      </c>
      <c r="FK53">
        <f t="shared" si="11"/>
        <v>0</v>
      </c>
      <c r="FL53">
        <f t="shared" si="11"/>
        <v>0</v>
      </c>
      <c r="FM53">
        <f t="shared" si="12"/>
        <v>0.25</v>
      </c>
      <c r="FN53">
        <f t="shared" si="12"/>
        <v>0</v>
      </c>
      <c r="FO53">
        <f t="shared" si="12"/>
        <v>0</v>
      </c>
      <c r="FP53">
        <f t="shared" si="13"/>
        <v>0</v>
      </c>
      <c r="FQ53">
        <f t="shared" si="13"/>
        <v>0</v>
      </c>
      <c r="FR53">
        <f t="shared" si="13"/>
        <v>0</v>
      </c>
      <c r="FS53">
        <f t="shared" si="14"/>
        <v>0</v>
      </c>
      <c r="FT53">
        <f t="shared" si="14"/>
        <v>0.5</v>
      </c>
      <c r="FU53">
        <f t="shared" si="14"/>
        <v>5</v>
      </c>
      <c r="FV53">
        <f t="shared" si="14"/>
        <v>3</v>
      </c>
      <c r="FW53">
        <f t="shared" si="15"/>
        <v>0</v>
      </c>
      <c r="FX53">
        <f t="shared" si="15"/>
        <v>0</v>
      </c>
      <c r="FY53">
        <f t="shared" si="15"/>
        <v>0</v>
      </c>
      <c r="FZ53">
        <f t="shared" si="16"/>
        <v>0</v>
      </c>
      <c r="GA53">
        <f t="shared" si="16"/>
        <v>0</v>
      </c>
      <c r="GB53">
        <f t="shared" si="17"/>
        <v>0</v>
      </c>
      <c r="GC53">
        <f t="shared" si="18"/>
        <v>0</v>
      </c>
      <c r="GD53">
        <f t="shared" si="18"/>
        <v>0.75</v>
      </c>
      <c r="GE53">
        <f t="shared" si="18"/>
        <v>0</v>
      </c>
      <c r="GF53">
        <f t="shared" si="19"/>
        <v>0</v>
      </c>
      <c r="GG53">
        <f t="shared" si="19"/>
        <v>0</v>
      </c>
      <c r="GH53">
        <f t="shared" si="19"/>
        <v>0</v>
      </c>
      <c r="GI53">
        <f t="shared" si="20"/>
        <v>6425</v>
      </c>
      <c r="GJ53">
        <f t="shared" si="20"/>
        <v>165.75</v>
      </c>
      <c r="GK53">
        <f t="shared" si="21"/>
        <v>0</v>
      </c>
      <c r="GL53">
        <f t="shared" si="22"/>
        <v>0</v>
      </c>
      <c r="GM53">
        <f t="shared" si="23"/>
        <v>0</v>
      </c>
      <c r="GN53">
        <f t="shared" si="23"/>
        <v>0</v>
      </c>
      <c r="GO53">
        <f t="shared" si="24"/>
        <v>0</v>
      </c>
      <c r="GP53">
        <f t="shared" si="25"/>
        <v>5.75</v>
      </c>
      <c r="GQ53">
        <f t="shared" si="26"/>
        <v>1</v>
      </c>
      <c r="GR53">
        <f t="shared" si="27"/>
        <v>2</v>
      </c>
      <c r="GS53">
        <f t="shared" si="28"/>
        <v>0</v>
      </c>
      <c r="GT53">
        <f t="shared" si="28"/>
        <v>4</v>
      </c>
      <c r="GU53">
        <f t="shared" si="28"/>
        <v>0</v>
      </c>
      <c r="GV53">
        <f t="shared" si="29"/>
        <v>0.5</v>
      </c>
      <c r="GW53">
        <f t="shared" si="29"/>
        <v>0</v>
      </c>
      <c r="GX53">
        <f t="shared" si="29"/>
        <v>0.5</v>
      </c>
      <c r="GY53">
        <f t="shared" si="30"/>
        <v>0</v>
      </c>
      <c r="GZ53">
        <f t="shared" si="31"/>
        <v>0</v>
      </c>
      <c r="HA53">
        <f t="shared" si="32"/>
        <v>0</v>
      </c>
      <c r="HB53">
        <f t="shared" si="33"/>
        <v>0</v>
      </c>
      <c r="HC53">
        <f t="shared" si="34"/>
        <v>0</v>
      </c>
      <c r="HD53">
        <f t="shared" si="35"/>
        <v>0</v>
      </c>
      <c r="HE53">
        <f t="shared" si="36"/>
        <v>0</v>
      </c>
      <c r="HF53">
        <f t="shared" si="37"/>
        <v>0</v>
      </c>
      <c r="HG53">
        <f t="shared" si="38"/>
        <v>0</v>
      </c>
      <c r="HH53">
        <f t="shared" si="39"/>
        <v>0</v>
      </c>
      <c r="HI53">
        <f t="shared" si="40"/>
        <v>0</v>
      </c>
      <c r="HJ53">
        <f t="shared" si="41"/>
        <v>0</v>
      </c>
      <c r="HK53">
        <f t="shared" si="42"/>
        <v>0</v>
      </c>
      <c r="HL53">
        <f t="shared" si="43"/>
        <v>0</v>
      </c>
      <c r="HM53">
        <f t="shared" si="44"/>
        <v>0.25</v>
      </c>
      <c r="HO53" s="51">
        <v>98</v>
      </c>
      <c r="HP53" t="s">
        <v>440</v>
      </c>
      <c r="HQ53" t="s">
        <v>439</v>
      </c>
      <c r="HR53">
        <v>69.5</v>
      </c>
      <c r="HS53">
        <v>71.25</v>
      </c>
      <c r="HT53">
        <v>102.75</v>
      </c>
      <c r="HU53">
        <v>2.625</v>
      </c>
      <c r="HV53" s="51">
        <v>98</v>
      </c>
      <c r="HW53">
        <f t="shared" si="45"/>
        <v>0</v>
      </c>
      <c r="HX53">
        <f t="shared" si="45"/>
        <v>0</v>
      </c>
      <c r="HY53">
        <f t="shared" si="46"/>
        <v>1.5</v>
      </c>
      <c r="HZ53">
        <f t="shared" si="47"/>
        <v>2.5</v>
      </c>
      <c r="IA53">
        <f t="shared" si="48"/>
        <v>0.25</v>
      </c>
      <c r="IB53">
        <f t="shared" si="48"/>
        <v>0</v>
      </c>
      <c r="IC53">
        <f t="shared" si="48"/>
        <v>0</v>
      </c>
      <c r="ID53">
        <f t="shared" si="49"/>
        <v>0</v>
      </c>
      <c r="IE53">
        <f t="shared" si="50"/>
        <v>0.25</v>
      </c>
      <c r="IF53">
        <f t="shared" si="51"/>
        <v>0</v>
      </c>
      <c r="IG53">
        <f t="shared" si="52"/>
        <v>5.5</v>
      </c>
      <c r="IH53">
        <f t="shared" si="53"/>
        <v>3</v>
      </c>
      <c r="II53">
        <f t="shared" si="54"/>
        <v>0</v>
      </c>
      <c r="IJ53">
        <f t="shared" si="55"/>
        <v>0</v>
      </c>
      <c r="IK53">
        <f t="shared" si="56"/>
        <v>0</v>
      </c>
      <c r="IL53">
        <f t="shared" si="68"/>
        <v>0</v>
      </c>
      <c r="IM53">
        <f t="shared" si="57"/>
        <v>0.75</v>
      </c>
      <c r="IN53">
        <f t="shared" si="58"/>
        <v>0</v>
      </c>
      <c r="IO53">
        <f t="shared" si="69"/>
        <v>6425</v>
      </c>
      <c r="IP53">
        <f t="shared" si="69"/>
        <v>165.75</v>
      </c>
      <c r="IQ53">
        <f t="shared" si="69"/>
        <v>0</v>
      </c>
      <c r="IR53">
        <f t="shared" si="69"/>
        <v>0</v>
      </c>
      <c r="IS53">
        <f t="shared" si="69"/>
        <v>0</v>
      </c>
      <c r="IT53">
        <f t="shared" si="67"/>
        <v>0</v>
      </c>
      <c r="IU53">
        <f t="shared" si="67"/>
        <v>0</v>
      </c>
      <c r="IV53">
        <f t="shared" si="67"/>
        <v>5.75</v>
      </c>
      <c r="IW53">
        <f t="shared" si="67"/>
        <v>1</v>
      </c>
      <c r="IX53">
        <f t="shared" si="67"/>
        <v>2</v>
      </c>
      <c r="IY53">
        <f t="shared" si="59"/>
        <v>4</v>
      </c>
      <c r="IZ53">
        <f t="shared" si="70"/>
        <v>1</v>
      </c>
      <c r="JA53">
        <f t="shared" si="64"/>
        <v>0</v>
      </c>
      <c r="JB53">
        <f t="shared" si="64"/>
        <v>0</v>
      </c>
      <c r="JC53">
        <f t="shared" si="64"/>
        <v>0</v>
      </c>
      <c r="JD53">
        <f t="shared" si="64"/>
        <v>0</v>
      </c>
      <c r="JE53">
        <f t="shared" si="64"/>
        <v>0</v>
      </c>
      <c r="JF53">
        <f t="shared" si="64"/>
        <v>0</v>
      </c>
      <c r="JG53">
        <f t="shared" si="64"/>
        <v>0</v>
      </c>
      <c r="JH53">
        <f t="shared" si="64"/>
        <v>0</v>
      </c>
      <c r="JI53">
        <f t="shared" si="64"/>
        <v>0</v>
      </c>
      <c r="JJ53">
        <f t="shared" si="64"/>
        <v>0</v>
      </c>
      <c r="JK53">
        <f t="shared" si="64"/>
        <v>0</v>
      </c>
      <c r="JL53">
        <f t="shared" si="64"/>
        <v>0</v>
      </c>
      <c r="JM53">
        <f t="shared" si="64"/>
        <v>0</v>
      </c>
      <c r="JN53">
        <f t="shared" si="64"/>
        <v>0</v>
      </c>
      <c r="JO53">
        <f t="shared" si="64"/>
        <v>0.25</v>
      </c>
    </row>
    <row r="54" spans="2:275" x14ac:dyDescent="0.25">
      <c r="B54" s="51">
        <v>99</v>
      </c>
      <c r="C54" t="s">
        <v>0</v>
      </c>
      <c r="D54" t="s">
        <v>439</v>
      </c>
      <c r="E54">
        <v>102.75</v>
      </c>
      <c r="F54">
        <v>73.625</v>
      </c>
      <c r="G54">
        <v>111.625</v>
      </c>
      <c r="H54">
        <v>2.875</v>
      </c>
      <c r="I54" s="51">
        <v>99</v>
      </c>
      <c r="J54">
        <v>0</v>
      </c>
      <c r="K54">
        <v>0</v>
      </c>
      <c r="L54">
        <v>0</v>
      </c>
      <c r="M54">
        <v>0</v>
      </c>
      <c r="N54">
        <v>0</v>
      </c>
      <c r="O54">
        <v>0.5</v>
      </c>
      <c r="P54">
        <v>0</v>
      </c>
      <c r="Q54">
        <v>1.5</v>
      </c>
      <c r="R54">
        <v>0</v>
      </c>
      <c r="S54">
        <v>0.5</v>
      </c>
      <c r="T54">
        <v>0</v>
      </c>
      <c r="U54">
        <v>0.5</v>
      </c>
      <c r="V54">
        <v>0</v>
      </c>
      <c r="W54">
        <v>4.25</v>
      </c>
      <c r="X54">
        <v>0</v>
      </c>
      <c r="Y54">
        <v>0</v>
      </c>
      <c r="Z54">
        <v>0.25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0.25</v>
      </c>
      <c r="AT54">
        <v>0</v>
      </c>
      <c r="AU54">
        <v>0</v>
      </c>
      <c r="AV54">
        <v>0</v>
      </c>
      <c r="AW54">
        <v>0</v>
      </c>
      <c r="AX54">
        <v>0.25</v>
      </c>
      <c r="AY54">
        <v>0</v>
      </c>
      <c r="AZ54">
        <v>0</v>
      </c>
      <c r="BA54">
        <v>0</v>
      </c>
      <c r="BB54">
        <v>2.75</v>
      </c>
      <c r="BC54">
        <v>1.75</v>
      </c>
      <c r="BD54">
        <v>0</v>
      </c>
      <c r="BE54">
        <v>0.5</v>
      </c>
      <c r="BF54">
        <v>3.5</v>
      </c>
      <c r="BG54">
        <v>3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0.25</v>
      </c>
      <c r="BT54">
        <v>0</v>
      </c>
      <c r="BU54">
        <v>0.25</v>
      </c>
      <c r="BV54">
        <v>0</v>
      </c>
      <c r="BW54">
        <v>4</v>
      </c>
      <c r="BX54">
        <v>0.75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4338.75</v>
      </c>
      <c r="CG54">
        <v>150</v>
      </c>
      <c r="CH54">
        <v>1730</v>
      </c>
      <c r="CI54">
        <v>155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2.75</v>
      </c>
      <c r="CT54">
        <v>0.75</v>
      </c>
      <c r="CU54">
        <v>0.5</v>
      </c>
      <c r="CV54">
        <v>0.25</v>
      </c>
      <c r="CW54">
        <v>0</v>
      </c>
      <c r="CX54">
        <v>0.25</v>
      </c>
      <c r="CY54">
        <v>0</v>
      </c>
      <c r="CZ54">
        <v>2.75</v>
      </c>
      <c r="DA54">
        <v>0.25</v>
      </c>
      <c r="DB54">
        <v>0</v>
      </c>
      <c r="DC54">
        <v>6.5</v>
      </c>
      <c r="DD54">
        <v>0.5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0.75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0.25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5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0.5</v>
      </c>
      <c r="EP54" s="51">
        <v>99</v>
      </c>
      <c r="EQ54" t="s">
        <v>0</v>
      </c>
      <c r="ER54" t="s">
        <v>439</v>
      </c>
      <c r="ES54">
        <v>102.75</v>
      </c>
      <c r="ET54">
        <v>73.625</v>
      </c>
      <c r="EU54">
        <v>111.625</v>
      </c>
      <c r="EV54">
        <v>2.875</v>
      </c>
      <c r="EW54" s="51">
        <v>99</v>
      </c>
      <c r="EX54">
        <f t="shared" si="4"/>
        <v>0</v>
      </c>
      <c r="EY54">
        <f t="shared" si="5"/>
        <v>0</v>
      </c>
      <c r="EZ54">
        <f t="shared" si="6"/>
        <v>0</v>
      </c>
      <c r="FA54">
        <f t="shared" si="6"/>
        <v>1</v>
      </c>
      <c r="FB54">
        <f t="shared" si="6"/>
        <v>0</v>
      </c>
      <c r="FC54">
        <f t="shared" si="6"/>
        <v>2</v>
      </c>
      <c r="FD54">
        <f t="shared" si="7"/>
        <v>0</v>
      </c>
      <c r="FE54">
        <f t="shared" si="7"/>
        <v>4.25</v>
      </c>
      <c r="FF54">
        <f t="shared" si="8"/>
        <v>0.25</v>
      </c>
      <c r="FG54">
        <f t="shared" si="9"/>
        <v>0</v>
      </c>
      <c r="FH54">
        <f t="shared" si="10"/>
        <v>0</v>
      </c>
      <c r="FI54">
        <f t="shared" si="11"/>
        <v>0</v>
      </c>
      <c r="FJ54">
        <f t="shared" si="11"/>
        <v>0</v>
      </c>
      <c r="FK54">
        <f t="shared" si="11"/>
        <v>0</v>
      </c>
      <c r="FL54">
        <f t="shared" si="11"/>
        <v>0</v>
      </c>
      <c r="FM54">
        <f t="shared" si="12"/>
        <v>0</v>
      </c>
      <c r="FN54">
        <f t="shared" si="12"/>
        <v>0</v>
      </c>
      <c r="FO54">
        <f t="shared" si="12"/>
        <v>0.25</v>
      </c>
      <c r="FP54">
        <f t="shared" si="13"/>
        <v>0</v>
      </c>
      <c r="FQ54">
        <f t="shared" si="13"/>
        <v>0.25</v>
      </c>
      <c r="FR54">
        <f t="shared" si="13"/>
        <v>0</v>
      </c>
      <c r="FS54">
        <f t="shared" si="14"/>
        <v>0</v>
      </c>
      <c r="FT54">
        <f t="shared" si="14"/>
        <v>0.5</v>
      </c>
      <c r="FU54">
        <f t="shared" si="14"/>
        <v>6.25</v>
      </c>
      <c r="FV54">
        <f t="shared" si="14"/>
        <v>4.75</v>
      </c>
      <c r="FW54">
        <f t="shared" si="15"/>
        <v>0</v>
      </c>
      <c r="FX54">
        <f t="shared" si="15"/>
        <v>0</v>
      </c>
      <c r="FY54">
        <f t="shared" si="15"/>
        <v>0</v>
      </c>
      <c r="FZ54">
        <f t="shared" si="16"/>
        <v>0</v>
      </c>
      <c r="GA54">
        <f t="shared" si="16"/>
        <v>0</v>
      </c>
      <c r="GB54">
        <f t="shared" si="17"/>
        <v>0.25</v>
      </c>
      <c r="GC54">
        <f t="shared" si="18"/>
        <v>4</v>
      </c>
      <c r="GD54">
        <f t="shared" si="18"/>
        <v>1</v>
      </c>
      <c r="GE54">
        <f t="shared" si="18"/>
        <v>0</v>
      </c>
      <c r="GF54">
        <f t="shared" si="19"/>
        <v>0</v>
      </c>
      <c r="GG54">
        <f t="shared" si="19"/>
        <v>0</v>
      </c>
      <c r="GH54">
        <f t="shared" si="19"/>
        <v>0</v>
      </c>
      <c r="GI54">
        <f t="shared" si="20"/>
        <v>6068.75</v>
      </c>
      <c r="GJ54">
        <f t="shared" si="20"/>
        <v>305</v>
      </c>
      <c r="GK54">
        <f t="shared" si="21"/>
        <v>0</v>
      </c>
      <c r="GL54">
        <f t="shared" si="22"/>
        <v>0</v>
      </c>
      <c r="GM54">
        <f t="shared" si="23"/>
        <v>0</v>
      </c>
      <c r="GN54">
        <f t="shared" si="23"/>
        <v>0</v>
      </c>
      <c r="GO54">
        <f t="shared" si="24"/>
        <v>0</v>
      </c>
      <c r="GP54">
        <f t="shared" si="25"/>
        <v>3.5</v>
      </c>
      <c r="GQ54">
        <f t="shared" si="26"/>
        <v>0.75</v>
      </c>
      <c r="GR54">
        <f t="shared" si="27"/>
        <v>0.25</v>
      </c>
      <c r="GS54">
        <f t="shared" si="28"/>
        <v>0</v>
      </c>
      <c r="GT54">
        <f t="shared" si="28"/>
        <v>9.25</v>
      </c>
      <c r="GU54">
        <f t="shared" si="28"/>
        <v>0.75</v>
      </c>
      <c r="GV54">
        <f t="shared" si="29"/>
        <v>0</v>
      </c>
      <c r="GW54">
        <f t="shared" si="29"/>
        <v>0</v>
      </c>
      <c r="GX54">
        <f t="shared" si="29"/>
        <v>0.75</v>
      </c>
      <c r="GY54">
        <f t="shared" si="30"/>
        <v>0</v>
      </c>
      <c r="GZ54">
        <f t="shared" si="31"/>
        <v>0</v>
      </c>
      <c r="HA54">
        <f t="shared" si="32"/>
        <v>0</v>
      </c>
      <c r="HB54">
        <f t="shared" si="33"/>
        <v>0.25</v>
      </c>
      <c r="HC54">
        <f t="shared" si="34"/>
        <v>0</v>
      </c>
      <c r="HD54">
        <f t="shared" si="35"/>
        <v>0</v>
      </c>
      <c r="HE54">
        <f t="shared" si="36"/>
        <v>0</v>
      </c>
      <c r="HF54">
        <f t="shared" si="37"/>
        <v>0</v>
      </c>
      <c r="HG54">
        <f t="shared" si="38"/>
        <v>0</v>
      </c>
      <c r="HH54">
        <f t="shared" si="39"/>
        <v>5</v>
      </c>
      <c r="HI54">
        <f t="shared" si="40"/>
        <v>0</v>
      </c>
      <c r="HJ54">
        <f t="shared" si="41"/>
        <v>0</v>
      </c>
      <c r="HK54">
        <f t="shared" si="42"/>
        <v>0</v>
      </c>
      <c r="HL54">
        <f t="shared" si="43"/>
        <v>0</v>
      </c>
      <c r="HM54">
        <f t="shared" si="44"/>
        <v>0.5</v>
      </c>
      <c r="HO54" s="51">
        <v>99</v>
      </c>
      <c r="HP54" t="s">
        <v>0</v>
      </c>
      <c r="HQ54" t="s">
        <v>439</v>
      </c>
      <c r="HR54">
        <v>102.75</v>
      </c>
      <c r="HS54">
        <v>73.625</v>
      </c>
      <c r="HT54">
        <v>111.625</v>
      </c>
      <c r="HU54">
        <v>2.875</v>
      </c>
      <c r="HV54" s="51">
        <v>99</v>
      </c>
      <c r="HW54">
        <f t="shared" si="45"/>
        <v>0</v>
      </c>
      <c r="HX54">
        <f t="shared" si="45"/>
        <v>0</v>
      </c>
      <c r="HY54">
        <f t="shared" si="46"/>
        <v>3</v>
      </c>
      <c r="HZ54">
        <f t="shared" si="47"/>
        <v>4.25</v>
      </c>
      <c r="IA54">
        <f t="shared" si="48"/>
        <v>0.25</v>
      </c>
      <c r="IB54">
        <f t="shared" si="48"/>
        <v>0</v>
      </c>
      <c r="IC54">
        <f t="shared" si="48"/>
        <v>0</v>
      </c>
      <c r="ID54">
        <f t="shared" si="49"/>
        <v>0</v>
      </c>
      <c r="IE54">
        <f t="shared" si="50"/>
        <v>0.25</v>
      </c>
      <c r="IF54">
        <f t="shared" si="51"/>
        <v>0.25</v>
      </c>
      <c r="IG54">
        <f t="shared" si="52"/>
        <v>6.75</v>
      </c>
      <c r="IH54">
        <f t="shared" si="53"/>
        <v>4.75</v>
      </c>
      <c r="II54">
        <f t="shared" si="54"/>
        <v>0</v>
      </c>
      <c r="IJ54">
        <f t="shared" si="55"/>
        <v>0</v>
      </c>
      <c r="IK54">
        <f t="shared" si="56"/>
        <v>0</v>
      </c>
      <c r="IL54">
        <f t="shared" si="68"/>
        <v>0.25</v>
      </c>
      <c r="IM54">
        <f t="shared" si="57"/>
        <v>5</v>
      </c>
      <c r="IN54">
        <f t="shared" si="58"/>
        <v>0</v>
      </c>
      <c r="IO54">
        <f t="shared" si="69"/>
        <v>6068.75</v>
      </c>
      <c r="IP54">
        <f t="shared" si="69"/>
        <v>305</v>
      </c>
      <c r="IQ54">
        <f t="shared" si="69"/>
        <v>0</v>
      </c>
      <c r="IR54">
        <f t="shared" si="69"/>
        <v>0</v>
      </c>
      <c r="IS54">
        <f t="shared" si="69"/>
        <v>0</v>
      </c>
      <c r="IT54">
        <f t="shared" si="67"/>
        <v>0</v>
      </c>
      <c r="IU54">
        <f t="shared" si="67"/>
        <v>0</v>
      </c>
      <c r="IV54">
        <f t="shared" si="67"/>
        <v>3.5</v>
      </c>
      <c r="IW54">
        <f t="shared" si="67"/>
        <v>0.75</v>
      </c>
      <c r="IX54">
        <f t="shared" si="67"/>
        <v>0.25</v>
      </c>
      <c r="IY54">
        <f t="shared" si="59"/>
        <v>10</v>
      </c>
      <c r="IZ54">
        <f t="shared" si="70"/>
        <v>0.75</v>
      </c>
      <c r="JA54">
        <f t="shared" si="64"/>
        <v>0</v>
      </c>
      <c r="JB54">
        <f t="shared" si="64"/>
        <v>0</v>
      </c>
      <c r="JC54">
        <f t="shared" si="64"/>
        <v>0</v>
      </c>
      <c r="JD54">
        <f t="shared" si="64"/>
        <v>0.25</v>
      </c>
      <c r="JE54">
        <f t="shared" si="64"/>
        <v>0</v>
      </c>
      <c r="JF54">
        <f t="shared" si="64"/>
        <v>0</v>
      </c>
      <c r="JG54">
        <f t="shared" si="64"/>
        <v>0</v>
      </c>
      <c r="JH54">
        <f t="shared" si="64"/>
        <v>0</v>
      </c>
      <c r="JI54">
        <f t="shared" si="64"/>
        <v>0</v>
      </c>
      <c r="JJ54">
        <f t="shared" si="64"/>
        <v>5</v>
      </c>
      <c r="JK54">
        <f t="shared" si="64"/>
        <v>0</v>
      </c>
      <c r="JL54">
        <f t="shared" si="64"/>
        <v>0</v>
      </c>
      <c r="JM54">
        <f t="shared" si="64"/>
        <v>0</v>
      </c>
      <c r="JN54">
        <f t="shared" si="64"/>
        <v>0</v>
      </c>
      <c r="JO54">
        <f t="shared" si="64"/>
        <v>0.5</v>
      </c>
    </row>
    <row r="55" spans="2:275" x14ac:dyDescent="0.25">
      <c r="B55" s="51">
        <v>100</v>
      </c>
      <c r="C55" t="s">
        <v>440</v>
      </c>
      <c r="D55" t="s">
        <v>439</v>
      </c>
      <c r="E55">
        <v>77.5</v>
      </c>
      <c r="F55">
        <v>96.25</v>
      </c>
      <c r="G55">
        <v>107.625</v>
      </c>
      <c r="H55">
        <v>2.75</v>
      </c>
      <c r="I55" s="51">
        <v>100</v>
      </c>
      <c r="J55">
        <v>0</v>
      </c>
      <c r="K55">
        <v>0.25</v>
      </c>
      <c r="L55">
        <v>0</v>
      </c>
      <c r="M55">
        <v>0</v>
      </c>
      <c r="N55">
        <v>0</v>
      </c>
      <c r="O55">
        <v>0.25</v>
      </c>
      <c r="P55">
        <v>0</v>
      </c>
      <c r="Q55">
        <v>0.5</v>
      </c>
      <c r="R55">
        <v>0</v>
      </c>
      <c r="S55">
        <v>0.5</v>
      </c>
      <c r="T55">
        <v>0</v>
      </c>
      <c r="U55">
        <v>0.25</v>
      </c>
      <c r="V55">
        <v>0</v>
      </c>
      <c r="W55">
        <v>6.5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13</v>
      </c>
      <c r="AG55">
        <v>0</v>
      </c>
      <c r="AH55">
        <v>0</v>
      </c>
      <c r="AI55">
        <v>0</v>
      </c>
      <c r="AJ55">
        <v>0</v>
      </c>
      <c r="AK55">
        <v>0.5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0.25</v>
      </c>
      <c r="AR55">
        <v>0</v>
      </c>
      <c r="AS55">
        <v>0.25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0.75</v>
      </c>
      <c r="BC55">
        <v>0.75</v>
      </c>
      <c r="BD55">
        <v>0</v>
      </c>
      <c r="BE55">
        <v>0.5</v>
      </c>
      <c r="BF55">
        <v>2</v>
      </c>
      <c r="BG55">
        <v>1.75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0.25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1905</v>
      </c>
      <c r="CG55">
        <v>98</v>
      </c>
      <c r="CH55">
        <v>178.75</v>
      </c>
      <c r="CI55">
        <v>27.75</v>
      </c>
      <c r="CJ55">
        <v>0</v>
      </c>
      <c r="CK55">
        <v>10.5</v>
      </c>
      <c r="CL55">
        <v>0.25</v>
      </c>
      <c r="CM55">
        <v>0</v>
      </c>
      <c r="CN55">
        <v>0</v>
      </c>
      <c r="CO55">
        <v>0.75</v>
      </c>
      <c r="CP55">
        <v>0</v>
      </c>
      <c r="CQ55">
        <v>0</v>
      </c>
      <c r="CR55">
        <v>0</v>
      </c>
      <c r="CS55">
        <v>2</v>
      </c>
      <c r="CT55">
        <v>1.75</v>
      </c>
      <c r="CU55">
        <v>0</v>
      </c>
      <c r="CV55">
        <v>0.25</v>
      </c>
      <c r="CW55">
        <v>0</v>
      </c>
      <c r="CX55">
        <v>0</v>
      </c>
      <c r="CY55">
        <v>0</v>
      </c>
      <c r="CZ55">
        <v>0.75</v>
      </c>
      <c r="DA55">
        <v>0</v>
      </c>
      <c r="DB55">
        <v>0</v>
      </c>
      <c r="DC55">
        <v>0.25</v>
      </c>
      <c r="DD55">
        <v>0.5</v>
      </c>
      <c r="DE55">
        <v>0</v>
      </c>
      <c r="DF55">
        <v>0</v>
      </c>
      <c r="DG55">
        <v>0</v>
      </c>
      <c r="DH55">
        <v>1.25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P55" s="51">
        <v>100</v>
      </c>
      <c r="EQ55" t="s">
        <v>440</v>
      </c>
      <c r="ER55" t="s">
        <v>439</v>
      </c>
      <c r="ES55">
        <v>77.5</v>
      </c>
      <c r="ET55">
        <v>96.25</v>
      </c>
      <c r="EU55">
        <v>107.625</v>
      </c>
      <c r="EV55">
        <v>2.75</v>
      </c>
      <c r="EW55" s="51">
        <v>100</v>
      </c>
      <c r="EX55">
        <f t="shared" si="4"/>
        <v>0.25</v>
      </c>
      <c r="EY55">
        <f t="shared" si="5"/>
        <v>0</v>
      </c>
      <c r="EZ55">
        <f t="shared" si="6"/>
        <v>0</v>
      </c>
      <c r="FA55">
        <f t="shared" si="6"/>
        <v>0.75</v>
      </c>
      <c r="FB55">
        <f t="shared" si="6"/>
        <v>0</v>
      </c>
      <c r="FC55">
        <f t="shared" si="6"/>
        <v>0.75</v>
      </c>
      <c r="FD55">
        <f t="shared" si="7"/>
        <v>0</v>
      </c>
      <c r="FE55">
        <f t="shared" si="7"/>
        <v>6.5</v>
      </c>
      <c r="FF55">
        <f t="shared" si="8"/>
        <v>0</v>
      </c>
      <c r="FG55">
        <f t="shared" si="9"/>
        <v>0</v>
      </c>
      <c r="FH55">
        <f t="shared" si="10"/>
        <v>0</v>
      </c>
      <c r="FI55">
        <f t="shared" si="11"/>
        <v>13</v>
      </c>
      <c r="FJ55">
        <f t="shared" si="11"/>
        <v>0.5</v>
      </c>
      <c r="FK55">
        <f t="shared" si="11"/>
        <v>0</v>
      </c>
      <c r="FL55">
        <f t="shared" si="11"/>
        <v>0</v>
      </c>
      <c r="FM55">
        <f t="shared" si="12"/>
        <v>0.25</v>
      </c>
      <c r="FN55">
        <f t="shared" si="12"/>
        <v>0</v>
      </c>
      <c r="FO55">
        <f t="shared" si="12"/>
        <v>0.25</v>
      </c>
      <c r="FP55">
        <f t="shared" si="13"/>
        <v>0</v>
      </c>
      <c r="FQ55">
        <f t="shared" si="13"/>
        <v>0</v>
      </c>
      <c r="FR55">
        <f t="shared" si="13"/>
        <v>0</v>
      </c>
      <c r="FS55">
        <f t="shared" si="14"/>
        <v>0</v>
      </c>
      <c r="FT55">
        <f t="shared" si="14"/>
        <v>0.5</v>
      </c>
      <c r="FU55">
        <f t="shared" si="14"/>
        <v>2.75</v>
      </c>
      <c r="FV55">
        <f t="shared" si="14"/>
        <v>2.5</v>
      </c>
      <c r="FW55">
        <f t="shared" si="15"/>
        <v>0</v>
      </c>
      <c r="FX55">
        <f t="shared" si="15"/>
        <v>0</v>
      </c>
      <c r="FY55">
        <f t="shared" si="15"/>
        <v>0</v>
      </c>
      <c r="FZ55">
        <f t="shared" si="16"/>
        <v>0</v>
      </c>
      <c r="GA55">
        <f t="shared" si="16"/>
        <v>0</v>
      </c>
      <c r="GB55">
        <f t="shared" si="17"/>
        <v>0</v>
      </c>
      <c r="GC55">
        <f t="shared" si="18"/>
        <v>0</v>
      </c>
      <c r="GD55">
        <f t="shared" si="18"/>
        <v>0.25</v>
      </c>
      <c r="GE55">
        <f t="shared" si="18"/>
        <v>0</v>
      </c>
      <c r="GF55">
        <f t="shared" si="19"/>
        <v>0</v>
      </c>
      <c r="GG55">
        <f t="shared" si="19"/>
        <v>0</v>
      </c>
      <c r="GH55">
        <f t="shared" si="19"/>
        <v>0</v>
      </c>
      <c r="GI55">
        <f t="shared" si="20"/>
        <v>2083.75</v>
      </c>
      <c r="GJ55">
        <f t="shared" si="20"/>
        <v>125.75</v>
      </c>
      <c r="GK55">
        <f t="shared" si="21"/>
        <v>10.5</v>
      </c>
      <c r="GL55">
        <f t="shared" si="22"/>
        <v>0.25</v>
      </c>
      <c r="GM55">
        <f t="shared" si="23"/>
        <v>0.75</v>
      </c>
      <c r="GN55">
        <f t="shared" si="23"/>
        <v>0</v>
      </c>
      <c r="GO55">
        <f t="shared" si="24"/>
        <v>0</v>
      </c>
      <c r="GP55">
        <f t="shared" si="25"/>
        <v>3.75</v>
      </c>
      <c r="GQ55">
        <f t="shared" si="26"/>
        <v>0.25</v>
      </c>
      <c r="GR55">
        <f t="shared" si="27"/>
        <v>0</v>
      </c>
      <c r="GS55">
        <f t="shared" si="28"/>
        <v>0</v>
      </c>
      <c r="GT55">
        <f t="shared" si="28"/>
        <v>1</v>
      </c>
      <c r="GU55">
        <f t="shared" si="28"/>
        <v>0.5</v>
      </c>
      <c r="GV55">
        <f t="shared" si="29"/>
        <v>1.25</v>
      </c>
      <c r="GW55">
        <f t="shared" si="29"/>
        <v>0</v>
      </c>
      <c r="GX55">
        <f t="shared" si="29"/>
        <v>0</v>
      </c>
      <c r="GY55">
        <f t="shared" si="30"/>
        <v>0</v>
      </c>
      <c r="GZ55">
        <f t="shared" si="31"/>
        <v>0</v>
      </c>
      <c r="HA55">
        <f t="shared" si="32"/>
        <v>0</v>
      </c>
      <c r="HB55">
        <f t="shared" si="33"/>
        <v>0</v>
      </c>
      <c r="HC55">
        <f t="shared" si="34"/>
        <v>0</v>
      </c>
      <c r="HD55">
        <f t="shared" si="35"/>
        <v>0</v>
      </c>
      <c r="HE55">
        <f t="shared" si="36"/>
        <v>0</v>
      </c>
      <c r="HF55">
        <f t="shared" si="37"/>
        <v>0</v>
      </c>
      <c r="HG55">
        <f t="shared" si="38"/>
        <v>0</v>
      </c>
      <c r="HH55">
        <f t="shared" si="39"/>
        <v>0</v>
      </c>
      <c r="HI55">
        <f t="shared" si="40"/>
        <v>0</v>
      </c>
      <c r="HJ55">
        <f t="shared" si="41"/>
        <v>0</v>
      </c>
      <c r="HK55">
        <f t="shared" si="42"/>
        <v>0</v>
      </c>
      <c r="HL55">
        <f t="shared" si="43"/>
        <v>0</v>
      </c>
      <c r="HM55">
        <f t="shared" si="44"/>
        <v>0</v>
      </c>
      <c r="HO55" s="51">
        <v>100</v>
      </c>
      <c r="HP55" t="s">
        <v>440</v>
      </c>
      <c r="HQ55" t="s">
        <v>439</v>
      </c>
      <c r="HR55">
        <v>77.5</v>
      </c>
      <c r="HS55">
        <v>96.25</v>
      </c>
      <c r="HT55">
        <v>107.625</v>
      </c>
      <c r="HU55">
        <v>2.75</v>
      </c>
      <c r="HV55" s="51">
        <v>100</v>
      </c>
      <c r="HW55">
        <f t="shared" si="45"/>
        <v>0.25</v>
      </c>
      <c r="HX55">
        <f t="shared" si="45"/>
        <v>0</v>
      </c>
      <c r="HY55">
        <f t="shared" si="46"/>
        <v>1.5</v>
      </c>
      <c r="HZ55">
        <f t="shared" si="47"/>
        <v>6.5</v>
      </c>
      <c r="IA55">
        <f t="shared" si="48"/>
        <v>0</v>
      </c>
      <c r="IB55">
        <f t="shared" si="48"/>
        <v>0</v>
      </c>
      <c r="IC55">
        <f t="shared" si="48"/>
        <v>0</v>
      </c>
      <c r="ID55">
        <f t="shared" si="49"/>
        <v>13.5</v>
      </c>
      <c r="IE55">
        <f t="shared" si="50"/>
        <v>0.5</v>
      </c>
      <c r="IF55">
        <f t="shared" si="51"/>
        <v>0</v>
      </c>
      <c r="IG55">
        <f t="shared" si="52"/>
        <v>3.25</v>
      </c>
      <c r="IH55">
        <f t="shared" si="53"/>
        <v>2.5</v>
      </c>
      <c r="II55">
        <f t="shared" si="54"/>
        <v>0</v>
      </c>
      <c r="IJ55">
        <f t="shared" si="55"/>
        <v>0</v>
      </c>
      <c r="IK55">
        <f t="shared" si="56"/>
        <v>0</v>
      </c>
      <c r="IL55">
        <f t="shared" si="68"/>
        <v>0</v>
      </c>
      <c r="IM55">
        <f t="shared" si="57"/>
        <v>0.25</v>
      </c>
      <c r="IN55">
        <f t="shared" si="58"/>
        <v>0</v>
      </c>
      <c r="IO55">
        <f t="shared" si="69"/>
        <v>2083.75</v>
      </c>
      <c r="IP55">
        <f t="shared" si="69"/>
        <v>125.75</v>
      </c>
      <c r="IQ55">
        <f t="shared" si="69"/>
        <v>10.5</v>
      </c>
      <c r="IR55">
        <f t="shared" si="69"/>
        <v>0.25</v>
      </c>
      <c r="IS55">
        <f t="shared" si="69"/>
        <v>0.75</v>
      </c>
      <c r="IT55">
        <f t="shared" si="67"/>
        <v>0</v>
      </c>
      <c r="IU55">
        <f t="shared" si="67"/>
        <v>0</v>
      </c>
      <c r="IV55">
        <f t="shared" si="67"/>
        <v>3.75</v>
      </c>
      <c r="IW55">
        <f t="shared" si="67"/>
        <v>0.25</v>
      </c>
      <c r="IX55">
        <f t="shared" si="67"/>
        <v>0</v>
      </c>
      <c r="IY55">
        <f t="shared" si="59"/>
        <v>1.5</v>
      </c>
      <c r="IZ55">
        <f t="shared" si="70"/>
        <v>1.25</v>
      </c>
      <c r="JA55">
        <f t="shared" si="64"/>
        <v>0</v>
      </c>
      <c r="JB55">
        <f t="shared" si="64"/>
        <v>0</v>
      </c>
      <c r="JC55">
        <f t="shared" si="64"/>
        <v>0</v>
      </c>
      <c r="JD55">
        <f t="shared" si="64"/>
        <v>0</v>
      </c>
      <c r="JE55">
        <f t="shared" si="64"/>
        <v>0</v>
      </c>
      <c r="JF55">
        <f t="shared" si="64"/>
        <v>0</v>
      </c>
      <c r="JG55">
        <f t="shared" si="64"/>
        <v>0</v>
      </c>
      <c r="JH55">
        <f t="shared" si="64"/>
        <v>0</v>
      </c>
      <c r="JI55">
        <f t="shared" si="64"/>
        <v>0</v>
      </c>
      <c r="JJ55">
        <f t="shared" si="64"/>
        <v>0</v>
      </c>
      <c r="JK55">
        <f t="shared" si="64"/>
        <v>0</v>
      </c>
      <c r="JL55">
        <f t="shared" si="64"/>
        <v>0</v>
      </c>
      <c r="JM55">
        <f t="shared" si="64"/>
        <v>0</v>
      </c>
      <c r="JN55">
        <f t="shared" si="64"/>
        <v>0</v>
      </c>
      <c r="JO55">
        <f t="shared" si="64"/>
        <v>0</v>
      </c>
    </row>
    <row r="56" spans="2:275" x14ac:dyDescent="0.25">
      <c r="B56" s="51">
        <v>104</v>
      </c>
      <c r="C56" t="s">
        <v>16</v>
      </c>
      <c r="D56" t="s">
        <v>439</v>
      </c>
      <c r="E56">
        <v>81.625</v>
      </c>
      <c r="F56">
        <v>112.5</v>
      </c>
      <c r="G56">
        <v>79.75</v>
      </c>
      <c r="H56">
        <v>2.5</v>
      </c>
      <c r="I56" s="51">
        <v>104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1.25</v>
      </c>
      <c r="Q56">
        <v>0.25</v>
      </c>
      <c r="R56">
        <v>0</v>
      </c>
      <c r="S56">
        <v>0.25</v>
      </c>
      <c r="T56">
        <v>1.25</v>
      </c>
      <c r="U56">
        <v>0.5</v>
      </c>
      <c r="V56">
        <v>0</v>
      </c>
      <c r="W56">
        <v>3.5</v>
      </c>
      <c r="X56">
        <v>0</v>
      </c>
      <c r="Y56">
        <v>0.25</v>
      </c>
      <c r="Z56">
        <v>0.5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1.5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2.75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12.25</v>
      </c>
      <c r="BX56">
        <v>4.75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0.25</v>
      </c>
      <c r="CF56">
        <v>815</v>
      </c>
      <c r="CG56">
        <v>336.5</v>
      </c>
      <c r="CH56">
        <v>112.25</v>
      </c>
      <c r="CI56">
        <v>134.75</v>
      </c>
      <c r="CJ56">
        <v>0</v>
      </c>
      <c r="CK56">
        <v>2.25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0.25</v>
      </c>
      <c r="CT56">
        <v>4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0.25</v>
      </c>
      <c r="DD56">
        <v>0</v>
      </c>
      <c r="DE56">
        <v>0</v>
      </c>
      <c r="DF56">
        <v>0</v>
      </c>
      <c r="DG56">
        <v>0.5</v>
      </c>
      <c r="DH56">
        <v>1.5</v>
      </c>
      <c r="DI56">
        <v>0.25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0.25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P56" s="51">
        <v>104</v>
      </c>
      <c r="EQ56" t="s">
        <v>16</v>
      </c>
      <c r="ER56" t="s">
        <v>439</v>
      </c>
      <c r="ES56">
        <v>81.625</v>
      </c>
      <c r="ET56">
        <v>112.5</v>
      </c>
      <c r="EU56">
        <v>79.75</v>
      </c>
      <c r="EV56">
        <v>2.5</v>
      </c>
      <c r="EW56" s="51">
        <v>104</v>
      </c>
      <c r="EX56">
        <f t="shared" si="4"/>
        <v>0</v>
      </c>
      <c r="EY56">
        <f t="shared" si="5"/>
        <v>0</v>
      </c>
      <c r="EZ56">
        <f t="shared" si="6"/>
        <v>0</v>
      </c>
      <c r="FA56">
        <f t="shared" si="6"/>
        <v>0.25</v>
      </c>
      <c r="FB56">
        <f t="shared" si="6"/>
        <v>2.5</v>
      </c>
      <c r="FC56">
        <f t="shared" si="6"/>
        <v>0.75</v>
      </c>
      <c r="FD56">
        <f t="shared" si="7"/>
        <v>0</v>
      </c>
      <c r="FE56">
        <f t="shared" si="7"/>
        <v>3.75</v>
      </c>
      <c r="FF56">
        <f t="shared" si="8"/>
        <v>0.5</v>
      </c>
      <c r="FG56">
        <f t="shared" si="9"/>
        <v>0</v>
      </c>
      <c r="FH56">
        <f t="shared" si="10"/>
        <v>0</v>
      </c>
      <c r="FI56">
        <f t="shared" si="11"/>
        <v>0</v>
      </c>
      <c r="FJ56">
        <f t="shared" si="11"/>
        <v>0.25</v>
      </c>
      <c r="FK56">
        <f t="shared" si="11"/>
        <v>0</v>
      </c>
      <c r="FL56">
        <f t="shared" si="11"/>
        <v>0</v>
      </c>
      <c r="FM56">
        <f t="shared" si="12"/>
        <v>1</v>
      </c>
      <c r="FN56">
        <f t="shared" si="12"/>
        <v>1.5</v>
      </c>
      <c r="FO56">
        <f t="shared" si="12"/>
        <v>0</v>
      </c>
      <c r="FP56">
        <f t="shared" si="13"/>
        <v>0</v>
      </c>
      <c r="FQ56">
        <f t="shared" si="13"/>
        <v>0</v>
      </c>
      <c r="FR56">
        <f t="shared" si="13"/>
        <v>0</v>
      </c>
      <c r="FS56">
        <f t="shared" si="14"/>
        <v>0</v>
      </c>
      <c r="FT56">
        <f t="shared" si="14"/>
        <v>2.75</v>
      </c>
      <c r="FU56">
        <f t="shared" si="14"/>
        <v>0</v>
      </c>
      <c r="FV56">
        <f t="shared" si="14"/>
        <v>0</v>
      </c>
      <c r="FW56">
        <f t="shared" si="15"/>
        <v>0</v>
      </c>
      <c r="FX56">
        <f t="shared" si="15"/>
        <v>0</v>
      </c>
      <c r="FY56">
        <f t="shared" si="15"/>
        <v>0</v>
      </c>
      <c r="FZ56">
        <f t="shared" si="16"/>
        <v>0</v>
      </c>
      <c r="GA56">
        <f t="shared" si="16"/>
        <v>0</v>
      </c>
      <c r="GB56">
        <f t="shared" si="17"/>
        <v>0</v>
      </c>
      <c r="GC56">
        <f t="shared" si="18"/>
        <v>12.25</v>
      </c>
      <c r="GD56">
        <f t="shared" si="18"/>
        <v>4.75</v>
      </c>
      <c r="GE56">
        <f t="shared" si="18"/>
        <v>0</v>
      </c>
      <c r="GF56">
        <f t="shared" si="19"/>
        <v>0</v>
      </c>
      <c r="GG56">
        <f t="shared" si="19"/>
        <v>0</v>
      </c>
      <c r="GH56">
        <f t="shared" si="19"/>
        <v>0.25</v>
      </c>
      <c r="GI56">
        <f t="shared" si="20"/>
        <v>927.25</v>
      </c>
      <c r="GJ56">
        <f t="shared" si="20"/>
        <v>471.25</v>
      </c>
      <c r="GK56">
        <f t="shared" si="21"/>
        <v>2.25</v>
      </c>
      <c r="GL56">
        <f t="shared" si="22"/>
        <v>0</v>
      </c>
      <c r="GM56">
        <f t="shared" si="23"/>
        <v>0</v>
      </c>
      <c r="GN56">
        <f t="shared" si="23"/>
        <v>0</v>
      </c>
      <c r="GO56">
        <f t="shared" si="24"/>
        <v>0</v>
      </c>
      <c r="GP56">
        <f t="shared" si="25"/>
        <v>4.25</v>
      </c>
      <c r="GQ56">
        <f t="shared" si="26"/>
        <v>0</v>
      </c>
      <c r="GR56">
        <f t="shared" si="27"/>
        <v>0</v>
      </c>
      <c r="GS56">
        <f t="shared" si="28"/>
        <v>0</v>
      </c>
      <c r="GT56">
        <f t="shared" si="28"/>
        <v>0.25</v>
      </c>
      <c r="GU56">
        <f t="shared" si="28"/>
        <v>0</v>
      </c>
      <c r="GV56">
        <f t="shared" si="29"/>
        <v>1.5</v>
      </c>
      <c r="GW56">
        <f t="shared" si="29"/>
        <v>0.25</v>
      </c>
      <c r="GX56">
        <f t="shared" si="29"/>
        <v>0.5</v>
      </c>
      <c r="GY56">
        <f t="shared" si="30"/>
        <v>0</v>
      </c>
      <c r="GZ56">
        <f t="shared" si="31"/>
        <v>0</v>
      </c>
      <c r="HA56">
        <f t="shared" si="32"/>
        <v>0</v>
      </c>
      <c r="HB56">
        <f t="shared" si="33"/>
        <v>0</v>
      </c>
      <c r="HC56">
        <f t="shared" si="34"/>
        <v>0</v>
      </c>
      <c r="HD56">
        <f t="shared" si="35"/>
        <v>0</v>
      </c>
      <c r="HE56">
        <f t="shared" si="36"/>
        <v>0</v>
      </c>
      <c r="HF56">
        <f t="shared" si="37"/>
        <v>0</v>
      </c>
      <c r="HG56">
        <f t="shared" si="38"/>
        <v>0.25</v>
      </c>
      <c r="HH56">
        <f t="shared" si="39"/>
        <v>0</v>
      </c>
      <c r="HI56">
        <f t="shared" si="40"/>
        <v>0</v>
      </c>
      <c r="HJ56">
        <f t="shared" si="41"/>
        <v>0</v>
      </c>
      <c r="HK56">
        <f t="shared" si="42"/>
        <v>0</v>
      </c>
      <c r="HL56">
        <f t="shared" si="43"/>
        <v>0</v>
      </c>
      <c r="HM56">
        <f t="shared" si="44"/>
        <v>0</v>
      </c>
      <c r="HO56" s="51">
        <v>104</v>
      </c>
      <c r="HP56" t="s">
        <v>16</v>
      </c>
      <c r="HQ56" t="s">
        <v>439</v>
      </c>
      <c r="HR56">
        <v>81.625</v>
      </c>
      <c r="HS56">
        <v>112.5</v>
      </c>
      <c r="HT56">
        <v>79.75</v>
      </c>
      <c r="HU56">
        <v>2.5</v>
      </c>
      <c r="HV56" s="51">
        <v>104</v>
      </c>
      <c r="HW56">
        <f t="shared" si="45"/>
        <v>0</v>
      </c>
      <c r="HX56">
        <f t="shared" si="45"/>
        <v>0</v>
      </c>
      <c r="HY56">
        <f t="shared" si="46"/>
        <v>3.5</v>
      </c>
      <c r="HZ56">
        <f t="shared" si="47"/>
        <v>3.75</v>
      </c>
      <c r="IA56">
        <f t="shared" si="48"/>
        <v>0.5</v>
      </c>
      <c r="IB56">
        <f t="shared" si="48"/>
        <v>0</v>
      </c>
      <c r="IC56">
        <f t="shared" si="48"/>
        <v>0</v>
      </c>
      <c r="ID56">
        <f t="shared" si="49"/>
        <v>0.25</v>
      </c>
      <c r="IE56">
        <f t="shared" si="50"/>
        <v>2.5</v>
      </c>
      <c r="IF56">
        <f t="shared" si="51"/>
        <v>0</v>
      </c>
      <c r="IG56">
        <f t="shared" si="52"/>
        <v>2.75</v>
      </c>
      <c r="IH56">
        <f t="shared" si="53"/>
        <v>0</v>
      </c>
      <c r="II56">
        <f t="shared" si="54"/>
        <v>0</v>
      </c>
      <c r="IJ56">
        <f t="shared" si="55"/>
        <v>0</v>
      </c>
      <c r="IK56">
        <f t="shared" si="56"/>
        <v>0</v>
      </c>
      <c r="IL56">
        <f t="shared" si="68"/>
        <v>0</v>
      </c>
      <c r="IM56">
        <f t="shared" si="57"/>
        <v>17</v>
      </c>
      <c r="IN56">
        <f t="shared" si="58"/>
        <v>0.25</v>
      </c>
      <c r="IO56">
        <f t="shared" si="69"/>
        <v>927.25</v>
      </c>
      <c r="IP56">
        <f t="shared" si="69"/>
        <v>471.25</v>
      </c>
      <c r="IQ56">
        <f t="shared" si="69"/>
        <v>2.25</v>
      </c>
      <c r="IR56">
        <f t="shared" si="69"/>
        <v>0</v>
      </c>
      <c r="IS56">
        <f t="shared" si="69"/>
        <v>0</v>
      </c>
      <c r="IT56">
        <f t="shared" si="67"/>
        <v>0</v>
      </c>
      <c r="IU56">
        <f t="shared" si="67"/>
        <v>0</v>
      </c>
      <c r="IV56">
        <f t="shared" si="67"/>
        <v>4.25</v>
      </c>
      <c r="IW56">
        <f t="shared" si="67"/>
        <v>0</v>
      </c>
      <c r="IX56">
        <f t="shared" si="67"/>
        <v>0</v>
      </c>
      <c r="IY56">
        <f t="shared" si="59"/>
        <v>0.25</v>
      </c>
      <c r="IZ56">
        <f t="shared" si="70"/>
        <v>2.25</v>
      </c>
      <c r="JA56">
        <f t="shared" si="64"/>
        <v>0</v>
      </c>
      <c r="JB56">
        <f t="shared" si="64"/>
        <v>0</v>
      </c>
      <c r="JC56">
        <f t="shared" si="64"/>
        <v>0</v>
      </c>
      <c r="JD56">
        <f t="shared" si="64"/>
        <v>0</v>
      </c>
      <c r="JE56">
        <f t="shared" si="64"/>
        <v>0</v>
      </c>
      <c r="JF56">
        <f t="shared" si="64"/>
        <v>0</v>
      </c>
      <c r="JG56">
        <f t="shared" si="64"/>
        <v>0</v>
      </c>
      <c r="JH56">
        <f t="shared" si="64"/>
        <v>0</v>
      </c>
      <c r="JI56">
        <f t="shared" si="64"/>
        <v>0.25</v>
      </c>
      <c r="JJ56">
        <f t="shared" si="64"/>
        <v>0</v>
      </c>
      <c r="JK56">
        <f t="shared" si="64"/>
        <v>0</v>
      </c>
      <c r="JL56">
        <f t="shared" si="64"/>
        <v>0</v>
      </c>
      <c r="JM56">
        <f t="shared" si="64"/>
        <v>0</v>
      </c>
      <c r="JN56">
        <f t="shared" si="64"/>
        <v>0</v>
      </c>
      <c r="JO56">
        <f t="shared" si="64"/>
        <v>0</v>
      </c>
    </row>
    <row r="57" spans="2:275" x14ac:dyDescent="0.25">
      <c r="B57" s="51">
        <v>113</v>
      </c>
      <c r="C57" t="s">
        <v>16</v>
      </c>
      <c r="D57" t="s">
        <v>439</v>
      </c>
      <c r="E57">
        <v>95.375</v>
      </c>
      <c r="F57">
        <v>105</v>
      </c>
      <c r="G57">
        <v>73.125</v>
      </c>
      <c r="H57">
        <v>2.75</v>
      </c>
      <c r="I57" s="51">
        <v>113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0.5</v>
      </c>
      <c r="R57">
        <v>0</v>
      </c>
      <c r="S57">
        <v>0.5</v>
      </c>
      <c r="T57">
        <v>0.25</v>
      </c>
      <c r="U57">
        <v>0.25</v>
      </c>
      <c r="V57">
        <v>0</v>
      </c>
      <c r="W57">
        <v>3.75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0.25</v>
      </c>
      <c r="AR57">
        <v>0.25</v>
      </c>
      <c r="AS57">
        <v>0.25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0.25</v>
      </c>
      <c r="BC57">
        <v>0</v>
      </c>
      <c r="BD57">
        <v>0</v>
      </c>
      <c r="BE57">
        <v>0</v>
      </c>
      <c r="BF57">
        <v>1.25</v>
      </c>
      <c r="BG57">
        <v>1.25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8.5</v>
      </c>
      <c r="BX57">
        <v>3.5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4.75</v>
      </c>
      <c r="CG57">
        <v>95</v>
      </c>
      <c r="CH57">
        <v>4</v>
      </c>
      <c r="CI57">
        <v>35.5</v>
      </c>
      <c r="CJ57">
        <v>0</v>
      </c>
      <c r="CK57">
        <v>30.5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0.25</v>
      </c>
      <c r="CT57">
        <v>1</v>
      </c>
      <c r="CU57">
        <v>0</v>
      </c>
      <c r="CV57">
        <v>0</v>
      </c>
      <c r="CW57">
        <v>0</v>
      </c>
      <c r="CX57">
        <v>3.25</v>
      </c>
      <c r="CY57">
        <v>0</v>
      </c>
      <c r="CZ57">
        <v>0</v>
      </c>
      <c r="DA57">
        <v>0</v>
      </c>
      <c r="DB57">
        <v>0</v>
      </c>
      <c r="DC57">
        <v>0.5</v>
      </c>
      <c r="DD57">
        <v>0.75</v>
      </c>
      <c r="DE57">
        <v>0</v>
      </c>
      <c r="DF57">
        <v>0</v>
      </c>
      <c r="DG57">
        <v>0</v>
      </c>
      <c r="DH57">
        <v>4.75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0.25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0.75</v>
      </c>
      <c r="EP57" s="51">
        <v>113</v>
      </c>
      <c r="EQ57" t="s">
        <v>16</v>
      </c>
      <c r="ER57" t="s">
        <v>439</v>
      </c>
      <c r="ES57">
        <v>95.375</v>
      </c>
      <c r="ET57">
        <v>105</v>
      </c>
      <c r="EU57">
        <v>73.125</v>
      </c>
      <c r="EV57">
        <v>2.75</v>
      </c>
      <c r="EW57" s="51">
        <v>113</v>
      </c>
      <c r="EX57">
        <f t="shared" si="4"/>
        <v>0</v>
      </c>
      <c r="EY57">
        <f t="shared" si="5"/>
        <v>0</v>
      </c>
      <c r="EZ57">
        <f t="shared" si="6"/>
        <v>0</v>
      </c>
      <c r="FA57">
        <f t="shared" si="6"/>
        <v>0.5</v>
      </c>
      <c r="FB57">
        <f t="shared" si="6"/>
        <v>0.25</v>
      </c>
      <c r="FC57">
        <f t="shared" si="6"/>
        <v>0.75</v>
      </c>
      <c r="FD57">
        <f t="shared" si="7"/>
        <v>0</v>
      </c>
      <c r="FE57">
        <f t="shared" si="7"/>
        <v>3.75</v>
      </c>
      <c r="FF57">
        <f t="shared" si="8"/>
        <v>0</v>
      </c>
      <c r="FG57">
        <f t="shared" si="9"/>
        <v>0</v>
      </c>
      <c r="FH57">
        <f t="shared" si="10"/>
        <v>0</v>
      </c>
      <c r="FI57">
        <f t="shared" si="11"/>
        <v>0</v>
      </c>
      <c r="FJ57">
        <f t="shared" si="11"/>
        <v>0</v>
      </c>
      <c r="FK57">
        <f t="shared" si="11"/>
        <v>0</v>
      </c>
      <c r="FL57">
        <f t="shared" si="11"/>
        <v>0</v>
      </c>
      <c r="FM57">
        <f t="shared" si="12"/>
        <v>0.25</v>
      </c>
      <c r="FN57">
        <f t="shared" si="12"/>
        <v>0.25</v>
      </c>
      <c r="FO57">
        <f t="shared" si="12"/>
        <v>0.25</v>
      </c>
      <c r="FP57">
        <f t="shared" si="13"/>
        <v>0</v>
      </c>
      <c r="FQ57">
        <f t="shared" si="13"/>
        <v>0</v>
      </c>
      <c r="FR57">
        <f t="shared" si="13"/>
        <v>0</v>
      </c>
      <c r="FS57">
        <f t="shared" si="14"/>
        <v>0</v>
      </c>
      <c r="FT57">
        <f t="shared" si="14"/>
        <v>0</v>
      </c>
      <c r="FU57">
        <f t="shared" si="14"/>
        <v>1.5</v>
      </c>
      <c r="FV57">
        <f t="shared" si="14"/>
        <v>1.25</v>
      </c>
      <c r="FW57">
        <f t="shared" si="15"/>
        <v>0</v>
      </c>
      <c r="FX57">
        <f t="shared" si="15"/>
        <v>0</v>
      </c>
      <c r="FY57">
        <f t="shared" si="15"/>
        <v>0</v>
      </c>
      <c r="FZ57">
        <f t="shared" si="16"/>
        <v>0</v>
      </c>
      <c r="GA57">
        <f t="shared" si="16"/>
        <v>0</v>
      </c>
      <c r="GB57">
        <f t="shared" si="17"/>
        <v>0</v>
      </c>
      <c r="GC57">
        <f t="shared" si="18"/>
        <v>8.5</v>
      </c>
      <c r="GD57">
        <f t="shared" si="18"/>
        <v>3.5</v>
      </c>
      <c r="GE57">
        <f t="shared" si="18"/>
        <v>0</v>
      </c>
      <c r="GF57">
        <f t="shared" si="19"/>
        <v>0</v>
      </c>
      <c r="GG57">
        <f t="shared" si="19"/>
        <v>0</v>
      </c>
      <c r="GH57">
        <f t="shared" si="19"/>
        <v>0</v>
      </c>
      <c r="GI57">
        <f t="shared" si="20"/>
        <v>8.75</v>
      </c>
      <c r="GJ57">
        <f t="shared" si="20"/>
        <v>130.5</v>
      </c>
      <c r="GK57">
        <f t="shared" si="21"/>
        <v>30.5</v>
      </c>
      <c r="GL57">
        <f t="shared" si="22"/>
        <v>0</v>
      </c>
      <c r="GM57">
        <f t="shared" si="23"/>
        <v>0</v>
      </c>
      <c r="GN57">
        <f t="shared" si="23"/>
        <v>0</v>
      </c>
      <c r="GO57">
        <f t="shared" si="24"/>
        <v>0</v>
      </c>
      <c r="GP57">
        <f t="shared" si="25"/>
        <v>1.25</v>
      </c>
      <c r="GQ57">
        <f t="shared" si="26"/>
        <v>0</v>
      </c>
      <c r="GR57">
        <f t="shared" si="27"/>
        <v>3.25</v>
      </c>
      <c r="GS57">
        <f t="shared" si="28"/>
        <v>0</v>
      </c>
      <c r="GT57">
        <f t="shared" si="28"/>
        <v>0.5</v>
      </c>
      <c r="GU57">
        <f t="shared" si="28"/>
        <v>0.75</v>
      </c>
      <c r="GV57">
        <f t="shared" si="29"/>
        <v>4.75</v>
      </c>
      <c r="GW57">
        <f t="shared" si="29"/>
        <v>0</v>
      </c>
      <c r="GX57">
        <f t="shared" si="29"/>
        <v>0</v>
      </c>
      <c r="GY57">
        <f t="shared" si="30"/>
        <v>0</v>
      </c>
      <c r="GZ57">
        <f t="shared" si="31"/>
        <v>0</v>
      </c>
      <c r="HA57">
        <f t="shared" si="32"/>
        <v>0</v>
      </c>
      <c r="HB57">
        <f t="shared" si="33"/>
        <v>0</v>
      </c>
      <c r="HC57">
        <f t="shared" si="34"/>
        <v>0.25</v>
      </c>
      <c r="HD57">
        <f t="shared" si="35"/>
        <v>0</v>
      </c>
      <c r="HE57">
        <f t="shared" si="36"/>
        <v>0</v>
      </c>
      <c r="HF57">
        <f t="shared" si="37"/>
        <v>0</v>
      </c>
      <c r="HG57">
        <f t="shared" si="38"/>
        <v>0</v>
      </c>
      <c r="HH57">
        <f t="shared" si="39"/>
        <v>0</v>
      </c>
      <c r="HI57">
        <f t="shared" si="40"/>
        <v>0</v>
      </c>
      <c r="HJ57">
        <f t="shared" si="41"/>
        <v>0</v>
      </c>
      <c r="HK57">
        <f t="shared" si="42"/>
        <v>0</v>
      </c>
      <c r="HL57">
        <f t="shared" si="43"/>
        <v>0</v>
      </c>
      <c r="HM57">
        <f t="shared" si="44"/>
        <v>0.75</v>
      </c>
      <c r="HO57" s="51">
        <v>113</v>
      </c>
      <c r="HP57" t="s">
        <v>16</v>
      </c>
      <c r="HQ57" t="s">
        <v>439</v>
      </c>
      <c r="HR57">
        <v>95.375</v>
      </c>
      <c r="HS57">
        <v>105</v>
      </c>
      <c r="HT57">
        <v>73.125</v>
      </c>
      <c r="HU57">
        <v>2.75</v>
      </c>
      <c r="HV57" s="51">
        <v>113</v>
      </c>
      <c r="HW57">
        <f t="shared" si="45"/>
        <v>0</v>
      </c>
      <c r="HX57">
        <f t="shared" si="45"/>
        <v>0</v>
      </c>
      <c r="HY57">
        <f t="shared" si="46"/>
        <v>1.5</v>
      </c>
      <c r="HZ57">
        <f t="shared" si="47"/>
        <v>3.75</v>
      </c>
      <c r="IA57">
        <f t="shared" si="48"/>
        <v>0</v>
      </c>
      <c r="IB57">
        <f t="shared" si="48"/>
        <v>0</v>
      </c>
      <c r="IC57">
        <f t="shared" si="48"/>
        <v>0</v>
      </c>
      <c r="ID57">
        <f t="shared" si="49"/>
        <v>0</v>
      </c>
      <c r="IE57">
        <f t="shared" si="50"/>
        <v>0.75</v>
      </c>
      <c r="IF57">
        <f t="shared" si="51"/>
        <v>0</v>
      </c>
      <c r="IG57">
        <f t="shared" si="52"/>
        <v>1.5</v>
      </c>
      <c r="IH57">
        <f t="shared" si="53"/>
        <v>1.25</v>
      </c>
      <c r="II57">
        <f t="shared" si="54"/>
        <v>0</v>
      </c>
      <c r="IJ57">
        <f t="shared" si="55"/>
        <v>0</v>
      </c>
      <c r="IK57">
        <f t="shared" si="56"/>
        <v>0</v>
      </c>
      <c r="IL57">
        <f t="shared" si="68"/>
        <v>0</v>
      </c>
      <c r="IM57">
        <f t="shared" si="57"/>
        <v>12</v>
      </c>
      <c r="IN57">
        <f t="shared" si="58"/>
        <v>0</v>
      </c>
      <c r="IO57">
        <f t="shared" si="69"/>
        <v>8.75</v>
      </c>
      <c r="IP57">
        <f t="shared" si="69"/>
        <v>130.5</v>
      </c>
      <c r="IQ57">
        <f t="shared" si="69"/>
        <v>30.5</v>
      </c>
      <c r="IR57">
        <f t="shared" si="69"/>
        <v>0</v>
      </c>
      <c r="IS57">
        <f t="shared" si="69"/>
        <v>0</v>
      </c>
      <c r="IT57">
        <f t="shared" si="67"/>
        <v>0</v>
      </c>
      <c r="IU57">
        <f t="shared" si="67"/>
        <v>0</v>
      </c>
      <c r="IV57">
        <f t="shared" si="67"/>
        <v>1.25</v>
      </c>
      <c r="IW57">
        <f t="shared" si="67"/>
        <v>0</v>
      </c>
      <c r="IX57">
        <f t="shared" si="67"/>
        <v>3.25</v>
      </c>
      <c r="IY57">
        <f t="shared" si="59"/>
        <v>1.25</v>
      </c>
      <c r="IZ57">
        <f t="shared" si="70"/>
        <v>4.75</v>
      </c>
      <c r="JA57">
        <f t="shared" si="64"/>
        <v>0</v>
      </c>
      <c r="JB57">
        <f t="shared" si="64"/>
        <v>0</v>
      </c>
      <c r="JC57">
        <f t="shared" si="64"/>
        <v>0</v>
      </c>
      <c r="JD57">
        <f t="shared" si="64"/>
        <v>0</v>
      </c>
      <c r="JE57">
        <f t="shared" si="64"/>
        <v>0.25</v>
      </c>
      <c r="JF57">
        <f t="shared" si="64"/>
        <v>0</v>
      </c>
      <c r="JG57">
        <f t="shared" si="64"/>
        <v>0</v>
      </c>
      <c r="JH57">
        <f t="shared" si="64"/>
        <v>0</v>
      </c>
      <c r="JI57">
        <f t="shared" si="64"/>
        <v>0</v>
      </c>
      <c r="JJ57">
        <f t="shared" si="64"/>
        <v>0</v>
      </c>
      <c r="JK57">
        <f t="shared" si="64"/>
        <v>0</v>
      </c>
      <c r="JL57">
        <f t="shared" si="64"/>
        <v>0</v>
      </c>
      <c r="JM57">
        <f t="shared" si="64"/>
        <v>0</v>
      </c>
      <c r="JN57">
        <f t="shared" si="64"/>
        <v>0</v>
      </c>
      <c r="JO57">
        <f t="shared" si="64"/>
        <v>0.75</v>
      </c>
    </row>
    <row r="58" spans="2:275" x14ac:dyDescent="0.25">
      <c r="B58" s="51">
        <v>115</v>
      </c>
      <c r="C58" t="s">
        <v>0</v>
      </c>
      <c r="D58" t="s">
        <v>439</v>
      </c>
      <c r="E58">
        <v>97.125</v>
      </c>
      <c r="F58">
        <v>140</v>
      </c>
      <c r="G58">
        <v>122.5</v>
      </c>
      <c r="H58">
        <v>2.125</v>
      </c>
      <c r="I58" s="51">
        <v>115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0.75</v>
      </c>
      <c r="R58">
        <v>0</v>
      </c>
      <c r="S58">
        <v>0</v>
      </c>
      <c r="T58">
        <v>1.75</v>
      </c>
      <c r="U58">
        <v>1.75</v>
      </c>
      <c r="V58">
        <v>0.5</v>
      </c>
      <c r="W58">
        <v>10.25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0.25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0.5</v>
      </c>
      <c r="BB58">
        <v>0.25</v>
      </c>
      <c r="BC58">
        <v>0.25</v>
      </c>
      <c r="BD58">
        <v>0</v>
      </c>
      <c r="BE58">
        <v>5.25</v>
      </c>
      <c r="BF58">
        <v>0.75</v>
      </c>
      <c r="BG58">
        <v>0.25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0.25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14.25</v>
      </c>
      <c r="BX58">
        <v>8.25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141.25</v>
      </c>
      <c r="CG58">
        <v>231.5</v>
      </c>
      <c r="CH58">
        <v>48.75</v>
      </c>
      <c r="CI58">
        <v>101</v>
      </c>
      <c r="CJ58">
        <v>0</v>
      </c>
      <c r="CK58">
        <v>15.5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0.75</v>
      </c>
      <c r="CT58">
        <v>3.75</v>
      </c>
      <c r="CU58">
        <v>0</v>
      </c>
      <c r="CV58">
        <v>0</v>
      </c>
      <c r="CW58">
        <v>0</v>
      </c>
      <c r="CX58">
        <v>13.25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2.5</v>
      </c>
      <c r="DI58">
        <v>0.5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2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P58" s="51">
        <v>115</v>
      </c>
      <c r="EQ58" t="s">
        <v>0</v>
      </c>
      <c r="ER58" t="s">
        <v>439</v>
      </c>
      <c r="ES58">
        <v>97.125</v>
      </c>
      <c r="ET58">
        <v>140</v>
      </c>
      <c r="EU58">
        <v>122.5</v>
      </c>
      <c r="EV58">
        <v>2.125</v>
      </c>
      <c r="EW58" s="51">
        <v>115</v>
      </c>
      <c r="EX58">
        <f t="shared" si="4"/>
        <v>0</v>
      </c>
      <c r="EY58">
        <f t="shared" si="5"/>
        <v>0</v>
      </c>
      <c r="EZ58">
        <f t="shared" si="6"/>
        <v>0</v>
      </c>
      <c r="FA58">
        <f t="shared" si="6"/>
        <v>0</v>
      </c>
      <c r="FB58">
        <f t="shared" si="6"/>
        <v>3.75</v>
      </c>
      <c r="FC58">
        <f t="shared" si="6"/>
        <v>2.5</v>
      </c>
      <c r="FD58">
        <f t="shared" si="7"/>
        <v>0.5</v>
      </c>
      <c r="FE58">
        <f t="shared" si="7"/>
        <v>10.25</v>
      </c>
      <c r="FF58">
        <f t="shared" si="8"/>
        <v>0</v>
      </c>
      <c r="FG58">
        <f t="shared" si="9"/>
        <v>0</v>
      </c>
      <c r="FH58">
        <f t="shared" si="10"/>
        <v>0</v>
      </c>
      <c r="FI58">
        <f t="shared" si="11"/>
        <v>0</v>
      </c>
      <c r="FJ58">
        <f t="shared" si="11"/>
        <v>0</v>
      </c>
      <c r="FK58">
        <f t="shared" si="11"/>
        <v>0</v>
      </c>
      <c r="FL58">
        <f t="shared" si="11"/>
        <v>0</v>
      </c>
      <c r="FM58">
        <f t="shared" si="12"/>
        <v>0</v>
      </c>
      <c r="FN58">
        <f t="shared" si="12"/>
        <v>0.25</v>
      </c>
      <c r="FO58">
        <f t="shared" si="12"/>
        <v>0</v>
      </c>
      <c r="FP58">
        <f t="shared" si="13"/>
        <v>0</v>
      </c>
      <c r="FQ58">
        <f t="shared" si="13"/>
        <v>0</v>
      </c>
      <c r="FR58">
        <f t="shared" si="13"/>
        <v>0</v>
      </c>
      <c r="FS58">
        <f t="shared" si="14"/>
        <v>0</v>
      </c>
      <c r="FT58">
        <f t="shared" si="14"/>
        <v>5.75</v>
      </c>
      <c r="FU58">
        <f t="shared" si="14"/>
        <v>1</v>
      </c>
      <c r="FV58">
        <f t="shared" si="14"/>
        <v>0.5</v>
      </c>
      <c r="FW58">
        <f t="shared" si="15"/>
        <v>0</v>
      </c>
      <c r="FX58">
        <f t="shared" si="15"/>
        <v>0</v>
      </c>
      <c r="FY58">
        <f t="shared" si="15"/>
        <v>0.25</v>
      </c>
      <c r="FZ58">
        <f t="shared" si="16"/>
        <v>0</v>
      </c>
      <c r="GA58">
        <f t="shared" si="16"/>
        <v>0</v>
      </c>
      <c r="GB58">
        <f t="shared" si="17"/>
        <v>0</v>
      </c>
      <c r="GC58">
        <f t="shared" si="18"/>
        <v>14.25</v>
      </c>
      <c r="GD58">
        <f t="shared" si="18"/>
        <v>8.25</v>
      </c>
      <c r="GE58">
        <f t="shared" si="18"/>
        <v>0</v>
      </c>
      <c r="GF58">
        <f t="shared" si="19"/>
        <v>0</v>
      </c>
      <c r="GG58">
        <f t="shared" si="19"/>
        <v>0</v>
      </c>
      <c r="GH58">
        <f t="shared" si="19"/>
        <v>0</v>
      </c>
      <c r="GI58">
        <f t="shared" si="20"/>
        <v>190</v>
      </c>
      <c r="GJ58">
        <f t="shared" si="20"/>
        <v>332.5</v>
      </c>
      <c r="GK58">
        <f t="shared" si="21"/>
        <v>15.5</v>
      </c>
      <c r="GL58">
        <f t="shared" si="22"/>
        <v>0</v>
      </c>
      <c r="GM58">
        <f t="shared" si="23"/>
        <v>0</v>
      </c>
      <c r="GN58">
        <f t="shared" si="23"/>
        <v>0</v>
      </c>
      <c r="GO58">
        <f t="shared" si="24"/>
        <v>0</v>
      </c>
      <c r="GP58">
        <f t="shared" si="25"/>
        <v>4.5</v>
      </c>
      <c r="GQ58">
        <f t="shared" si="26"/>
        <v>0</v>
      </c>
      <c r="GR58">
        <f t="shared" si="27"/>
        <v>13.25</v>
      </c>
      <c r="GS58">
        <f t="shared" si="28"/>
        <v>0</v>
      </c>
      <c r="GT58">
        <f t="shared" si="28"/>
        <v>0</v>
      </c>
      <c r="GU58">
        <f t="shared" si="28"/>
        <v>0</v>
      </c>
      <c r="GV58">
        <f t="shared" si="29"/>
        <v>2.5</v>
      </c>
      <c r="GW58">
        <f t="shared" si="29"/>
        <v>0.5</v>
      </c>
      <c r="GX58">
        <f t="shared" si="29"/>
        <v>0</v>
      </c>
      <c r="GY58">
        <f t="shared" si="30"/>
        <v>0</v>
      </c>
      <c r="GZ58">
        <f t="shared" si="31"/>
        <v>0</v>
      </c>
      <c r="HA58">
        <f t="shared" si="32"/>
        <v>0</v>
      </c>
      <c r="HB58">
        <f t="shared" si="33"/>
        <v>0</v>
      </c>
      <c r="HC58">
        <f t="shared" si="34"/>
        <v>0</v>
      </c>
      <c r="HD58">
        <f t="shared" si="35"/>
        <v>0</v>
      </c>
      <c r="HE58">
        <f t="shared" si="36"/>
        <v>0</v>
      </c>
      <c r="HF58">
        <f t="shared" si="37"/>
        <v>0</v>
      </c>
      <c r="HG58">
        <f t="shared" si="38"/>
        <v>0</v>
      </c>
      <c r="HH58">
        <f t="shared" si="39"/>
        <v>2</v>
      </c>
      <c r="HI58">
        <f t="shared" si="40"/>
        <v>0</v>
      </c>
      <c r="HJ58">
        <f t="shared" si="41"/>
        <v>0</v>
      </c>
      <c r="HK58">
        <f t="shared" si="42"/>
        <v>0</v>
      </c>
      <c r="HL58">
        <f t="shared" si="43"/>
        <v>0</v>
      </c>
      <c r="HM58">
        <f t="shared" si="44"/>
        <v>0</v>
      </c>
      <c r="HO58" s="51">
        <v>115</v>
      </c>
      <c r="HP58" t="s">
        <v>0</v>
      </c>
      <c r="HQ58" t="s">
        <v>439</v>
      </c>
      <c r="HR58">
        <v>97.125</v>
      </c>
      <c r="HS58">
        <v>140</v>
      </c>
      <c r="HT58">
        <v>122.5</v>
      </c>
      <c r="HU58">
        <v>2.125</v>
      </c>
      <c r="HV58" s="51">
        <v>115</v>
      </c>
      <c r="HW58">
        <f t="shared" si="45"/>
        <v>0</v>
      </c>
      <c r="HX58">
        <f t="shared" si="45"/>
        <v>0</v>
      </c>
      <c r="HY58">
        <f t="shared" si="46"/>
        <v>6.25</v>
      </c>
      <c r="HZ58">
        <f t="shared" si="47"/>
        <v>10.75</v>
      </c>
      <c r="IA58">
        <f t="shared" si="48"/>
        <v>0</v>
      </c>
      <c r="IB58">
        <f t="shared" si="48"/>
        <v>0</v>
      </c>
      <c r="IC58">
        <f t="shared" si="48"/>
        <v>0</v>
      </c>
      <c r="ID58">
        <f t="shared" si="49"/>
        <v>0</v>
      </c>
      <c r="IE58">
        <f t="shared" si="50"/>
        <v>0.25</v>
      </c>
      <c r="IF58">
        <f t="shared" si="51"/>
        <v>0</v>
      </c>
      <c r="IG58">
        <f t="shared" si="52"/>
        <v>6.75</v>
      </c>
      <c r="IH58">
        <f t="shared" si="53"/>
        <v>0.5</v>
      </c>
      <c r="II58">
        <f t="shared" si="54"/>
        <v>0.25</v>
      </c>
      <c r="IJ58">
        <f t="shared" si="55"/>
        <v>0</v>
      </c>
      <c r="IK58">
        <f t="shared" si="56"/>
        <v>0</v>
      </c>
      <c r="IL58">
        <f t="shared" si="68"/>
        <v>0</v>
      </c>
      <c r="IM58">
        <f t="shared" si="57"/>
        <v>22.5</v>
      </c>
      <c r="IN58">
        <f t="shared" si="58"/>
        <v>0</v>
      </c>
      <c r="IO58">
        <f t="shared" si="69"/>
        <v>190</v>
      </c>
      <c r="IP58">
        <f t="shared" si="69"/>
        <v>332.5</v>
      </c>
      <c r="IQ58">
        <f t="shared" si="69"/>
        <v>15.5</v>
      </c>
      <c r="IR58">
        <f t="shared" si="69"/>
        <v>0</v>
      </c>
      <c r="IS58">
        <f t="shared" si="69"/>
        <v>0</v>
      </c>
      <c r="IT58">
        <f t="shared" si="67"/>
        <v>0</v>
      </c>
      <c r="IU58">
        <f t="shared" si="67"/>
        <v>0</v>
      </c>
      <c r="IV58">
        <f t="shared" si="67"/>
        <v>4.5</v>
      </c>
      <c r="IW58">
        <f t="shared" si="67"/>
        <v>0</v>
      </c>
      <c r="IX58">
        <f t="shared" si="67"/>
        <v>13.25</v>
      </c>
      <c r="IY58">
        <f t="shared" si="59"/>
        <v>0</v>
      </c>
      <c r="IZ58">
        <f t="shared" si="70"/>
        <v>3</v>
      </c>
      <c r="JA58">
        <f t="shared" si="64"/>
        <v>0</v>
      </c>
      <c r="JB58">
        <f t="shared" si="64"/>
        <v>0</v>
      </c>
      <c r="JC58">
        <f t="shared" si="64"/>
        <v>0</v>
      </c>
      <c r="JD58">
        <f t="shared" si="64"/>
        <v>0</v>
      </c>
      <c r="JE58">
        <f t="shared" si="64"/>
        <v>0</v>
      </c>
      <c r="JF58">
        <f t="shared" si="64"/>
        <v>0</v>
      </c>
      <c r="JG58">
        <f t="shared" si="64"/>
        <v>0</v>
      </c>
      <c r="JH58">
        <f t="shared" si="64"/>
        <v>0</v>
      </c>
      <c r="JI58">
        <f t="shared" si="64"/>
        <v>0</v>
      </c>
      <c r="JJ58">
        <f t="shared" si="64"/>
        <v>2</v>
      </c>
      <c r="JK58">
        <f t="shared" si="64"/>
        <v>0</v>
      </c>
      <c r="JL58">
        <f t="shared" si="64"/>
        <v>0</v>
      </c>
      <c r="JM58">
        <f t="shared" si="64"/>
        <v>0</v>
      </c>
      <c r="JN58">
        <f t="shared" si="64"/>
        <v>0</v>
      </c>
      <c r="JO58">
        <f t="shared" si="64"/>
        <v>0</v>
      </c>
    </row>
    <row r="59" spans="2:275" x14ac:dyDescent="0.25">
      <c r="B59" s="51">
        <v>116</v>
      </c>
      <c r="C59" t="s">
        <v>0</v>
      </c>
      <c r="D59" t="s">
        <v>439</v>
      </c>
      <c r="E59">
        <v>99.5</v>
      </c>
      <c r="F59">
        <v>157.5</v>
      </c>
      <c r="G59">
        <v>95</v>
      </c>
      <c r="H59">
        <v>2.5</v>
      </c>
      <c r="I59" s="51">
        <v>116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0.5</v>
      </c>
      <c r="Q59">
        <v>0.5</v>
      </c>
      <c r="R59">
        <v>0</v>
      </c>
      <c r="S59">
        <v>0</v>
      </c>
      <c r="T59">
        <v>0.5</v>
      </c>
      <c r="U59">
        <v>0</v>
      </c>
      <c r="V59">
        <v>1</v>
      </c>
      <c r="W59">
        <v>16.5</v>
      </c>
      <c r="X59">
        <v>0</v>
      </c>
      <c r="Y59">
        <v>0</v>
      </c>
      <c r="Z59">
        <v>0.5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</v>
      </c>
      <c r="BF59">
        <v>2.5</v>
      </c>
      <c r="BG59">
        <v>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</v>
      </c>
      <c r="BX59">
        <v>20.5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225</v>
      </c>
      <c r="CG59">
        <v>325</v>
      </c>
      <c r="CH59">
        <v>45</v>
      </c>
      <c r="CI59">
        <v>98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0.5</v>
      </c>
      <c r="CS59">
        <v>1</v>
      </c>
      <c r="CT59">
        <v>8</v>
      </c>
      <c r="CU59">
        <v>0</v>
      </c>
      <c r="CV59">
        <v>0</v>
      </c>
      <c r="CW59">
        <v>0</v>
      </c>
      <c r="CX59">
        <v>16.5</v>
      </c>
      <c r="CY59">
        <v>0</v>
      </c>
      <c r="CZ59">
        <v>0</v>
      </c>
      <c r="DA59">
        <v>0</v>
      </c>
      <c r="DB59">
        <v>0</v>
      </c>
      <c r="DC59">
        <v>0.5</v>
      </c>
      <c r="DD59">
        <v>1</v>
      </c>
      <c r="DE59">
        <v>0</v>
      </c>
      <c r="DF59">
        <v>0</v>
      </c>
      <c r="DG59">
        <v>0</v>
      </c>
      <c r="DH59">
        <v>5.5</v>
      </c>
      <c r="DI59">
        <v>0</v>
      </c>
      <c r="DJ59">
        <v>0.5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1</v>
      </c>
      <c r="EP59" s="51">
        <v>116</v>
      </c>
      <c r="EQ59" t="s">
        <v>0</v>
      </c>
      <c r="ER59" t="s">
        <v>439</v>
      </c>
      <c r="ES59">
        <v>99.5</v>
      </c>
      <c r="ET59">
        <v>157.5</v>
      </c>
      <c r="EU59">
        <v>95</v>
      </c>
      <c r="EV59">
        <v>2.5</v>
      </c>
      <c r="EW59" s="51">
        <v>116</v>
      </c>
      <c r="EX59">
        <f t="shared" si="4"/>
        <v>0</v>
      </c>
      <c r="EY59">
        <f t="shared" si="5"/>
        <v>1</v>
      </c>
      <c r="EZ59">
        <f t="shared" si="6"/>
        <v>0</v>
      </c>
      <c r="FA59">
        <f t="shared" si="6"/>
        <v>0</v>
      </c>
      <c r="FB59">
        <f t="shared" si="6"/>
        <v>1</v>
      </c>
      <c r="FC59">
        <f t="shared" si="6"/>
        <v>0.5</v>
      </c>
      <c r="FD59">
        <f t="shared" si="7"/>
        <v>1</v>
      </c>
      <c r="FE59">
        <f t="shared" si="7"/>
        <v>16.5</v>
      </c>
      <c r="FF59">
        <f t="shared" si="8"/>
        <v>0.5</v>
      </c>
      <c r="FG59">
        <f t="shared" si="9"/>
        <v>1</v>
      </c>
      <c r="FH59">
        <f t="shared" si="10"/>
        <v>0</v>
      </c>
      <c r="FI59">
        <f t="shared" si="11"/>
        <v>0</v>
      </c>
      <c r="FJ59">
        <f t="shared" si="11"/>
        <v>0</v>
      </c>
      <c r="FK59">
        <f t="shared" si="11"/>
        <v>0</v>
      </c>
      <c r="FL59">
        <f t="shared" si="11"/>
        <v>0</v>
      </c>
      <c r="FM59">
        <f t="shared" si="12"/>
        <v>1</v>
      </c>
      <c r="FN59">
        <f t="shared" si="12"/>
        <v>0</v>
      </c>
      <c r="FO59">
        <f t="shared" si="12"/>
        <v>0</v>
      </c>
      <c r="FP59">
        <f t="shared" si="13"/>
        <v>0</v>
      </c>
      <c r="FQ59">
        <f t="shared" si="13"/>
        <v>0</v>
      </c>
      <c r="FR59">
        <f t="shared" si="13"/>
        <v>0</v>
      </c>
      <c r="FS59">
        <f t="shared" si="14"/>
        <v>0</v>
      </c>
      <c r="FT59">
        <f t="shared" si="14"/>
        <v>4</v>
      </c>
      <c r="FU59">
        <f t="shared" si="14"/>
        <v>2.5</v>
      </c>
      <c r="FV59">
        <f t="shared" si="14"/>
        <v>2</v>
      </c>
      <c r="FW59">
        <f t="shared" si="15"/>
        <v>0</v>
      </c>
      <c r="FX59">
        <f t="shared" si="15"/>
        <v>0</v>
      </c>
      <c r="FY59">
        <f t="shared" si="15"/>
        <v>0</v>
      </c>
      <c r="FZ59">
        <f t="shared" si="16"/>
        <v>0</v>
      </c>
      <c r="GA59">
        <f t="shared" si="16"/>
        <v>0</v>
      </c>
      <c r="GB59">
        <f t="shared" si="17"/>
        <v>0</v>
      </c>
      <c r="GC59">
        <f t="shared" si="18"/>
        <v>7</v>
      </c>
      <c r="GD59">
        <f t="shared" si="18"/>
        <v>20.5</v>
      </c>
      <c r="GE59">
        <f t="shared" si="18"/>
        <v>0</v>
      </c>
      <c r="GF59">
        <f t="shared" si="19"/>
        <v>0</v>
      </c>
      <c r="GG59">
        <f t="shared" si="19"/>
        <v>0</v>
      </c>
      <c r="GH59">
        <f t="shared" si="19"/>
        <v>0</v>
      </c>
      <c r="GI59">
        <f t="shared" si="20"/>
        <v>270</v>
      </c>
      <c r="GJ59">
        <f t="shared" si="20"/>
        <v>423</v>
      </c>
      <c r="GK59">
        <f t="shared" si="21"/>
        <v>0</v>
      </c>
      <c r="GL59">
        <f t="shared" si="22"/>
        <v>0</v>
      </c>
      <c r="GM59">
        <f t="shared" si="23"/>
        <v>0</v>
      </c>
      <c r="GN59">
        <f t="shared" si="23"/>
        <v>0</v>
      </c>
      <c r="GO59">
        <f t="shared" si="24"/>
        <v>0.5</v>
      </c>
      <c r="GP59">
        <f t="shared" si="25"/>
        <v>9</v>
      </c>
      <c r="GQ59">
        <f t="shared" si="26"/>
        <v>0</v>
      </c>
      <c r="GR59">
        <f t="shared" si="27"/>
        <v>16.5</v>
      </c>
      <c r="GS59">
        <f t="shared" si="28"/>
        <v>0</v>
      </c>
      <c r="GT59">
        <f t="shared" si="28"/>
        <v>0.5</v>
      </c>
      <c r="GU59">
        <f t="shared" si="28"/>
        <v>1</v>
      </c>
      <c r="GV59">
        <f t="shared" si="29"/>
        <v>5.5</v>
      </c>
      <c r="GW59">
        <f t="shared" si="29"/>
        <v>0</v>
      </c>
      <c r="GX59">
        <f t="shared" si="29"/>
        <v>0.5</v>
      </c>
      <c r="GY59">
        <f t="shared" si="30"/>
        <v>0</v>
      </c>
      <c r="GZ59">
        <f t="shared" si="31"/>
        <v>0</v>
      </c>
      <c r="HA59">
        <f t="shared" si="32"/>
        <v>0</v>
      </c>
      <c r="HB59">
        <f t="shared" si="33"/>
        <v>0</v>
      </c>
      <c r="HC59">
        <f t="shared" si="34"/>
        <v>0</v>
      </c>
      <c r="HD59">
        <f t="shared" si="35"/>
        <v>0</v>
      </c>
      <c r="HE59">
        <f t="shared" si="36"/>
        <v>0</v>
      </c>
      <c r="HF59">
        <f t="shared" si="37"/>
        <v>0</v>
      </c>
      <c r="HG59">
        <f t="shared" si="38"/>
        <v>0</v>
      </c>
      <c r="HH59">
        <f t="shared" si="39"/>
        <v>0</v>
      </c>
      <c r="HI59">
        <f t="shared" si="40"/>
        <v>0</v>
      </c>
      <c r="HJ59">
        <f t="shared" si="41"/>
        <v>0</v>
      </c>
      <c r="HK59">
        <f t="shared" si="42"/>
        <v>0</v>
      </c>
      <c r="HL59">
        <f t="shared" si="43"/>
        <v>0</v>
      </c>
      <c r="HM59">
        <f t="shared" si="44"/>
        <v>1</v>
      </c>
      <c r="HO59" s="51">
        <v>116</v>
      </c>
      <c r="HP59" t="s">
        <v>0</v>
      </c>
      <c r="HQ59" t="s">
        <v>439</v>
      </c>
      <c r="HR59">
        <v>99.5</v>
      </c>
      <c r="HS59">
        <v>157.5</v>
      </c>
      <c r="HT59">
        <v>95</v>
      </c>
      <c r="HU59">
        <v>2.5</v>
      </c>
      <c r="HV59" s="51">
        <v>116</v>
      </c>
      <c r="HW59">
        <f t="shared" si="45"/>
        <v>0</v>
      </c>
      <c r="HX59">
        <f t="shared" si="45"/>
        <v>1</v>
      </c>
      <c r="HY59">
        <f t="shared" si="46"/>
        <v>1.5</v>
      </c>
      <c r="HZ59">
        <f t="shared" si="47"/>
        <v>17.5</v>
      </c>
      <c r="IA59">
        <f t="shared" si="48"/>
        <v>0.5</v>
      </c>
      <c r="IB59">
        <f t="shared" si="48"/>
        <v>1</v>
      </c>
      <c r="IC59">
        <f t="shared" si="48"/>
        <v>0</v>
      </c>
      <c r="ID59">
        <f t="shared" si="49"/>
        <v>0</v>
      </c>
      <c r="IE59">
        <f t="shared" si="50"/>
        <v>1</v>
      </c>
      <c r="IF59">
        <f t="shared" si="51"/>
        <v>0</v>
      </c>
      <c r="IG59">
        <f t="shared" si="52"/>
        <v>6.5</v>
      </c>
      <c r="IH59">
        <f t="shared" si="53"/>
        <v>2</v>
      </c>
      <c r="II59">
        <f t="shared" si="54"/>
        <v>0</v>
      </c>
      <c r="IJ59">
        <f t="shared" si="55"/>
        <v>0</v>
      </c>
      <c r="IK59">
        <f t="shared" si="56"/>
        <v>0</v>
      </c>
      <c r="IL59">
        <f t="shared" si="68"/>
        <v>0</v>
      </c>
      <c r="IM59">
        <f t="shared" si="57"/>
        <v>27.5</v>
      </c>
      <c r="IN59">
        <f t="shared" si="58"/>
        <v>0</v>
      </c>
      <c r="IO59">
        <f t="shared" si="69"/>
        <v>270</v>
      </c>
      <c r="IP59">
        <f t="shared" si="69"/>
        <v>423</v>
      </c>
      <c r="IQ59">
        <f t="shared" si="69"/>
        <v>0</v>
      </c>
      <c r="IR59">
        <f t="shared" si="69"/>
        <v>0</v>
      </c>
      <c r="IS59">
        <f t="shared" si="69"/>
        <v>0</v>
      </c>
      <c r="IT59">
        <f t="shared" si="67"/>
        <v>0</v>
      </c>
      <c r="IU59">
        <f t="shared" si="67"/>
        <v>0.5</v>
      </c>
      <c r="IV59">
        <f t="shared" si="67"/>
        <v>9</v>
      </c>
      <c r="IW59">
        <f t="shared" si="67"/>
        <v>0</v>
      </c>
      <c r="IX59">
        <f t="shared" si="67"/>
        <v>16.5</v>
      </c>
      <c r="IY59">
        <f t="shared" si="59"/>
        <v>1.5</v>
      </c>
      <c r="IZ59">
        <f t="shared" si="70"/>
        <v>6</v>
      </c>
      <c r="JA59">
        <f t="shared" ref="JA59:JO75" si="71">GY59</f>
        <v>0</v>
      </c>
      <c r="JB59">
        <f t="shared" si="71"/>
        <v>0</v>
      </c>
      <c r="JC59">
        <f t="shared" si="71"/>
        <v>0</v>
      </c>
      <c r="JD59">
        <f t="shared" si="71"/>
        <v>0</v>
      </c>
      <c r="JE59">
        <f t="shared" si="71"/>
        <v>0</v>
      </c>
      <c r="JF59">
        <f t="shared" si="71"/>
        <v>0</v>
      </c>
      <c r="JG59">
        <f t="shared" si="71"/>
        <v>0</v>
      </c>
      <c r="JH59">
        <f t="shared" si="71"/>
        <v>0</v>
      </c>
      <c r="JI59">
        <f t="shared" si="71"/>
        <v>0</v>
      </c>
      <c r="JJ59">
        <f t="shared" si="71"/>
        <v>0</v>
      </c>
      <c r="JK59">
        <f t="shared" si="71"/>
        <v>0</v>
      </c>
      <c r="JL59">
        <f t="shared" si="71"/>
        <v>0</v>
      </c>
      <c r="JM59">
        <f t="shared" si="71"/>
        <v>0</v>
      </c>
      <c r="JN59">
        <f t="shared" si="71"/>
        <v>0</v>
      </c>
      <c r="JO59">
        <f t="shared" si="71"/>
        <v>1</v>
      </c>
    </row>
    <row r="60" spans="2:275" x14ac:dyDescent="0.25">
      <c r="B60" s="51">
        <v>117</v>
      </c>
      <c r="C60" t="s">
        <v>0</v>
      </c>
      <c r="D60" t="s">
        <v>439</v>
      </c>
      <c r="E60">
        <v>77.5</v>
      </c>
      <c r="F60">
        <v>73.75</v>
      </c>
      <c r="G60">
        <v>87.375</v>
      </c>
      <c r="H60">
        <v>2.5</v>
      </c>
      <c r="I60" s="51">
        <v>117</v>
      </c>
      <c r="J60">
        <v>0</v>
      </c>
      <c r="K60">
        <v>0</v>
      </c>
      <c r="L60">
        <v>0</v>
      </c>
      <c r="M60">
        <v>0</v>
      </c>
      <c r="N60">
        <v>0</v>
      </c>
      <c r="O60">
        <v>2.5</v>
      </c>
      <c r="P60">
        <v>0.25</v>
      </c>
      <c r="Q60">
        <v>0</v>
      </c>
      <c r="R60">
        <v>0</v>
      </c>
      <c r="S60">
        <v>1.5</v>
      </c>
      <c r="T60">
        <v>0.5</v>
      </c>
      <c r="U60">
        <v>0.75</v>
      </c>
      <c r="V60">
        <v>0</v>
      </c>
      <c r="W60">
        <v>16</v>
      </c>
      <c r="X60">
        <v>0</v>
      </c>
      <c r="Y60">
        <v>0.5</v>
      </c>
      <c r="Z60">
        <v>0.25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1.25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0.25</v>
      </c>
      <c r="BB60">
        <v>0.75</v>
      </c>
      <c r="BC60">
        <v>0.75</v>
      </c>
      <c r="BD60">
        <v>0</v>
      </c>
      <c r="BE60">
        <v>4.25</v>
      </c>
      <c r="BF60">
        <v>1.25</v>
      </c>
      <c r="BG60">
        <v>0.75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7.25</v>
      </c>
      <c r="BX60">
        <v>14.75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227.75</v>
      </c>
      <c r="CG60">
        <v>92.5</v>
      </c>
      <c r="CH60">
        <v>89.25</v>
      </c>
      <c r="CI60">
        <v>127.5</v>
      </c>
      <c r="CJ60">
        <v>0</v>
      </c>
      <c r="CK60">
        <v>25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0.25</v>
      </c>
      <c r="CS60">
        <v>1.75</v>
      </c>
      <c r="CT60">
        <v>4.25</v>
      </c>
      <c r="CU60">
        <v>0</v>
      </c>
      <c r="CV60">
        <v>0.25</v>
      </c>
      <c r="CW60">
        <v>0</v>
      </c>
      <c r="CX60">
        <v>44.75</v>
      </c>
      <c r="CY60">
        <v>0</v>
      </c>
      <c r="CZ60">
        <v>0</v>
      </c>
      <c r="DA60">
        <v>0</v>
      </c>
      <c r="DB60">
        <v>0.25</v>
      </c>
      <c r="DC60">
        <v>1.5</v>
      </c>
      <c r="DD60">
        <v>1.25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1.75</v>
      </c>
      <c r="EP60" s="51">
        <v>117</v>
      </c>
      <c r="EQ60" t="s">
        <v>0</v>
      </c>
      <c r="ER60" t="s">
        <v>439</v>
      </c>
      <c r="ES60">
        <v>77.5</v>
      </c>
      <c r="ET60">
        <v>73.75</v>
      </c>
      <c r="EU60">
        <v>87.375</v>
      </c>
      <c r="EV60">
        <v>2.5</v>
      </c>
      <c r="EW60" s="51">
        <v>117</v>
      </c>
      <c r="EX60">
        <f t="shared" si="4"/>
        <v>0</v>
      </c>
      <c r="EY60">
        <f t="shared" si="5"/>
        <v>0</v>
      </c>
      <c r="EZ60">
        <f t="shared" si="6"/>
        <v>0</v>
      </c>
      <c r="FA60">
        <f t="shared" si="6"/>
        <v>4</v>
      </c>
      <c r="FB60">
        <f t="shared" si="6"/>
        <v>0.75</v>
      </c>
      <c r="FC60">
        <f t="shared" si="6"/>
        <v>0.75</v>
      </c>
      <c r="FD60">
        <f t="shared" si="7"/>
        <v>0</v>
      </c>
      <c r="FE60">
        <f t="shared" si="7"/>
        <v>16.5</v>
      </c>
      <c r="FF60">
        <f t="shared" si="8"/>
        <v>0.25</v>
      </c>
      <c r="FG60">
        <f t="shared" si="9"/>
        <v>0</v>
      </c>
      <c r="FH60">
        <f t="shared" si="10"/>
        <v>0</v>
      </c>
      <c r="FI60">
        <f t="shared" si="11"/>
        <v>0</v>
      </c>
      <c r="FJ60">
        <f t="shared" si="11"/>
        <v>0</v>
      </c>
      <c r="FK60">
        <f t="shared" si="11"/>
        <v>0</v>
      </c>
      <c r="FL60">
        <f t="shared" si="11"/>
        <v>0</v>
      </c>
      <c r="FM60">
        <f t="shared" si="12"/>
        <v>1.25</v>
      </c>
      <c r="FN60">
        <f t="shared" si="12"/>
        <v>0</v>
      </c>
      <c r="FO60">
        <f t="shared" si="12"/>
        <v>0</v>
      </c>
      <c r="FP60">
        <f t="shared" si="13"/>
        <v>0</v>
      </c>
      <c r="FQ60">
        <f t="shared" si="13"/>
        <v>0</v>
      </c>
      <c r="FR60">
        <f t="shared" si="13"/>
        <v>0</v>
      </c>
      <c r="FS60">
        <f t="shared" si="14"/>
        <v>0</v>
      </c>
      <c r="FT60">
        <f t="shared" si="14"/>
        <v>4.5</v>
      </c>
      <c r="FU60">
        <f t="shared" si="14"/>
        <v>2</v>
      </c>
      <c r="FV60">
        <f t="shared" si="14"/>
        <v>1.5</v>
      </c>
      <c r="FW60">
        <f t="shared" si="15"/>
        <v>0</v>
      </c>
      <c r="FX60">
        <f t="shared" si="15"/>
        <v>0</v>
      </c>
      <c r="FY60">
        <f t="shared" si="15"/>
        <v>0</v>
      </c>
      <c r="FZ60">
        <f t="shared" si="16"/>
        <v>0</v>
      </c>
      <c r="GA60">
        <f t="shared" si="16"/>
        <v>0</v>
      </c>
      <c r="GB60">
        <f t="shared" si="17"/>
        <v>0</v>
      </c>
      <c r="GC60">
        <f t="shared" si="18"/>
        <v>7.25</v>
      </c>
      <c r="GD60">
        <f t="shared" si="18"/>
        <v>14.75</v>
      </c>
      <c r="GE60">
        <f t="shared" si="18"/>
        <v>0</v>
      </c>
      <c r="GF60">
        <f t="shared" si="19"/>
        <v>0</v>
      </c>
      <c r="GG60">
        <f t="shared" si="19"/>
        <v>0</v>
      </c>
      <c r="GH60">
        <f t="shared" si="19"/>
        <v>0</v>
      </c>
      <c r="GI60">
        <f t="shared" si="20"/>
        <v>317</v>
      </c>
      <c r="GJ60">
        <f t="shared" si="20"/>
        <v>220</v>
      </c>
      <c r="GK60">
        <f t="shared" si="21"/>
        <v>25</v>
      </c>
      <c r="GL60">
        <f t="shared" si="22"/>
        <v>0</v>
      </c>
      <c r="GM60">
        <f t="shared" si="23"/>
        <v>0</v>
      </c>
      <c r="GN60">
        <f t="shared" si="23"/>
        <v>0</v>
      </c>
      <c r="GO60">
        <f t="shared" si="24"/>
        <v>0.25</v>
      </c>
      <c r="GP60">
        <f t="shared" si="25"/>
        <v>6</v>
      </c>
      <c r="GQ60">
        <f t="shared" si="26"/>
        <v>0.25</v>
      </c>
      <c r="GR60">
        <f t="shared" si="27"/>
        <v>44.75</v>
      </c>
      <c r="GS60">
        <f t="shared" si="28"/>
        <v>0.25</v>
      </c>
      <c r="GT60">
        <f t="shared" si="28"/>
        <v>1.5</v>
      </c>
      <c r="GU60">
        <f t="shared" si="28"/>
        <v>1.25</v>
      </c>
      <c r="GV60">
        <f t="shared" si="29"/>
        <v>1</v>
      </c>
      <c r="GW60">
        <f t="shared" si="29"/>
        <v>0</v>
      </c>
      <c r="GX60">
        <f t="shared" si="29"/>
        <v>0</v>
      </c>
      <c r="GY60">
        <f t="shared" si="30"/>
        <v>0</v>
      </c>
      <c r="GZ60">
        <f t="shared" si="31"/>
        <v>0</v>
      </c>
      <c r="HA60">
        <f t="shared" si="32"/>
        <v>0</v>
      </c>
      <c r="HB60">
        <f t="shared" si="33"/>
        <v>0</v>
      </c>
      <c r="HC60">
        <f t="shared" si="34"/>
        <v>0</v>
      </c>
      <c r="HD60">
        <f t="shared" si="35"/>
        <v>0</v>
      </c>
      <c r="HE60">
        <f t="shared" si="36"/>
        <v>0</v>
      </c>
      <c r="HF60">
        <f t="shared" si="37"/>
        <v>0</v>
      </c>
      <c r="HG60">
        <f t="shared" si="38"/>
        <v>0</v>
      </c>
      <c r="HH60">
        <f t="shared" si="39"/>
        <v>0</v>
      </c>
      <c r="HI60">
        <f t="shared" si="40"/>
        <v>0</v>
      </c>
      <c r="HJ60">
        <f t="shared" si="41"/>
        <v>0</v>
      </c>
      <c r="HK60">
        <f t="shared" si="42"/>
        <v>0</v>
      </c>
      <c r="HL60">
        <f t="shared" si="43"/>
        <v>0</v>
      </c>
      <c r="HM60">
        <f t="shared" si="44"/>
        <v>1.75</v>
      </c>
      <c r="HO60" s="51">
        <v>117</v>
      </c>
      <c r="HP60" t="s">
        <v>0</v>
      </c>
      <c r="HQ60" t="s">
        <v>439</v>
      </c>
      <c r="HR60">
        <v>77.5</v>
      </c>
      <c r="HS60">
        <v>73.75</v>
      </c>
      <c r="HT60">
        <v>87.375</v>
      </c>
      <c r="HU60">
        <v>2.5</v>
      </c>
      <c r="HV60" s="51">
        <v>117</v>
      </c>
      <c r="HW60">
        <f t="shared" si="45"/>
        <v>0</v>
      </c>
      <c r="HX60">
        <f t="shared" si="45"/>
        <v>0</v>
      </c>
      <c r="HY60">
        <f t="shared" si="46"/>
        <v>5.5</v>
      </c>
      <c r="HZ60">
        <f t="shared" si="47"/>
        <v>16.5</v>
      </c>
      <c r="IA60">
        <f t="shared" si="48"/>
        <v>0.25</v>
      </c>
      <c r="IB60">
        <f t="shared" si="48"/>
        <v>0</v>
      </c>
      <c r="IC60">
        <f t="shared" si="48"/>
        <v>0</v>
      </c>
      <c r="ID60">
        <f t="shared" si="49"/>
        <v>0</v>
      </c>
      <c r="IE60">
        <f t="shared" si="50"/>
        <v>1.25</v>
      </c>
      <c r="IF60">
        <f t="shared" si="51"/>
        <v>0</v>
      </c>
      <c r="IG60">
        <f t="shared" si="52"/>
        <v>6.5</v>
      </c>
      <c r="IH60">
        <f t="shared" si="53"/>
        <v>1.5</v>
      </c>
      <c r="II60">
        <f t="shared" si="54"/>
        <v>0</v>
      </c>
      <c r="IJ60">
        <f t="shared" si="55"/>
        <v>0</v>
      </c>
      <c r="IK60">
        <f t="shared" si="56"/>
        <v>0</v>
      </c>
      <c r="IL60">
        <f t="shared" si="68"/>
        <v>0</v>
      </c>
      <c r="IM60">
        <f t="shared" si="57"/>
        <v>22</v>
      </c>
      <c r="IN60">
        <f t="shared" si="58"/>
        <v>0</v>
      </c>
      <c r="IO60">
        <f t="shared" si="69"/>
        <v>317</v>
      </c>
      <c r="IP60">
        <f t="shared" si="69"/>
        <v>220</v>
      </c>
      <c r="IQ60">
        <f t="shared" si="69"/>
        <v>25</v>
      </c>
      <c r="IR60">
        <f t="shared" si="69"/>
        <v>0</v>
      </c>
      <c r="IS60">
        <f t="shared" si="69"/>
        <v>0</v>
      </c>
      <c r="IT60">
        <f t="shared" si="67"/>
        <v>0</v>
      </c>
      <c r="IU60">
        <f t="shared" si="67"/>
        <v>0.25</v>
      </c>
      <c r="IV60">
        <f t="shared" si="67"/>
        <v>6</v>
      </c>
      <c r="IW60">
        <f t="shared" si="67"/>
        <v>0.25</v>
      </c>
      <c r="IX60">
        <f t="shared" si="67"/>
        <v>44.75</v>
      </c>
      <c r="IY60">
        <f t="shared" si="59"/>
        <v>3</v>
      </c>
      <c r="IZ60">
        <f t="shared" si="70"/>
        <v>1</v>
      </c>
      <c r="JA60">
        <f t="shared" si="71"/>
        <v>0</v>
      </c>
      <c r="JB60">
        <f t="shared" si="71"/>
        <v>0</v>
      </c>
      <c r="JC60">
        <f t="shared" si="71"/>
        <v>0</v>
      </c>
      <c r="JD60">
        <f t="shared" si="71"/>
        <v>0</v>
      </c>
      <c r="JE60">
        <f t="shared" si="71"/>
        <v>0</v>
      </c>
      <c r="JF60">
        <f t="shared" si="71"/>
        <v>0</v>
      </c>
      <c r="JG60">
        <f t="shared" si="71"/>
        <v>0</v>
      </c>
      <c r="JH60">
        <f t="shared" si="71"/>
        <v>0</v>
      </c>
      <c r="JI60">
        <f t="shared" si="71"/>
        <v>0</v>
      </c>
      <c r="JJ60">
        <f t="shared" si="71"/>
        <v>0</v>
      </c>
      <c r="JK60">
        <f t="shared" si="71"/>
        <v>0</v>
      </c>
      <c r="JL60">
        <f t="shared" si="71"/>
        <v>0</v>
      </c>
      <c r="JM60">
        <f t="shared" si="71"/>
        <v>0</v>
      </c>
      <c r="JN60">
        <f t="shared" si="71"/>
        <v>0</v>
      </c>
      <c r="JO60">
        <f t="shared" si="71"/>
        <v>1.75</v>
      </c>
    </row>
    <row r="61" spans="2:275" x14ac:dyDescent="0.25">
      <c r="B61" s="51">
        <v>122</v>
      </c>
      <c r="C61" t="s">
        <v>440</v>
      </c>
      <c r="D61" t="s">
        <v>439</v>
      </c>
      <c r="E61">
        <v>94.375</v>
      </c>
      <c r="F61">
        <v>150</v>
      </c>
      <c r="G61">
        <v>138.125</v>
      </c>
      <c r="H61">
        <v>2.375</v>
      </c>
      <c r="I61" s="51">
        <v>122</v>
      </c>
      <c r="J61">
        <v>0</v>
      </c>
      <c r="K61">
        <v>0.25</v>
      </c>
      <c r="L61">
        <v>0</v>
      </c>
      <c r="M61">
        <v>0</v>
      </c>
      <c r="N61">
        <v>0</v>
      </c>
      <c r="O61">
        <v>0</v>
      </c>
      <c r="P61">
        <v>2.25</v>
      </c>
      <c r="Q61">
        <v>0.75</v>
      </c>
      <c r="R61">
        <v>0</v>
      </c>
      <c r="S61">
        <v>0</v>
      </c>
      <c r="T61">
        <v>2</v>
      </c>
      <c r="U61">
        <v>0.75</v>
      </c>
      <c r="V61">
        <v>0</v>
      </c>
      <c r="W61">
        <v>6.25</v>
      </c>
      <c r="X61">
        <v>0</v>
      </c>
      <c r="Y61">
        <v>0.25</v>
      </c>
      <c r="Z61">
        <v>0.5</v>
      </c>
      <c r="AA61">
        <v>0</v>
      </c>
      <c r="AB61">
        <v>0.25</v>
      </c>
      <c r="AC61">
        <v>0</v>
      </c>
      <c r="AD61">
        <v>0</v>
      </c>
      <c r="AE61">
        <v>0.25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0.75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0.75</v>
      </c>
      <c r="BC61">
        <v>0.5</v>
      </c>
      <c r="BD61">
        <v>0</v>
      </c>
      <c r="BE61">
        <v>0.25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16.25</v>
      </c>
      <c r="BX61">
        <v>12.25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190.5</v>
      </c>
      <c r="CG61">
        <v>434</v>
      </c>
      <c r="CH61">
        <v>53.75</v>
      </c>
      <c r="CI61">
        <v>165.5</v>
      </c>
      <c r="CJ61">
        <v>0.25</v>
      </c>
      <c r="CK61">
        <v>0.5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1.5</v>
      </c>
      <c r="CT61">
        <v>4.5</v>
      </c>
      <c r="CU61">
        <v>0</v>
      </c>
      <c r="CV61">
        <v>0.5</v>
      </c>
      <c r="CW61">
        <v>0</v>
      </c>
      <c r="CX61">
        <v>0</v>
      </c>
      <c r="CY61">
        <v>0</v>
      </c>
      <c r="CZ61">
        <v>0</v>
      </c>
      <c r="DA61">
        <v>0.25</v>
      </c>
      <c r="DB61">
        <v>0</v>
      </c>
      <c r="DC61">
        <v>0</v>
      </c>
      <c r="DD61">
        <v>0.25</v>
      </c>
      <c r="DE61">
        <v>0</v>
      </c>
      <c r="DF61">
        <v>0</v>
      </c>
      <c r="DG61">
        <v>1</v>
      </c>
      <c r="DH61">
        <v>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0.25</v>
      </c>
      <c r="DY61">
        <v>0.25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1.25</v>
      </c>
      <c r="EP61" s="51">
        <v>122</v>
      </c>
      <c r="EQ61" t="s">
        <v>440</v>
      </c>
      <c r="ER61" t="s">
        <v>439</v>
      </c>
      <c r="ES61">
        <v>94.375</v>
      </c>
      <c r="ET61">
        <v>150</v>
      </c>
      <c r="EU61">
        <v>138.125</v>
      </c>
      <c r="EV61">
        <v>2.375</v>
      </c>
      <c r="EW61" s="51">
        <v>122</v>
      </c>
      <c r="EX61">
        <f t="shared" si="4"/>
        <v>0.25</v>
      </c>
      <c r="EY61">
        <f t="shared" si="5"/>
        <v>0</v>
      </c>
      <c r="EZ61">
        <f t="shared" si="6"/>
        <v>0</v>
      </c>
      <c r="FA61">
        <f t="shared" si="6"/>
        <v>0</v>
      </c>
      <c r="FB61">
        <f t="shared" si="6"/>
        <v>4.25</v>
      </c>
      <c r="FC61">
        <f t="shared" si="6"/>
        <v>1.5</v>
      </c>
      <c r="FD61">
        <f t="shared" si="7"/>
        <v>0</v>
      </c>
      <c r="FE61">
        <f t="shared" si="7"/>
        <v>6.5</v>
      </c>
      <c r="FF61">
        <f t="shared" si="8"/>
        <v>0.5</v>
      </c>
      <c r="FG61">
        <f t="shared" si="9"/>
        <v>0.25</v>
      </c>
      <c r="FH61">
        <f t="shared" si="10"/>
        <v>0.25</v>
      </c>
      <c r="FI61">
        <f t="shared" si="11"/>
        <v>0</v>
      </c>
      <c r="FJ61">
        <f t="shared" si="11"/>
        <v>0</v>
      </c>
      <c r="FK61">
        <f t="shared" si="11"/>
        <v>0</v>
      </c>
      <c r="FL61">
        <f t="shared" si="11"/>
        <v>0</v>
      </c>
      <c r="FM61">
        <f t="shared" si="12"/>
        <v>0.75</v>
      </c>
      <c r="FN61">
        <f t="shared" si="12"/>
        <v>0</v>
      </c>
      <c r="FO61">
        <f t="shared" si="12"/>
        <v>0</v>
      </c>
      <c r="FP61">
        <f t="shared" si="13"/>
        <v>0</v>
      </c>
      <c r="FQ61">
        <f t="shared" si="13"/>
        <v>0</v>
      </c>
      <c r="FR61">
        <f t="shared" si="13"/>
        <v>0</v>
      </c>
      <c r="FS61">
        <f t="shared" si="14"/>
        <v>0</v>
      </c>
      <c r="FT61">
        <f t="shared" si="14"/>
        <v>0.25</v>
      </c>
      <c r="FU61">
        <f t="shared" si="14"/>
        <v>1.75</v>
      </c>
      <c r="FV61">
        <f t="shared" si="14"/>
        <v>1.5</v>
      </c>
      <c r="FW61">
        <f t="shared" si="15"/>
        <v>0</v>
      </c>
      <c r="FX61">
        <f t="shared" si="15"/>
        <v>0</v>
      </c>
      <c r="FY61">
        <f t="shared" si="15"/>
        <v>0</v>
      </c>
      <c r="FZ61">
        <f t="shared" si="16"/>
        <v>0</v>
      </c>
      <c r="GA61">
        <f t="shared" si="16"/>
        <v>0</v>
      </c>
      <c r="GB61">
        <f t="shared" si="17"/>
        <v>0</v>
      </c>
      <c r="GC61">
        <f t="shared" si="18"/>
        <v>16.25</v>
      </c>
      <c r="GD61">
        <f t="shared" si="18"/>
        <v>12.25</v>
      </c>
      <c r="GE61">
        <f t="shared" si="18"/>
        <v>0</v>
      </c>
      <c r="GF61">
        <f t="shared" si="19"/>
        <v>0</v>
      </c>
      <c r="GG61">
        <f t="shared" si="19"/>
        <v>0</v>
      </c>
      <c r="GH61">
        <f t="shared" si="19"/>
        <v>0</v>
      </c>
      <c r="GI61">
        <f t="shared" si="20"/>
        <v>244.25</v>
      </c>
      <c r="GJ61">
        <f t="shared" si="20"/>
        <v>599.5</v>
      </c>
      <c r="GK61">
        <f t="shared" si="21"/>
        <v>0.75</v>
      </c>
      <c r="GL61">
        <f t="shared" si="22"/>
        <v>0</v>
      </c>
      <c r="GM61">
        <f t="shared" si="23"/>
        <v>0</v>
      </c>
      <c r="GN61">
        <f t="shared" si="23"/>
        <v>0</v>
      </c>
      <c r="GO61">
        <f t="shared" si="24"/>
        <v>0</v>
      </c>
      <c r="GP61">
        <f t="shared" si="25"/>
        <v>6</v>
      </c>
      <c r="GQ61">
        <f t="shared" si="26"/>
        <v>0.5</v>
      </c>
      <c r="GR61">
        <f t="shared" si="27"/>
        <v>0</v>
      </c>
      <c r="GS61">
        <f t="shared" si="28"/>
        <v>0</v>
      </c>
      <c r="GT61">
        <f t="shared" si="28"/>
        <v>0</v>
      </c>
      <c r="GU61">
        <f t="shared" si="28"/>
        <v>0.5</v>
      </c>
      <c r="GV61">
        <f t="shared" si="29"/>
        <v>3</v>
      </c>
      <c r="GW61">
        <f t="shared" si="29"/>
        <v>0</v>
      </c>
      <c r="GX61">
        <f t="shared" si="29"/>
        <v>1</v>
      </c>
      <c r="GY61">
        <f t="shared" si="30"/>
        <v>0</v>
      </c>
      <c r="GZ61">
        <f t="shared" si="31"/>
        <v>0</v>
      </c>
      <c r="HA61">
        <f t="shared" si="32"/>
        <v>0</v>
      </c>
      <c r="HB61">
        <f t="shared" si="33"/>
        <v>0</v>
      </c>
      <c r="HC61">
        <f t="shared" si="34"/>
        <v>0</v>
      </c>
      <c r="HD61">
        <f t="shared" si="35"/>
        <v>0</v>
      </c>
      <c r="HE61">
        <f t="shared" si="36"/>
        <v>0.25</v>
      </c>
      <c r="HF61">
        <f t="shared" si="37"/>
        <v>0.25</v>
      </c>
      <c r="HG61">
        <f t="shared" si="38"/>
        <v>0</v>
      </c>
      <c r="HH61">
        <f t="shared" si="39"/>
        <v>0</v>
      </c>
      <c r="HI61">
        <f t="shared" si="40"/>
        <v>0</v>
      </c>
      <c r="HJ61">
        <f t="shared" si="41"/>
        <v>0</v>
      </c>
      <c r="HK61">
        <f t="shared" si="42"/>
        <v>0</v>
      </c>
      <c r="HL61">
        <f t="shared" si="43"/>
        <v>0</v>
      </c>
      <c r="HM61">
        <f t="shared" si="44"/>
        <v>1.25</v>
      </c>
      <c r="HO61" s="51">
        <v>122</v>
      </c>
      <c r="HP61" t="s">
        <v>440</v>
      </c>
      <c r="HQ61" t="s">
        <v>439</v>
      </c>
      <c r="HR61">
        <v>94.375</v>
      </c>
      <c r="HS61">
        <v>150</v>
      </c>
      <c r="HT61">
        <v>138.125</v>
      </c>
      <c r="HU61">
        <v>2.375</v>
      </c>
      <c r="HV61" s="51">
        <v>122</v>
      </c>
      <c r="HW61">
        <f t="shared" si="45"/>
        <v>0.25</v>
      </c>
      <c r="HX61">
        <f t="shared" si="45"/>
        <v>0</v>
      </c>
      <c r="HY61">
        <f t="shared" si="46"/>
        <v>5.75</v>
      </c>
      <c r="HZ61">
        <f t="shared" si="47"/>
        <v>6.5</v>
      </c>
      <c r="IA61">
        <f t="shared" si="48"/>
        <v>0.5</v>
      </c>
      <c r="IB61">
        <f t="shared" si="48"/>
        <v>0.25</v>
      </c>
      <c r="IC61">
        <f t="shared" si="48"/>
        <v>0.25</v>
      </c>
      <c r="ID61">
        <f t="shared" si="49"/>
        <v>0</v>
      </c>
      <c r="IE61">
        <f t="shared" si="50"/>
        <v>0.75</v>
      </c>
      <c r="IF61">
        <f t="shared" si="51"/>
        <v>0</v>
      </c>
      <c r="IG61">
        <f t="shared" si="52"/>
        <v>2</v>
      </c>
      <c r="IH61">
        <f t="shared" si="53"/>
        <v>1.5</v>
      </c>
      <c r="II61">
        <f t="shared" si="54"/>
        <v>0</v>
      </c>
      <c r="IJ61">
        <f t="shared" si="55"/>
        <v>0</v>
      </c>
      <c r="IK61">
        <f t="shared" si="56"/>
        <v>0</v>
      </c>
      <c r="IL61">
        <f t="shared" si="68"/>
        <v>0</v>
      </c>
      <c r="IM61">
        <f t="shared" si="57"/>
        <v>28.5</v>
      </c>
      <c r="IN61">
        <f t="shared" si="58"/>
        <v>0</v>
      </c>
      <c r="IO61">
        <f t="shared" si="69"/>
        <v>244.25</v>
      </c>
      <c r="IP61">
        <f t="shared" si="69"/>
        <v>599.5</v>
      </c>
      <c r="IQ61">
        <f t="shared" si="69"/>
        <v>0.75</v>
      </c>
      <c r="IR61">
        <f t="shared" si="69"/>
        <v>0</v>
      </c>
      <c r="IS61">
        <f t="shared" si="69"/>
        <v>0</v>
      </c>
      <c r="IT61">
        <f t="shared" si="67"/>
        <v>0</v>
      </c>
      <c r="IU61">
        <f t="shared" si="67"/>
        <v>0</v>
      </c>
      <c r="IV61">
        <f t="shared" si="67"/>
        <v>6</v>
      </c>
      <c r="IW61">
        <f t="shared" si="67"/>
        <v>0.5</v>
      </c>
      <c r="IX61">
        <f t="shared" si="67"/>
        <v>0</v>
      </c>
      <c r="IY61">
        <f t="shared" si="59"/>
        <v>0.5</v>
      </c>
      <c r="IZ61">
        <f t="shared" si="70"/>
        <v>4</v>
      </c>
      <c r="JA61">
        <f t="shared" si="71"/>
        <v>0</v>
      </c>
      <c r="JB61">
        <f t="shared" si="71"/>
        <v>0</v>
      </c>
      <c r="JC61">
        <f t="shared" si="71"/>
        <v>0</v>
      </c>
      <c r="JD61">
        <f t="shared" si="71"/>
        <v>0</v>
      </c>
      <c r="JE61">
        <f t="shared" si="71"/>
        <v>0</v>
      </c>
      <c r="JF61">
        <f t="shared" si="71"/>
        <v>0</v>
      </c>
      <c r="JG61">
        <f t="shared" si="71"/>
        <v>0.25</v>
      </c>
      <c r="JH61">
        <f t="shared" si="71"/>
        <v>0.25</v>
      </c>
      <c r="JI61">
        <f t="shared" si="71"/>
        <v>0</v>
      </c>
      <c r="JJ61">
        <f t="shared" si="71"/>
        <v>0</v>
      </c>
      <c r="JK61">
        <f t="shared" si="71"/>
        <v>0</v>
      </c>
      <c r="JL61">
        <f t="shared" si="71"/>
        <v>0</v>
      </c>
      <c r="JM61">
        <f t="shared" si="71"/>
        <v>0</v>
      </c>
      <c r="JN61">
        <f t="shared" si="71"/>
        <v>0</v>
      </c>
      <c r="JO61">
        <f t="shared" si="71"/>
        <v>1.25</v>
      </c>
    </row>
    <row r="62" spans="2:275" x14ac:dyDescent="0.25">
      <c r="B62" s="51">
        <v>123</v>
      </c>
      <c r="C62" t="s">
        <v>440</v>
      </c>
      <c r="D62" t="s">
        <v>439</v>
      </c>
      <c r="E62">
        <v>97.75</v>
      </c>
      <c r="F62">
        <v>141.25</v>
      </c>
      <c r="G62">
        <v>134.375</v>
      </c>
      <c r="H62">
        <v>2.125</v>
      </c>
      <c r="I62" s="51">
        <v>123</v>
      </c>
      <c r="J62">
        <v>0</v>
      </c>
      <c r="K62">
        <v>0</v>
      </c>
      <c r="L62">
        <v>0</v>
      </c>
      <c r="M62">
        <v>0</v>
      </c>
      <c r="N62">
        <v>0</v>
      </c>
      <c r="O62">
        <v>0.5</v>
      </c>
      <c r="P62">
        <v>0.5</v>
      </c>
      <c r="Q62">
        <v>0.5</v>
      </c>
      <c r="R62">
        <v>0</v>
      </c>
      <c r="S62">
        <v>0.75</v>
      </c>
      <c r="T62">
        <v>1</v>
      </c>
      <c r="U62">
        <v>0.5</v>
      </c>
      <c r="V62">
        <v>0</v>
      </c>
      <c r="W62">
        <v>6.5</v>
      </c>
      <c r="X62">
        <v>0</v>
      </c>
      <c r="Y62">
        <v>0</v>
      </c>
      <c r="Z62">
        <v>0.5</v>
      </c>
      <c r="AA62">
        <v>0</v>
      </c>
      <c r="AB62">
        <v>0</v>
      </c>
      <c r="AC62">
        <v>0</v>
      </c>
      <c r="AD62">
        <v>0</v>
      </c>
      <c r="AE62">
        <v>0.25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0.25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1.25</v>
      </c>
      <c r="BF62">
        <v>0.75</v>
      </c>
      <c r="BG62">
        <v>0.75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19.25</v>
      </c>
      <c r="BX62">
        <v>2.75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158.75</v>
      </c>
      <c r="CG62">
        <v>398.75</v>
      </c>
      <c r="CH62">
        <v>196.25</v>
      </c>
      <c r="CI62">
        <v>322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0.25</v>
      </c>
      <c r="CT62">
        <v>3.5</v>
      </c>
      <c r="CU62">
        <v>0.25</v>
      </c>
      <c r="CV62">
        <v>0.25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0.25</v>
      </c>
      <c r="DD62">
        <v>0.25</v>
      </c>
      <c r="DE62">
        <v>0</v>
      </c>
      <c r="DF62">
        <v>0</v>
      </c>
      <c r="DG62">
        <v>0</v>
      </c>
      <c r="DH62">
        <v>2.5</v>
      </c>
      <c r="DI62">
        <v>0</v>
      </c>
      <c r="DJ62">
        <v>0.25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0.25</v>
      </c>
      <c r="DT62">
        <v>0.25</v>
      </c>
      <c r="DU62">
        <v>0</v>
      </c>
      <c r="DV62">
        <v>0.25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P62" s="51">
        <v>123</v>
      </c>
      <c r="EQ62" t="s">
        <v>440</v>
      </c>
      <c r="ER62" t="s">
        <v>439</v>
      </c>
      <c r="ES62">
        <v>97.75</v>
      </c>
      <c r="ET62">
        <v>141.25</v>
      </c>
      <c r="EU62">
        <v>134.375</v>
      </c>
      <c r="EV62">
        <v>2.125</v>
      </c>
      <c r="EW62" s="51">
        <v>123</v>
      </c>
      <c r="EX62">
        <f t="shared" si="4"/>
        <v>0</v>
      </c>
      <c r="EY62">
        <f t="shared" si="5"/>
        <v>0</v>
      </c>
      <c r="EZ62">
        <f t="shared" si="6"/>
        <v>0</v>
      </c>
      <c r="FA62">
        <f t="shared" si="6"/>
        <v>1.25</v>
      </c>
      <c r="FB62">
        <f t="shared" si="6"/>
        <v>1.5</v>
      </c>
      <c r="FC62">
        <f t="shared" si="6"/>
        <v>1</v>
      </c>
      <c r="FD62">
        <f t="shared" si="7"/>
        <v>0</v>
      </c>
      <c r="FE62">
        <f t="shared" si="7"/>
        <v>6.5</v>
      </c>
      <c r="FF62">
        <f t="shared" si="8"/>
        <v>0.5</v>
      </c>
      <c r="FG62">
        <f t="shared" si="9"/>
        <v>0</v>
      </c>
      <c r="FH62">
        <f t="shared" si="10"/>
        <v>0.25</v>
      </c>
      <c r="FI62">
        <f t="shared" si="11"/>
        <v>0</v>
      </c>
      <c r="FJ62">
        <f t="shared" si="11"/>
        <v>0</v>
      </c>
      <c r="FK62">
        <f t="shared" si="11"/>
        <v>0</v>
      </c>
      <c r="FL62">
        <f t="shared" si="11"/>
        <v>0.25</v>
      </c>
      <c r="FM62">
        <f t="shared" si="12"/>
        <v>0</v>
      </c>
      <c r="FN62">
        <f t="shared" si="12"/>
        <v>0</v>
      </c>
      <c r="FO62">
        <f t="shared" si="12"/>
        <v>0</v>
      </c>
      <c r="FP62">
        <f t="shared" si="13"/>
        <v>0</v>
      </c>
      <c r="FQ62">
        <f t="shared" si="13"/>
        <v>0</v>
      </c>
      <c r="FR62">
        <f t="shared" si="13"/>
        <v>0</v>
      </c>
      <c r="FS62">
        <f t="shared" si="14"/>
        <v>0</v>
      </c>
      <c r="FT62">
        <f t="shared" si="14"/>
        <v>1.25</v>
      </c>
      <c r="FU62">
        <f t="shared" si="14"/>
        <v>0.75</v>
      </c>
      <c r="FV62">
        <f t="shared" si="14"/>
        <v>0.75</v>
      </c>
      <c r="FW62">
        <f t="shared" si="15"/>
        <v>0</v>
      </c>
      <c r="FX62">
        <f t="shared" si="15"/>
        <v>0</v>
      </c>
      <c r="FY62">
        <f t="shared" si="15"/>
        <v>0</v>
      </c>
      <c r="FZ62">
        <f t="shared" si="16"/>
        <v>0</v>
      </c>
      <c r="GA62">
        <f t="shared" si="16"/>
        <v>0</v>
      </c>
      <c r="GB62">
        <f t="shared" si="17"/>
        <v>0</v>
      </c>
      <c r="GC62">
        <f t="shared" si="18"/>
        <v>19.25</v>
      </c>
      <c r="GD62">
        <f t="shared" si="18"/>
        <v>2.75</v>
      </c>
      <c r="GE62">
        <f t="shared" si="18"/>
        <v>0</v>
      </c>
      <c r="GF62">
        <f t="shared" si="19"/>
        <v>0</v>
      </c>
      <c r="GG62">
        <f t="shared" si="19"/>
        <v>0</v>
      </c>
      <c r="GH62">
        <f t="shared" si="19"/>
        <v>0</v>
      </c>
      <c r="GI62">
        <f t="shared" si="20"/>
        <v>355</v>
      </c>
      <c r="GJ62">
        <f t="shared" si="20"/>
        <v>720.75</v>
      </c>
      <c r="GK62">
        <f t="shared" si="21"/>
        <v>0</v>
      </c>
      <c r="GL62">
        <f t="shared" si="22"/>
        <v>0</v>
      </c>
      <c r="GM62">
        <f t="shared" si="23"/>
        <v>0</v>
      </c>
      <c r="GN62">
        <f t="shared" si="23"/>
        <v>0</v>
      </c>
      <c r="GO62">
        <f t="shared" si="24"/>
        <v>0</v>
      </c>
      <c r="GP62">
        <f t="shared" si="25"/>
        <v>3.75</v>
      </c>
      <c r="GQ62">
        <f t="shared" si="26"/>
        <v>0.5</v>
      </c>
      <c r="GR62">
        <f t="shared" si="27"/>
        <v>0</v>
      </c>
      <c r="GS62">
        <f t="shared" si="28"/>
        <v>0</v>
      </c>
      <c r="GT62">
        <f t="shared" si="28"/>
        <v>0.25</v>
      </c>
      <c r="GU62">
        <f t="shared" si="28"/>
        <v>0.25</v>
      </c>
      <c r="GV62">
        <f t="shared" si="29"/>
        <v>2.5</v>
      </c>
      <c r="GW62">
        <f t="shared" si="29"/>
        <v>0</v>
      </c>
      <c r="GX62">
        <f t="shared" si="29"/>
        <v>0.25</v>
      </c>
      <c r="GY62">
        <f t="shared" si="30"/>
        <v>0</v>
      </c>
      <c r="GZ62">
        <f t="shared" si="31"/>
        <v>0</v>
      </c>
      <c r="HA62">
        <f t="shared" si="32"/>
        <v>0</v>
      </c>
      <c r="HB62">
        <f t="shared" si="33"/>
        <v>0</v>
      </c>
      <c r="HC62">
        <f t="shared" si="34"/>
        <v>0.5</v>
      </c>
      <c r="HD62">
        <f t="shared" si="35"/>
        <v>0.25</v>
      </c>
      <c r="HE62">
        <f t="shared" si="36"/>
        <v>0</v>
      </c>
      <c r="HF62">
        <f t="shared" si="37"/>
        <v>0</v>
      </c>
      <c r="HG62">
        <f t="shared" si="38"/>
        <v>0</v>
      </c>
      <c r="HH62">
        <f t="shared" si="39"/>
        <v>0</v>
      </c>
      <c r="HI62">
        <f t="shared" si="40"/>
        <v>0</v>
      </c>
      <c r="HJ62">
        <f t="shared" si="41"/>
        <v>0</v>
      </c>
      <c r="HK62">
        <f t="shared" si="42"/>
        <v>0</v>
      </c>
      <c r="HL62">
        <f t="shared" si="43"/>
        <v>0</v>
      </c>
      <c r="HM62">
        <f t="shared" si="44"/>
        <v>0</v>
      </c>
      <c r="HO62" s="51">
        <v>123</v>
      </c>
      <c r="HP62" t="s">
        <v>440</v>
      </c>
      <c r="HQ62" t="s">
        <v>439</v>
      </c>
      <c r="HR62">
        <v>97.75</v>
      </c>
      <c r="HS62">
        <v>141.25</v>
      </c>
      <c r="HT62">
        <v>134.375</v>
      </c>
      <c r="HU62">
        <v>2.125</v>
      </c>
      <c r="HV62" s="51">
        <v>123</v>
      </c>
      <c r="HW62">
        <f t="shared" si="45"/>
        <v>0</v>
      </c>
      <c r="HX62">
        <f t="shared" si="45"/>
        <v>0</v>
      </c>
      <c r="HY62">
        <f t="shared" si="46"/>
        <v>3.75</v>
      </c>
      <c r="HZ62">
        <f t="shared" si="47"/>
        <v>6.5</v>
      </c>
      <c r="IA62">
        <f t="shared" si="48"/>
        <v>0.5</v>
      </c>
      <c r="IB62">
        <f t="shared" si="48"/>
        <v>0</v>
      </c>
      <c r="IC62">
        <f t="shared" si="48"/>
        <v>0.25</v>
      </c>
      <c r="ID62">
        <f t="shared" si="49"/>
        <v>0.25</v>
      </c>
      <c r="IE62">
        <f t="shared" si="50"/>
        <v>0</v>
      </c>
      <c r="IF62">
        <f t="shared" si="51"/>
        <v>0</v>
      </c>
      <c r="IG62">
        <f t="shared" si="52"/>
        <v>2</v>
      </c>
      <c r="IH62">
        <f t="shared" si="53"/>
        <v>0.75</v>
      </c>
      <c r="II62">
        <f t="shared" si="54"/>
        <v>0</v>
      </c>
      <c r="IJ62">
        <f t="shared" si="55"/>
        <v>0</v>
      </c>
      <c r="IK62">
        <f t="shared" si="56"/>
        <v>0</v>
      </c>
      <c r="IL62">
        <f t="shared" si="68"/>
        <v>0</v>
      </c>
      <c r="IM62">
        <f t="shared" si="57"/>
        <v>22</v>
      </c>
      <c r="IN62">
        <f t="shared" si="58"/>
        <v>0</v>
      </c>
      <c r="IO62">
        <f t="shared" si="69"/>
        <v>355</v>
      </c>
      <c r="IP62">
        <f t="shared" si="69"/>
        <v>720.75</v>
      </c>
      <c r="IQ62">
        <f t="shared" si="69"/>
        <v>0</v>
      </c>
      <c r="IR62">
        <f t="shared" si="69"/>
        <v>0</v>
      </c>
      <c r="IS62">
        <f t="shared" si="69"/>
        <v>0</v>
      </c>
      <c r="IT62">
        <f t="shared" si="67"/>
        <v>0</v>
      </c>
      <c r="IU62">
        <f t="shared" si="67"/>
        <v>0</v>
      </c>
      <c r="IV62">
        <f t="shared" si="67"/>
        <v>3.75</v>
      </c>
      <c r="IW62">
        <f t="shared" si="67"/>
        <v>0.5</v>
      </c>
      <c r="IX62">
        <f t="shared" si="67"/>
        <v>0</v>
      </c>
      <c r="IY62">
        <f t="shared" si="59"/>
        <v>0.5</v>
      </c>
      <c r="IZ62">
        <f t="shared" si="70"/>
        <v>2.75</v>
      </c>
      <c r="JA62">
        <f t="shared" si="71"/>
        <v>0</v>
      </c>
      <c r="JB62">
        <f t="shared" si="71"/>
        <v>0</v>
      </c>
      <c r="JC62">
        <f t="shared" si="71"/>
        <v>0</v>
      </c>
      <c r="JD62">
        <f t="shared" si="71"/>
        <v>0</v>
      </c>
      <c r="JE62">
        <f t="shared" si="71"/>
        <v>0.5</v>
      </c>
      <c r="JF62">
        <f t="shared" si="71"/>
        <v>0.25</v>
      </c>
      <c r="JG62">
        <f t="shared" si="71"/>
        <v>0</v>
      </c>
      <c r="JH62">
        <f t="shared" si="71"/>
        <v>0</v>
      </c>
      <c r="JI62">
        <f t="shared" si="71"/>
        <v>0</v>
      </c>
      <c r="JJ62">
        <f t="shared" si="71"/>
        <v>0</v>
      </c>
      <c r="JK62">
        <f t="shared" si="71"/>
        <v>0</v>
      </c>
      <c r="JL62">
        <f t="shared" si="71"/>
        <v>0</v>
      </c>
      <c r="JM62">
        <f t="shared" si="71"/>
        <v>0</v>
      </c>
      <c r="JN62">
        <f t="shared" si="71"/>
        <v>0</v>
      </c>
      <c r="JO62">
        <f t="shared" si="71"/>
        <v>0</v>
      </c>
    </row>
    <row r="63" spans="2:275" x14ac:dyDescent="0.25">
      <c r="B63" s="51">
        <v>126</v>
      </c>
      <c r="C63" t="s">
        <v>440</v>
      </c>
      <c r="D63" t="s">
        <v>439</v>
      </c>
      <c r="E63">
        <v>79.5</v>
      </c>
      <c r="F63">
        <v>156.875</v>
      </c>
      <c r="G63">
        <v>94.5</v>
      </c>
      <c r="H63">
        <v>2.75</v>
      </c>
      <c r="I63" s="51">
        <v>126</v>
      </c>
      <c r="J63">
        <v>0</v>
      </c>
      <c r="K63">
        <v>0</v>
      </c>
      <c r="L63">
        <v>0</v>
      </c>
      <c r="M63">
        <v>0</v>
      </c>
      <c r="N63">
        <v>0</v>
      </c>
      <c r="O63">
        <v>1.75</v>
      </c>
      <c r="P63">
        <v>0.25</v>
      </c>
      <c r="Q63">
        <v>0</v>
      </c>
      <c r="R63">
        <v>0</v>
      </c>
      <c r="S63">
        <v>0.25</v>
      </c>
      <c r="T63">
        <v>4</v>
      </c>
      <c r="U63">
        <v>0.25</v>
      </c>
      <c r="V63">
        <v>0</v>
      </c>
      <c r="W63">
        <v>4</v>
      </c>
      <c r="X63">
        <v>0</v>
      </c>
      <c r="Y63">
        <v>0.25</v>
      </c>
      <c r="Z63">
        <v>0</v>
      </c>
      <c r="AA63">
        <v>0.25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0.75</v>
      </c>
      <c r="BF63">
        <v>2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18.5</v>
      </c>
      <c r="BX63">
        <v>16.25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315.5</v>
      </c>
      <c r="CG63">
        <v>331.5</v>
      </c>
      <c r="CH63">
        <v>17.75</v>
      </c>
      <c r="CI63">
        <v>110.5</v>
      </c>
      <c r="CJ63">
        <v>0</v>
      </c>
      <c r="CK63">
        <v>6.5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0.25</v>
      </c>
      <c r="CS63">
        <v>0</v>
      </c>
      <c r="CT63">
        <v>3.75</v>
      </c>
      <c r="CU63">
        <v>0</v>
      </c>
      <c r="CV63">
        <v>0</v>
      </c>
      <c r="CW63">
        <v>0</v>
      </c>
      <c r="CX63">
        <v>0.25</v>
      </c>
      <c r="CY63">
        <v>0</v>
      </c>
      <c r="CZ63">
        <v>0</v>
      </c>
      <c r="DA63">
        <v>0</v>
      </c>
      <c r="DB63">
        <v>0.25</v>
      </c>
      <c r="DC63">
        <v>0</v>
      </c>
      <c r="DD63">
        <v>0.75</v>
      </c>
      <c r="DE63">
        <v>0</v>
      </c>
      <c r="DF63">
        <v>0</v>
      </c>
      <c r="DG63">
        <v>0.25</v>
      </c>
      <c r="DH63">
        <v>1.75</v>
      </c>
      <c r="DI63">
        <v>0.5</v>
      </c>
      <c r="DJ63">
        <v>0.5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0.25</v>
      </c>
      <c r="EP63" s="51">
        <v>126</v>
      </c>
      <c r="EQ63" t="s">
        <v>440</v>
      </c>
      <c r="ER63" t="s">
        <v>439</v>
      </c>
      <c r="ES63">
        <v>79.5</v>
      </c>
      <c r="ET63">
        <v>156.875</v>
      </c>
      <c r="EU63">
        <v>94.5</v>
      </c>
      <c r="EV63">
        <v>2.75</v>
      </c>
      <c r="EW63" s="51">
        <v>126</v>
      </c>
      <c r="EX63">
        <f t="shared" si="4"/>
        <v>0</v>
      </c>
      <c r="EY63">
        <f t="shared" si="5"/>
        <v>0</v>
      </c>
      <c r="EZ63">
        <f t="shared" si="6"/>
        <v>0</v>
      </c>
      <c r="FA63">
        <f t="shared" si="6"/>
        <v>2</v>
      </c>
      <c r="FB63">
        <f t="shared" si="6"/>
        <v>4.25</v>
      </c>
      <c r="FC63">
        <f t="shared" si="6"/>
        <v>0.25</v>
      </c>
      <c r="FD63">
        <f t="shared" si="7"/>
        <v>0</v>
      </c>
      <c r="FE63">
        <f t="shared" si="7"/>
        <v>4.25</v>
      </c>
      <c r="FF63">
        <f t="shared" si="8"/>
        <v>0.25</v>
      </c>
      <c r="FG63">
        <f t="shared" si="9"/>
        <v>0</v>
      </c>
      <c r="FH63">
        <f t="shared" si="10"/>
        <v>0</v>
      </c>
      <c r="FI63">
        <f t="shared" si="11"/>
        <v>0</v>
      </c>
      <c r="FJ63">
        <f t="shared" si="11"/>
        <v>0</v>
      </c>
      <c r="FK63">
        <f t="shared" si="11"/>
        <v>0</v>
      </c>
      <c r="FL63">
        <f t="shared" si="11"/>
        <v>0</v>
      </c>
      <c r="FM63">
        <f t="shared" si="12"/>
        <v>0</v>
      </c>
      <c r="FN63">
        <f t="shared" si="12"/>
        <v>1</v>
      </c>
      <c r="FO63">
        <f t="shared" si="12"/>
        <v>0</v>
      </c>
      <c r="FP63">
        <f t="shared" si="13"/>
        <v>0</v>
      </c>
      <c r="FQ63">
        <f t="shared" si="13"/>
        <v>0</v>
      </c>
      <c r="FR63">
        <f t="shared" si="13"/>
        <v>0</v>
      </c>
      <c r="FS63">
        <f t="shared" si="14"/>
        <v>0</v>
      </c>
      <c r="FT63">
        <f t="shared" si="14"/>
        <v>0.75</v>
      </c>
      <c r="FU63">
        <f t="shared" si="14"/>
        <v>2</v>
      </c>
      <c r="FV63">
        <f t="shared" si="14"/>
        <v>1</v>
      </c>
      <c r="FW63">
        <f t="shared" si="15"/>
        <v>0</v>
      </c>
      <c r="FX63">
        <f t="shared" si="15"/>
        <v>0</v>
      </c>
      <c r="FY63">
        <f t="shared" si="15"/>
        <v>0</v>
      </c>
      <c r="FZ63">
        <f t="shared" si="16"/>
        <v>0</v>
      </c>
      <c r="GA63">
        <f t="shared" si="16"/>
        <v>0</v>
      </c>
      <c r="GB63">
        <f t="shared" si="17"/>
        <v>0</v>
      </c>
      <c r="GC63">
        <f t="shared" si="18"/>
        <v>18.5</v>
      </c>
      <c r="GD63">
        <f t="shared" si="18"/>
        <v>16.25</v>
      </c>
      <c r="GE63">
        <f t="shared" si="18"/>
        <v>0</v>
      </c>
      <c r="GF63">
        <f t="shared" si="19"/>
        <v>0</v>
      </c>
      <c r="GG63">
        <f t="shared" si="19"/>
        <v>0</v>
      </c>
      <c r="GH63">
        <f t="shared" si="19"/>
        <v>0</v>
      </c>
      <c r="GI63">
        <f t="shared" si="20"/>
        <v>333.25</v>
      </c>
      <c r="GJ63">
        <f t="shared" si="20"/>
        <v>442</v>
      </c>
      <c r="GK63">
        <f t="shared" si="21"/>
        <v>6.5</v>
      </c>
      <c r="GL63">
        <f t="shared" si="22"/>
        <v>0</v>
      </c>
      <c r="GM63">
        <f t="shared" si="23"/>
        <v>0</v>
      </c>
      <c r="GN63">
        <f t="shared" si="23"/>
        <v>0</v>
      </c>
      <c r="GO63">
        <f t="shared" si="24"/>
        <v>0.25</v>
      </c>
      <c r="GP63">
        <f t="shared" si="25"/>
        <v>3.75</v>
      </c>
      <c r="GQ63">
        <f t="shared" si="26"/>
        <v>0</v>
      </c>
      <c r="GR63">
        <f t="shared" si="27"/>
        <v>0.25</v>
      </c>
      <c r="GS63">
        <f t="shared" si="28"/>
        <v>0.25</v>
      </c>
      <c r="GT63">
        <f t="shared" si="28"/>
        <v>0</v>
      </c>
      <c r="GU63">
        <f t="shared" si="28"/>
        <v>0.75</v>
      </c>
      <c r="GV63">
        <f t="shared" si="29"/>
        <v>1.75</v>
      </c>
      <c r="GW63">
        <f t="shared" si="29"/>
        <v>0.5</v>
      </c>
      <c r="GX63">
        <f t="shared" si="29"/>
        <v>0.75</v>
      </c>
      <c r="GY63">
        <f t="shared" si="30"/>
        <v>0</v>
      </c>
      <c r="GZ63">
        <f t="shared" si="31"/>
        <v>0</v>
      </c>
      <c r="HA63">
        <f t="shared" si="32"/>
        <v>0</v>
      </c>
      <c r="HB63">
        <f t="shared" si="33"/>
        <v>0</v>
      </c>
      <c r="HC63">
        <f t="shared" si="34"/>
        <v>0</v>
      </c>
      <c r="HD63">
        <f t="shared" si="35"/>
        <v>0</v>
      </c>
      <c r="HE63">
        <f t="shared" si="36"/>
        <v>0</v>
      </c>
      <c r="HF63">
        <f t="shared" si="37"/>
        <v>0</v>
      </c>
      <c r="HG63">
        <f t="shared" si="38"/>
        <v>0</v>
      </c>
      <c r="HH63">
        <f t="shared" si="39"/>
        <v>0</v>
      </c>
      <c r="HI63">
        <f t="shared" si="40"/>
        <v>0</v>
      </c>
      <c r="HJ63">
        <f t="shared" si="41"/>
        <v>0</v>
      </c>
      <c r="HK63">
        <f t="shared" si="42"/>
        <v>0</v>
      </c>
      <c r="HL63">
        <f t="shared" si="43"/>
        <v>0</v>
      </c>
      <c r="HM63">
        <f t="shared" si="44"/>
        <v>0.25</v>
      </c>
      <c r="HO63" s="51">
        <v>126</v>
      </c>
      <c r="HP63" t="s">
        <v>440</v>
      </c>
      <c r="HQ63" t="s">
        <v>439</v>
      </c>
      <c r="HR63">
        <v>79.5</v>
      </c>
      <c r="HS63">
        <v>156.875</v>
      </c>
      <c r="HT63">
        <v>94.5</v>
      </c>
      <c r="HU63">
        <v>2.75</v>
      </c>
      <c r="HV63" s="51">
        <v>126</v>
      </c>
      <c r="HW63">
        <f t="shared" si="45"/>
        <v>0</v>
      </c>
      <c r="HX63">
        <f t="shared" si="45"/>
        <v>0</v>
      </c>
      <c r="HY63">
        <f t="shared" si="46"/>
        <v>6.5</v>
      </c>
      <c r="HZ63">
        <f t="shared" si="47"/>
        <v>4.25</v>
      </c>
      <c r="IA63">
        <f t="shared" si="48"/>
        <v>0.25</v>
      </c>
      <c r="IB63">
        <f t="shared" si="48"/>
        <v>0</v>
      </c>
      <c r="IC63">
        <f t="shared" si="48"/>
        <v>0</v>
      </c>
      <c r="ID63">
        <f t="shared" si="49"/>
        <v>0</v>
      </c>
      <c r="IE63">
        <f t="shared" si="50"/>
        <v>1</v>
      </c>
      <c r="IF63">
        <f t="shared" si="51"/>
        <v>0</v>
      </c>
      <c r="IG63">
        <f t="shared" si="52"/>
        <v>2.75</v>
      </c>
      <c r="IH63">
        <f t="shared" si="53"/>
        <v>1</v>
      </c>
      <c r="II63">
        <f t="shared" si="54"/>
        <v>0</v>
      </c>
      <c r="IJ63">
        <f t="shared" si="55"/>
        <v>0</v>
      </c>
      <c r="IK63">
        <f t="shared" si="56"/>
        <v>0</v>
      </c>
      <c r="IL63">
        <f t="shared" si="68"/>
        <v>0</v>
      </c>
      <c r="IM63">
        <f t="shared" si="57"/>
        <v>34.75</v>
      </c>
      <c r="IN63">
        <f t="shared" si="58"/>
        <v>0</v>
      </c>
      <c r="IO63">
        <f t="shared" si="69"/>
        <v>333.25</v>
      </c>
      <c r="IP63">
        <f t="shared" si="69"/>
        <v>442</v>
      </c>
      <c r="IQ63">
        <f t="shared" si="69"/>
        <v>6.5</v>
      </c>
      <c r="IR63">
        <f t="shared" si="69"/>
        <v>0</v>
      </c>
      <c r="IS63">
        <f t="shared" si="69"/>
        <v>0</v>
      </c>
      <c r="IT63">
        <f t="shared" si="67"/>
        <v>0</v>
      </c>
      <c r="IU63">
        <f t="shared" si="67"/>
        <v>0.25</v>
      </c>
      <c r="IV63">
        <f t="shared" si="67"/>
        <v>3.75</v>
      </c>
      <c r="IW63">
        <f t="shared" si="67"/>
        <v>0</v>
      </c>
      <c r="IX63">
        <f t="shared" si="67"/>
        <v>0.25</v>
      </c>
      <c r="IY63">
        <f t="shared" si="59"/>
        <v>1</v>
      </c>
      <c r="IZ63">
        <f t="shared" si="70"/>
        <v>3</v>
      </c>
      <c r="JA63">
        <f t="shared" si="71"/>
        <v>0</v>
      </c>
      <c r="JB63">
        <f t="shared" si="71"/>
        <v>0</v>
      </c>
      <c r="JC63">
        <f t="shared" si="71"/>
        <v>0</v>
      </c>
      <c r="JD63">
        <f t="shared" si="71"/>
        <v>0</v>
      </c>
      <c r="JE63">
        <f t="shared" si="71"/>
        <v>0</v>
      </c>
      <c r="JF63">
        <f t="shared" si="71"/>
        <v>0</v>
      </c>
      <c r="JG63">
        <f t="shared" si="71"/>
        <v>0</v>
      </c>
      <c r="JH63">
        <f t="shared" si="71"/>
        <v>0</v>
      </c>
      <c r="JI63">
        <f t="shared" si="71"/>
        <v>0</v>
      </c>
      <c r="JJ63">
        <f t="shared" si="71"/>
        <v>0</v>
      </c>
      <c r="JK63">
        <f t="shared" si="71"/>
        <v>0</v>
      </c>
      <c r="JL63">
        <f t="shared" si="71"/>
        <v>0</v>
      </c>
      <c r="JM63">
        <f t="shared" si="71"/>
        <v>0</v>
      </c>
      <c r="JN63">
        <f t="shared" si="71"/>
        <v>0</v>
      </c>
      <c r="JO63">
        <f t="shared" si="71"/>
        <v>0.25</v>
      </c>
    </row>
    <row r="64" spans="2:275" x14ac:dyDescent="0.25">
      <c r="B64" s="51">
        <v>128</v>
      </c>
      <c r="C64" t="s">
        <v>0</v>
      </c>
      <c r="D64" t="s">
        <v>439</v>
      </c>
      <c r="E64">
        <v>99.875</v>
      </c>
      <c r="F64">
        <v>109</v>
      </c>
      <c r="G64">
        <v>94.5</v>
      </c>
      <c r="H64">
        <v>2.375</v>
      </c>
      <c r="I64" s="51">
        <v>128</v>
      </c>
      <c r="J64">
        <v>0</v>
      </c>
      <c r="K64">
        <v>0</v>
      </c>
      <c r="L64">
        <v>0</v>
      </c>
      <c r="M64">
        <v>0.25</v>
      </c>
      <c r="N64">
        <v>0</v>
      </c>
      <c r="O64">
        <v>0.25</v>
      </c>
      <c r="P64">
        <v>1.75</v>
      </c>
      <c r="Q64">
        <v>0.75</v>
      </c>
      <c r="R64">
        <v>0</v>
      </c>
      <c r="S64">
        <v>1</v>
      </c>
      <c r="T64">
        <v>1.75</v>
      </c>
      <c r="U64">
        <v>1</v>
      </c>
      <c r="V64">
        <v>0</v>
      </c>
      <c r="W64">
        <v>6.5</v>
      </c>
      <c r="X64">
        <v>0</v>
      </c>
      <c r="Y64">
        <v>0.5</v>
      </c>
      <c r="Z64">
        <v>0.75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0.25</v>
      </c>
      <c r="AP64">
        <v>0</v>
      </c>
      <c r="AQ64">
        <v>0.75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</v>
      </c>
      <c r="BF64">
        <v>0.75</v>
      </c>
      <c r="BG64">
        <v>0.25</v>
      </c>
      <c r="BH64">
        <v>0</v>
      </c>
      <c r="BI64">
        <v>0</v>
      </c>
      <c r="BJ64">
        <v>0</v>
      </c>
      <c r="BK64">
        <v>6.25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2.75</v>
      </c>
      <c r="BX64">
        <v>18.25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337.5</v>
      </c>
      <c r="CG64">
        <v>138.75</v>
      </c>
      <c r="CH64">
        <v>64.5</v>
      </c>
      <c r="CI64">
        <v>88</v>
      </c>
      <c r="CJ64">
        <v>0</v>
      </c>
      <c r="CK64">
        <v>46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1.25</v>
      </c>
      <c r="CS64">
        <v>2</v>
      </c>
      <c r="CT64">
        <v>5.5</v>
      </c>
      <c r="CU64">
        <v>0</v>
      </c>
      <c r="CV64">
        <v>0</v>
      </c>
      <c r="CW64">
        <v>0</v>
      </c>
      <c r="CX64">
        <v>9.75</v>
      </c>
      <c r="CY64">
        <v>0</v>
      </c>
      <c r="CZ64">
        <v>1</v>
      </c>
      <c r="DA64">
        <v>0</v>
      </c>
      <c r="DB64">
        <v>0</v>
      </c>
      <c r="DC64">
        <v>0.75</v>
      </c>
      <c r="DD64">
        <v>0.25</v>
      </c>
      <c r="DE64">
        <v>0.25</v>
      </c>
      <c r="DF64">
        <v>0</v>
      </c>
      <c r="DG64">
        <v>0</v>
      </c>
      <c r="DH64">
        <v>2.25</v>
      </c>
      <c r="DI64">
        <v>0.25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0.25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3.25</v>
      </c>
      <c r="EP64" s="51">
        <v>128</v>
      </c>
      <c r="EQ64" t="s">
        <v>0</v>
      </c>
      <c r="ER64" t="s">
        <v>439</v>
      </c>
      <c r="ES64">
        <v>99.875</v>
      </c>
      <c r="ET64">
        <v>109</v>
      </c>
      <c r="EU64">
        <v>94.5</v>
      </c>
      <c r="EV64">
        <v>2.375</v>
      </c>
      <c r="EW64" s="51">
        <v>128</v>
      </c>
      <c r="EX64">
        <f t="shared" si="4"/>
        <v>0</v>
      </c>
      <c r="EY64">
        <f t="shared" si="5"/>
        <v>0.25</v>
      </c>
      <c r="EZ64">
        <f t="shared" si="6"/>
        <v>0</v>
      </c>
      <c r="FA64">
        <f t="shared" si="6"/>
        <v>1.25</v>
      </c>
      <c r="FB64">
        <f t="shared" si="6"/>
        <v>3.5</v>
      </c>
      <c r="FC64">
        <f t="shared" si="6"/>
        <v>1.75</v>
      </c>
      <c r="FD64">
        <f t="shared" si="7"/>
        <v>0</v>
      </c>
      <c r="FE64">
        <f t="shared" si="7"/>
        <v>7</v>
      </c>
      <c r="FF64">
        <f t="shared" si="8"/>
        <v>0.75</v>
      </c>
      <c r="FG64">
        <f t="shared" si="9"/>
        <v>0</v>
      </c>
      <c r="FH64">
        <f t="shared" si="10"/>
        <v>0</v>
      </c>
      <c r="FI64">
        <f t="shared" si="11"/>
        <v>0</v>
      </c>
      <c r="FJ64">
        <f t="shared" si="11"/>
        <v>0</v>
      </c>
      <c r="FK64">
        <f t="shared" si="11"/>
        <v>0</v>
      </c>
      <c r="FL64">
        <f t="shared" si="11"/>
        <v>0</v>
      </c>
      <c r="FM64">
        <f t="shared" si="12"/>
        <v>0.75</v>
      </c>
      <c r="FN64">
        <f t="shared" si="12"/>
        <v>0.25</v>
      </c>
      <c r="FO64">
        <f t="shared" si="12"/>
        <v>0</v>
      </c>
      <c r="FP64">
        <f t="shared" si="13"/>
        <v>0</v>
      </c>
      <c r="FQ64">
        <f t="shared" si="13"/>
        <v>0</v>
      </c>
      <c r="FR64">
        <f t="shared" si="13"/>
        <v>0</v>
      </c>
      <c r="FS64">
        <f t="shared" si="14"/>
        <v>0</v>
      </c>
      <c r="FT64">
        <f t="shared" si="14"/>
        <v>5</v>
      </c>
      <c r="FU64">
        <f t="shared" si="14"/>
        <v>0.75</v>
      </c>
      <c r="FV64">
        <f t="shared" si="14"/>
        <v>0.25</v>
      </c>
      <c r="FW64">
        <f t="shared" si="15"/>
        <v>6.25</v>
      </c>
      <c r="FX64">
        <f t="shared" si="15"/>
        <v>0</v>
      </c>
      <c r="FY64">
        <f t="shared" si="15"/>
        <v>0</v>
      </c>
      <c r="FZ64">
        <f t="shared" si="16"/>
        <v>0</v>
      </c>
      <c r="GA64">
        <f t="shared" si="16"/>
        <v>0</v>
      </c>
      <c r="GB64">
        <f t="shared" si="17"/>
        <v>0</v>
      </c>
      <c r="GC64">
        <f t="shared" si="18"/>
        <v>2.75</v>
      </c>
      <c r="GD64">
        <f t="shared" si="18"/>
        <v>18.25</v>
      </c>
      <c r="GE64">
        <f t="shared" si="18"/>
        <v>0</v>
      </c>
      <c r="GF64">
        <f t="shared" si="19"/>
        <v>0</v>
      </c>
      <c r="GG64">
        <f t="shared" si="19"/>
        <v>0</v>
      </c>
      <c r="GH64">
        <f t="shared" si="19"/>
        <v>0</v>
      </c>
      <c r="GI64">
        <f t="shared" si="20"/>
        <v>402</v>
      </c>
      <c r="GJ64">
        <f t="shared" si="20"/>
        <v>226.75</v>
      </c>
      <c r="GK64">
        <f t="shared" si="21"/>
        <v>46</v>
      </c>
      <c r="GL64">
        <f t="shared" si="22"/>
        <v>0</v>
      </c>
      <c r="GM64">
        <f t="shared" si="23"/>
        <v>0</v>
      </c>
      <c r="GN64">
        <f t="shared" si="23"/>
        <v>0</v>
      </c>
      <c r="GO64">
        <f t="shared" si="24"/>
        <v>1.25</v>
      </c>
      <c r="GP64">
        <f t="shared" si="25"/>
        <v>7.5</v>
      </c>
      <c r="GQ64">
        <f t="shared" si="26"/>
        <v>0</v>
      </c>
      <c r="GR64">
        <f t="shared" si="27"/>
        <v>9.75</v>
      </c>
      <c r="GS64">
        <f t="shared" si="28"/>
        <v>0</v>
      </c>
      <c r="GT64">
        <f t="shared" si="28"/>
        <v>1.75</v>
      </c>
      <c r="GU64">
        <f t="shared" si="28"/>
        <v>0.25</v>
      </c>
      <c r="GV64">
        <f t="shared" si="29"/>
        <v>2.5</v>
      </c>
      <c r="GW64">
        <f t="shared" si="29"/>
        <v>0.25</v>
      </c>
      <c r="GX64">
        <f t="shared" si="29"/>
        <v>0</v>
      </c>
      <c r="GY64">
        <f t="shared" si="30"/>
        <v>0</v>
      </c>
      <c r="GZ64">
        <f t="shared" si="31"/>
        <v>0</v>
      </c>
      <c r="HA64">
        <f t="shared" si="32"/>
        <v>0</v>
      </c>
      <c r="HB64">
        <f t="shared" si="33"/>
        <v>0</v>
      </c>
      <c r="HC64">
        <f t="shared" si="34"/>
        <v>0</v>
      </c>
      <c r="HD64">
        <f t="shared" si="35"/>
        <v>0.25</v>
      </c>
      <c r="HE64">
        <f t="shared" si="36"/>
        <v>0</v>
      </c>
      <c r="HF64">
        <f t="shared" si="37"/>
        <v>0</v>
      </c>
      <c r="HG64">
        <f t="shared" si="38"/>
        <v>0</v>
      </c>
      <c r="HH64">
        <f t="shared" si="39"/>
        <v>0</v>
      </c>
      <c r="HI64">
        <f t="shared" si="40"/>
        <v>0</v>
      </c>
      <c r="HJ64">
        <f t="shared" si="41"/>
        <v>0</v>
      </c>
      <c r="HK64">
        <f t="shared" si="42"/>
        <v>0</v>
      </c>
      <c r="HL64">
        <f t="shared" si="43"/>
        <v>0</v>
      </c>
      <c r="HM64">
        <f t="shared" si="44"/>
        <v>3.25</v>
      </c>
      <c r="HO64" s="51">
        <v>128</v>
      </c>
      <c r="HP64" t="s">
        <v>0</v>
      </c>
      <c r="HQ64" t="s">
        <v>439</v>
      </c>
      <c r="HR64">
        <v>99.875</v>
      </c>
      <c r="HS64">
        <v>109</v>
      </c>
      <c r="HT64">
        <v>94.5</v>
      </c>
      <c r="HU64">
        <v>2.375</v>
      </c>
      <c r="HV64" s="51">
        <v>128</v>
      </c>
      <c r="HW64">
        <f t="shared" si="45"/>
        <v>0</v>
      </c>
      <c r="HX64">
        <f t="shared" si="45"/>
        <v>0.25</v>
      </c>
      <c r="HY64">
        <f t="shared" si="46"/>
        <v>6.5</v>
      </c>
      <c r="HZ64">
        <f t="shared" si="47"/>
        <v>7</v>
      </c>
      <c r="IA64">
        <f t="shared" si="48"/>
        <v>0.75</v>
      </c>
      <c r="IB64">
        <f t="shared" si="48"/>
        <v>0</v>
      </c>
      <c r="IC64">
        <f t="shared" si="48"/>
        <v>0</v>
      </c>
      <c r="ID64">
        <f t="shared" si="49"/>
        <v>0</v>
      </c>
      <c r="IE64">
        <f t="shared" si="50"/>
        <v>1</v>
      </c>
      <c r="IF64">
        <f t="shared" si="51"/>
        <v>0</v>
      </c>
      <c r="IG64">
        <f t="shared" si="52"/>
        <v>5.75</v>
      </c>
      <c r="IH64">
        <f t="shared" si="53"/>
        <v>0.25</v>
      </c>
      <c r="II64">
        <f t="shared" si="54"/>
        <v>6.25</v>
      </c>
      <c r="IJ64">
        <f t="shared" si="55"/>
        <v>0</v>
      </c>
      <c r="IK64">
        <f t="shared" si="56"/>
        <v>0</v>
      </c>
      <c r="IL64">
        <f t="shared" si="68"/>
        <v>0</v>
      </c>
      <c r="IM64">
        <f t="shared" si="57"/>
        <v>21</v>
      </c>
      <c r="IN64">
        <f t="shared" si="58"/>
        <v>0</v>
      </c>
      <c r="IO64">
        <f t="shared" si="69"/>
        <v>402</v>
      </c>
      <c r="IP64">
        <f t="shared" si="69"/>
        <v>226.75</v>
      </c>
      <c r="IQ64">
        <f t="shared" si="69"/>
        <v>46</v>
      </c>
      <c r="IR64">
        <f t="shared" si="69"/>
        <v>0</v>
      </c>
      <c r="IS64">
        <f t="shared" si="69"/>
        <v>0</v>
      </c>
      <c r="IT64">
        <f t="shared" si="67"/>
        <v>0</v>
      </c>
      <c r="IU64">
        <f t="shared" si="67"/>
        <v>1.25</v>
      </c>
      <c r="IV64">
        <f t="shared" si="67"/>
        <v>7.5</v>
      </c>
      <c r="IW64">
        <f t="shared" si="67"/>
        <v>0</v>
      </c>
      <c r="IX64">
        <f t="shared" si="67"/>
        <v>9.75</v>
      </c>
      <c r="IY64">
        <f t="shared" si="59"/>
        <v>2</v>
      </c>
      <c r="IZ64">
        <f t="shared" si="70"/>
        <v>2.75</v>
      </c>
      <c r="JA64">
        <f t="shared" si="71"/>
        <v>0</v>
      </c>
      <c r="JB64">
        <f t="shared" si="71"/>
        <v>0</v>
      </c>
      <c r="JC64">
        <f t="shared" si="71"/>
        <v>0</v>
      </c>
      <c r="JD64">
        <f t="shared" si="71"/>
        <v>0</v>
      </c>
      <c r="JE64">
        <f t="shared" si="71"/>
        <v>0</v>
      </c>
      <c r="JF64">
        <f t="shared" si="71"/>
        <v>0.25</v>
      </c>
      <c r="JG64">
        <f t="shared" si="71"/>
        <v>0</v>
      </c>
      <c r="JH64">
        <f t="shared" si="71"/>
        <v>0</v>
      </c>
      <c r="JI64">
        <f t="shared" si="71"/>
        <v>0</v>
      </c>
      <c r="JJ64">
        <f t="shared" si="71"/>
        <v>0</v>
      </c>
      <c r="JK64">
        <f t="shared" si="71"/>
        <v>0</v>
      </c>
      <c r="JL64">
        <f t="shared" si="71"/>
        <v>0</v>
      </c>
      <c r="JM64">
        <f t="shared" si="71"/>
        <v>0</v>
      </c>
      <c r="JN64">
        <f t="shared" si="71"/>
        <v>0</v>
      </c>
      <c r="JO64">
        <f t="shared" si="71"/>
        <v>3.25</v>
      </c>
    </row>
    <row r="65" spans="2:275" x14ac:dyDescent="0.25">
      <c r="B65" s="51">
        <v>129</v>
      </c>
      <c r="C65" t="s">
        <v>0</v>
      </c>
      <c r="D65" t="s">
        <v>439</v>
      </c>
      <c r="E65">
        <v>92.25</v>
      </c>
      <c r="F65">
        <v>70</v>
      </c>
      <c r="G65">
        <v>162.5</v>
      </c>
      <c r="H65">
        <v>2.25</v>
      </c>
      <c r="I65" s="51">
        <v>129</v>
      </c>
      <c r="J65">
        <v>0</v>
      </c>
      <c r="K65">
        <v>0</v>
      </c>
      <c r="L65">
        <v>0</v>
      </c>
      <c r="M65">
        <v>0</v>
      </c>
      <c r="N65">
        <v>0</v>
      </c>
      <c r="O65">
        <v>6</v>
      </c>
      <c r="P65">
        <v>0.5</v>
      </c>
      <c r="Q65">
        <v>0</v>
      </c>
      <c r="R65">
        <v>0</v>
      </c>
      <c r="S65">
        <v>1.5</v>
      </c>
      <c r="T65">
        <v>0</v>
      </c>
      <c r="U65">
        <v>0.5</v>
      </c>
      <c r="V65">
        <v>0</v>
      </c>
      <c r="W65">
        <v>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28.5</v>
      </c>
      <c r="BX65">
        <v>10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2075</v>
      </c>
      <c r="CG65">
        <v>640</v>
      </c>
      <c r="CH65">
        <v>46</v>
      </c>
      <c r="CI65">
        <v>45.5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0.5</v>
      </c>
      <c r="CT65">
        <v>1.5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0.5</v>
      </c>
      <c r="DD65">
        <v>0</v>
      </c>
      <c r="DE65">
        <v>0</v>
      </c>
      <c r="DF65">
        <v>0</v>
      </c>
      <c r="DG65">
        <v>0</v>
      </c>
      <c r="DH65">
        <v>3</v>
      </c>
      <c r="DI65">
        <v>0.5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P65" s="51">
        <v>129</v>
      </c>
      <c r="EQ65" t="s">
        <v>0</v>
      </c>
      <c r="ER65" t="s">
        <v>439</v>
      </c>
      <c r="ES65">
        <v>92.25</v>
      </c>
      <c r="ET65">
        <v>70</v>
      </c>
      <c r="EU65">
        <v>162.5</v>
      </c>
      <c r="EV65">
        <v>2.25</v>
      </c>
      <c r="EW65" s="51">
        <v>129</v>
      </c>
      <c r="EX65">
        <f t="shared" si="4"/>
        <v>0</v>
      </c>
      <c r="EY65">
        <f t="shared" si="5"/>
        <v>0</v>
      </c>
      <c r="EZ65">
        <f t="shared" si="6"/>
        <v>0</v>
      </c>
      <c r="FA65">
        <f t="shared" si="6"/>
        <v>7.5</v>
      </c>
      <c r="FB65">
        <f t="shared" si="6"/>
        <v>0.5</v>
      </c>
      <c r="FC65">
        <f t="shared" si="6"/>
        <v>0.5</v>
      </c>
      <c r="FD65">
        <f t="shared" si="7"/>
        <v>0</v>
      </c>
      <c r="FE65">
        <f t="shared" si="7"/>
        <v>7</v>
      </c>
      <c r="FF65">
        <f t="shared" si="8"/>
        <v>0</v>
      </c>
      <c r="FG65">
        <f t="shared" si="9"/>
        <v>0</v>
      </c>
      <c r="FH65">
        <f t="shared" si="10"/>
        <v>0</v>
      </c>
      <c r="FI65">
        <f t="shared" si="11"/>
        <v>0</v>
      </c>
      <c r="FJ65">
        <f t="shared" si="11"/>
        <v>0</v>
      </c>
      <c r="FK65">
        <f t="shared" si="11"/>
        <v>0</v>
      </c>
      <c r="FL65">
        <f t="shared" si="11"/>
        <v>0</v>
      </c>
      <c r="FM65">
        <f t="shared" si="12"/>
        <v>0.5</v>
      </c>
      <c r="FN65">
        <f t="shared" si="12"/>
        <v>0</v>
      </c>
      <c r="FO65">
        <f t="shared" si="12"/>
        <v>0</v>
      </c>
      <c r="FP65">
        <f t="shared" si="13"/>
        <v>0</v>
      </c>
      <c r="FQ65">
        <f t="shared" si="13"/>
        <v>0</v>
      </c>
      <c r="FR65">
        <f t="shared" si="13"/>
        <v>0</v>
      </c>
      <c r="FS65">
        <f t="shared" si="14"/>
        <v>0</v>
      </c>
      <c r="FT65">
        <f t="shared" si="14"/>
        <v>3</v>
      </c>
      <c r="FU65">
        <f t="shared" si="14"/>
        <v>0</v>
      </c>
      <c r="FV65">
        <f t="shared" si="14"/>
        <v>0</v>
      </c>
      <c r="FW65">
        <f t="shared" si="15"/>
        <v>0</v>
      </c>
      <c r="FX65">
        <f t="shared" si="15"/>
        <v>0</v>
      </c>
      <c r="FY65">
        <f t="shared" si="15"/>
        <v>0</v>
      </c>
      <c r="FZ65">
        <f t="shared" si="16"/>
        <v>0</v>
      </c>
      <c r="GA65">
        <f t="shared" si="16"/>
        <v>0</v>
      </c>
      <c r="GB65">
        <f t="shared" si="17"/>
        <v>0</v>
      </c>
      <c r="GC65">
        <f t="shared" si="18"/>
        <v>28.5</v>
      </c>
      <c r="GD65">
        <f t="shared" si="18"/>
        <v>10</v>
      </c>
      <c r="GE65">
        <f t="shared" si="18"/>
        <v>0</v>
      </c>
      <c r="GF65">
        <f t="shared" si="19"/>
        <v>0</v>
      </c>
      <c r="GG65">
        <f t="shared" si="19"/>
        <v>0</v>
      </c>
      <c r="GH65">
        <f t="shared" si="19"/>
        <v>0</v>
      </c>
      <c r="GI65">
        <f t="shared" si="20"/>
        <v>2121</v>
      </c>
      <c r="GJ65">
        <f t="shared" si="20"/>
        <v>685.5</v>
      </c>
      <c r="GK65">
        <f t="shared" si="21"/>
        <v>0</v>
      </c>
      <c r="GL65">
        <f t="shared" si="22"/>
        <v>0</v>
      </c>
      <c r="GM65">
        <f t="shared" si="23"/>
        <v>0</v>
      </c>
      <c r="GN65">
        <f t="shared" si="23"/>
        <v>0</v>
      </c>
      <c r="GO65">
        <f t="shared" si="24"/>
        <v>0</v>
      </c>
      <c r="GP65">
        <f t="shared" si="25"/>
        <v>2</v>
      </c>
      <c r="GQ65">
        <f t="shared" si="26"/>
        <v>0</v>
      </c>
      <c r="GR65">
        <f t="shared" si="27"/>
        <v>0</v>
      </c>
      <c r="GS65">
        <f t="shared" si="28"/>
        <v>0</v>
      </c>
      <c r="GT65">
        <f t="shared" si="28"/>
        <v>0.5</v>
      </c>
      <c r="GU65">
        <f t="shared" si="28"/>
        <v>0</v>
      </c>
      <c r="GV65">
        <f t="shared" si="29"/>
        <v>3</v>
      </c>
      <c r="GW65">
        <f t="shared" si="29"/>
        <v>0.5</v>
      </c>
      <c r="GX65">
        <f t="shared" si="29"/>
        <v>0</v>
      </c>
      <c r="GY65">
        <f t="shared" si="30"/>
        <v>0</v>
      </c>
      <c r="GZ65">
        <f t="shared" si="31"/>
        <v>0</v>
      </c>
      <c r="HA65">
        <f t="shared" si="32"/>
        <v>0</v>
      </c>
      <c r="HB65">
        <f t="shared" si="33"/>
        <v>0</v>
      </c>
      <c r="HC65">
        <f t="shared" si="34"/>
        <v>0</v>
      </c>
      <c r="HD65">
        <f t="shared" si="35"/>
        <v>0</v>
      </c>
      <c r="HE65">
        <f t="shared" si="36"/>
        <v>0</v>
      </c>
      <c r="HF65">
        <f t="shared" si="37"/>
        <v>0</v>
      </c>
      <c r="HG65">
        <f t="shared" si="38"/>
        <v>0</v>
      </c>
      <c r="HH65">
        <f t="shared" si="39"/>
        <v>0</v>
      </c>
      <c r="HI65">
        <f t="shared" si="40"/>
        <v>0</v>
      </c>
      <c r="HJ65">
        <f t="shared" si="41"/>
        <v>0</v>
      </c>
      <c r="HK65">
        <f t="shared" si="42"/>
        <v>0</v>
      </c>
      <c r="HL65">
        <f t="shared" si="43"/>
        <v>0</v>
      </c>
      <c r="HM65">
        <f t="shared" si="44"/>
        <v>0</v>
      </c>
      <c r="HO65" s="51">
        <v>129</v>
      </c>
      <c r="HP65" t="s">
        <v>0</v>
      </c>
      <c r="HQ65" t="s">
        <v>439</v>
      </c>
      <c r="HR65">
        <v>92.25</v>
      </c>
      <c r="HS65">
        <v>70</v>
      </c>
      <c r="HT65">
        <v>162.5</v>
      </c>
      <c r="HU65">
        <v>2.25</v>
      </c>
      <c r="HV65" s="51">
        <v>129</v>
      </c>
      <c r="HW65">
        <f t="shared" si="45"/>
        <v>0</v>
      </c>
      <c r="HX65">
        <f t="shared" si="45"/>
        <v>0</v>
      </c>
      <c r="HY65">
        <f t="shared" si="46"/>
        <v>8.5</v>
      </c>
      <c r="HZ65">
        <f t="shared" si="47"/>
        <v>7</v>
      </c>
      <c r="IA65">
        <f t="shared" si="48"/>
        <v>0</v>
      </c>
      <c r="IB65">
        <f t="shared" si="48"/>
        <v>0</v>
      </c>
      <c r="IC65">
        <f t="shared" si="48"/>
        <v>0</v>
      </c>
      <c r="ID65">
        <f t="shared" si="49"/>
        <v>0</v>
      </c>
      <c r="IE65">
        <f t="shared" si="50"/>
        <v>0.5</v>
      </c>
      <c r="IF65">
        <f t="shared" si="51"/>
        <v>0</v>
      </c>
      <c r="IG65">
        <f t="shared" si="52"/>
        <v>3</v>
      </c>
      <c r="IH65">
        <f t="shared" si="53"/>
        <v>0</v>
      </c>
      <c r="II65">
        <f t="shared" si="54"/>
        <v>0</v>
      </c>
      <c r="IJ65">
        <f t="shared" si="55"/>
        <v>0</v>
      </c>
      <c r="IK65">
        <f t="shared" si="56"/>
        <v>0</v>
      </c>
      <c r="IL65">
        <f t="shared" si="68"/>
        <v>0</v>
      </c>
      <c r="IM65">
        <f t="shared" si="57"/>
        <v>38.5</v>
      </c>
      <c r="IN65">
        <f t="shared" si="58"/>
        <v>0</v>
      </c>
      <c r="IO65">
        <f t="shared" si="69"/>
        <v>2121</v>
      </c>
      <c r="IP65">
        <f t="shared" si="69"/>
        <v>685.5</v>
      </c>
      <c r="IQ65">
        <f t="shared" si="69"/>
        <v>0</v>
      </c>
      <c r="IR65">
        <f t="shared" si="69"/>
        <v>0</v>
      </c>
      <c r="IS65">
        <f t="shared" si="69"/>
        <v>0</v>
      </c>
      <c r="IT65">
        <f t="shared" si="67"/>
        <v>0</v>
      </c>
      <c r="IU65">
        <f t="shared" si="67"/>
        <v>0</v>
      </c>
      <c r="IV65">
        <f t="shared" si="67"/>
        <v>2</v>
      </c>
      <c r="IW65">
        <f t="shared" si="67"/>
        <v>0</v>
      </c>
      <c r="IX65">
        <f t="shared" si="67"/>
        <v>0</v>
      </c>
      <c r="IY65">
        <f t="shared" si="59"/>
        <v>0.5</v>
      </c>
      <c r="IZ65">
        <f t="shared" si="70"/>
        <v>3.5</v>
      </c>
      <c r="JA65">
        <f t="shared" si="71"/>
        <v>0</v>
      </c>
      <c r="JB65">
        <f t="shared" si="71"/>
        <v>0</v>
      </c>
      <c r="JC65">
        <f t="shared" si="71"/>
        <v>0</v>
      </c>
      <c r="JD65">
        <f t="shared" si="71"/>
        <v>0</v>
      </c>
      <c r="JE65">
        <f t="shared" si="71"/>
        <v>0</v>
      </c>
      <c r="JF65">
        <f t="shared" si="71"/>
        <v>0</v>
      </c>
      <c r="JG65">
        <f t="shared" si="71"/>
        <v>0</v>
      </c>
      <c r="JH65">
        <f t="shared" si="71"/>
        <v>0</v>
      </c>
      <c r="JI65">
        <f t="shared" si="71"/>
        <v>0</v>
      </c>
      <c r="JJ65">
        <f t="shared" si="71"/>
        <v>0</v>
      </c>
      <c r="JK65">
        <f t="shared" si="71"/>
        <v>0</v>
      </c>
      <c r="JL65">
        <f t="shared" si="71"/>
        <v>0</v>
      </c>
      <c r="JM65">
        <f t="shared" si="71"/>
        <v>0</v>
      </c>
      <c r="JN65">
        <f t="shared" si="71"/>
        <v>0</v>
      </c>
      <c r="JO65">
        <f t="shared" si="71"/>
        <v>0</v>
      </c>
    </row>
    <row r="66" spans="2:275" x14ac:dyDescent="0.25">
      <c r="B66" s="51">
        <v>132</v>
      </c>
      <c r="C66" t="s">
        <v>0</v>
      </c>
      <c r="D66" t="s">
        <v>439</v>
      </c>
      <c r="E66">
        <v>64.25</v>
      </c>
      <c r="F66">
        <v>69.166666666666657</v>
      </c>
      <c r="G66">
        <v>39.666666666666671</v>
      </c>
      <c r="H66">
        <v>3.458333333333333</v>
      </c>
      <c r="I66" s="51">
        <v>132</v>
      </c>
      <c r="J66">
        <v>0</v>
      </c>
      <c r="K66">
        <v>0</v>
      </c>
      <c r="L66">
        <v>0</v>
      </c>
      <c r="M66">
        <v>0</v>
      </c>
      <c r="N66">
        <v>0</v>
      </c>
      <c r="O66">
        <v>3.25</v>
      </c>
      <c r="P66">
        <v>0.33333333333333331</v>
      </c>
      <c r="Q66">
        <v>0</v>
      </c>
      <c r="R66">
        <v>0</v>
      </c>
      <c r="S66">
        <v>1.5</v>
      </c>
      <c r="T66">
        <v>0</v>
      </c>
      <c r="U66">
        <v>0</v>
      </c>
      <c r="V66">
        <v>0</v>
      </c>
      <c r="W66">
        <v>5</v>
      </c>
      <c r="X66">
        <v>0</v>
      </c>
      <c r="Y66">
        <v>1.75</v>
      </c>
      <c r="Z66">
        <v>1.5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1.3333333333333333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2.9166666666666665</v>
      </c>
      <c r="BF66">
        <v>0.33333333333333331</v>
      </c>
      <c r="BG66">
        <v>0.33333333333333331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0.25</v>
      </c>
      <c r="BN66">
        <v>0</v>
      </c>
      <c r="BO66">
        <v>0</v>
      </c>
      <c r="BP66">
        <v>0</v>
      </c>
      <c r="BQ66">
        <v>0.33333333333333331</v>
      </c>
      <c r="BR66">
        <v>0</v>
      </c>
      <c r="BS66">
        <v>0</v>
      </c>
      <c r="BT66">
        <v>0</v>
      </c>
      <c r="BU66">
        <v>3.3333333333333335</v>
      </c>
      <c r="BV66">
        <v>0</v>
      </c>
      <c r="BW66">
        <v>29</v>
      </c>
      <c r="BX66">
        <v>8.9166666666666661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755</v>
      </c>
      <c r="CG66">
        <v>765</v>
      </c>
      <c r="CH66">
        <v>113</v>
      </c>
      <c r="CI66">
        <v>367.66666666666669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0.25</v>
      </c>
      <c r="CS66">
        <v>0.83333333333333326</v>
      </c>
      <c r="CT66">
        <v>3.8333333333333335</v>
      </c>
      <c r="CU66">
        <v>0</v>
      </c>
      <c r="CV66">
        <v>2.0833333333333335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0.33333333333333331</v>
      </c>
      <c r="DE66">
        <v>0</v>
      </c>
      <c r="DF66">
        <v>0.25</v>
      </c>
      <c r="DG66">
        <v>0</v>
      </c>
      <c r="DH66">
        <v>0.33333333333333331</v>
      </c>
      <c r="DI66">
        <v>0</v>
      </c>
      <c r="DJ66">
        <v>0.33333333333333331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0.33333333333333331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1.5</v>
      </c>
      <c r="EP66" s="51">
        <v>132</v>
      </c>
      <c r="EQ66" t="s">
        <v>0</v>
      </c>
      <c r="ER66" t="s">
        <v>439</v>
      </c>
      <c r="ES66">
        <v>64.25</v>
      </c>
      <c r="ET66">
        <v>69.166666666666657</v>
      </c>
      <c r="EU66">
        <v>39.666666666666671</v>
      </c>
      <c r="EV66">
        <v>3.458333333333333</v>
      </c>
      <c r="EW66" s="51">
        <v>132</v>
      </c>
      <c r="EX66">
        <f t="shared" si="4"/>
        <v>0</v>
      </c>
      <c r="EY66">
        <f t="shared" si="5"/>
        <v>0</v>
      </c>
      <c r="EZ66">
        <f t="shared" si="6"/>
        <v>0</v>
      </c>
      <c r="FA66">
        <f t="shared" si="6"/>
        <v>4.75</v>
      </c>
      <c r="FB66">
        <f t="shared" si="6"/>
        <v>0.33333333333333331</v>
      </c>
      <c r="FC66">
        <f t="shared" si="6"/>
        <v>0</v>
      </c>
      <c r="FD66">
        <f t="shared" si="7"/>
        <v>0</v>
      </c>
      <c r="FE66">
        <f t="shared" si="7"/>
        <v>6.75</v>
      </c>
      <c r="FF66">
        <f t="shared" si="8"/>
        <v>1.5</v>
      </c>
      <c r="FG66">
        <f t="shared" si="9"/>
        <v>0</v>
      </c>
      <c r="FH66">
        <f t="shared" si="10"/>
        <v>0</v>
      </c>
      <c r="FI66">
        <f t="shared" si="11"/>
        <v>0</v>
      </c>
      <c r="FJ66">
        <f t="shared" si="11"/>
        <v>0</v>
      </c>
      <c r="FK66">
        <f t="shared" si="11"/>
        <v>0</v>
      </c>
      <c r="FL66">
        <f t="shared" si="11"/>
        <v>0</v>
      </c>
      <c r="FM66">
        <f t="shared" si="12"/>
        <v>1.3333333333333333</v>
      </c>
      <c r="FN66">
        <f t="shared" si="12"/>
        <v>1</v>
      </c>
      <c r="FO66">
        <f t="shared" si="12"/>
        <v>0</v>
      </c>
      <c r="FP66">
        <f t="shared" si="13"/>
        <v>0</v>
      </c>
      <c r="FQ66">
        <f t="shared" si="13"/>
        <v>0</v>
      </c>
      <c r="FR66">
        <f t="shared" si="13"/>
        <v>0</v>
      </c>
      <c r="FS66">
        <f t="shared" si="14"/>
        <v>0</v>
      </c>
      <c r="FT66">
        <f t="shared" si="14"/>
        <v>2.9166666666666665</v>
      </c>
      <c r="FU66">
        <f t="shared" si="14"/>
        <v>0.33333333333333331</v>
      </c>
      <c r="FV66">
        <f t="shared" si="14"/>
        <v>0.33333333333333331</v>
      </c>
      <c r="FW66">
        <f t="shared" si="15"/>
        <v>0</v>
      </c>
      <c r="FX66">
        <f t="shared" si="15"/>
        <v>0</v>
      </c>
      <c r="FY66">
        <f t="shared" si="15"/>
        <v>0.25</v>
      </c>
      <c r="FZ66">
        <f t="shared" si="16"/>
        <v>0</v>
      </c>
      <c r="GA66">
        <f t="shared" si="16"/>
        <v>0.33333333333333331</v>
      </c>
      <c r="GB66">
        <f t="shared" si="17"/>
        <v>0</v>
      </c>
      <c r="GC66">
        <f t="shared" si="18"/>
        <v>29</v>
      </c>
      <c r="GD66">
        <f t="shared" si="18"/>
        <v>12.25</v>
      </c>
      <c r="GE66">
        <f t="shared" si="18"/>
        <v>0</v>
      </c>
      <c r="GF66">
        <f t="shared" si="19"/>
        <v>0</v>
      </c>
      <c r="GG66">
        <f t="shared" si="19"/>
        <v>0</v>
      </c>
      <c r="GH66">
        <f t="shared" si="19"/>
        <v>0</v>
      </c>
      <c r="GI66">
        <f t="shared" si="20"/>
        <v>868</v>
      </c>
      <c r="GJ66">
        <f t="shared" si="20"/>
        <v>1132.6666666666667</v>
      </c>
      <c r="GK66">
        <f t="shared" si="21"/>
        <v>0</v>
      </c>
      <c r="GL66">
        <f t="shared" si="22"/>
        <v>0</v>
      </c>
      <c r="GM66">
        <f t="shared" si="23"/>
        <v>0</v>
      </c>
      <c r="GN66">
        <f t="shared" si="23"/>
        <v>0</v>
      </c>
      <c r="GO66">
        <f t="shared" si="24"/>
        <v>0.25</v>
      </c>
      <c r="GP66">
        <f t="shared" si="25"/>
        <v>4.666666666666667</v>
      </c>
      <c r="GQ66">
        <f t="shared" si="26"/>
        <v>2.0833333333333335</v>
      </c>
      <c r="GR66">
        <f t="shared" si="27"/>
        <v>0</v>
      </c>
      <c r="GS66">
        <f t="shared" si="28"/>
        <v>0</v>
      </c>
      <c r="GT66">
        <f t="shared" si="28"/>
        <v>0</v>
      </c>
      <c r="GU66">
        <f t="shared" si="28"/>
        <v>0.33333333333333331</v>
      </c>
      <c r="GV66">
        <f t="shared" si="29"/>
        <v>0.33333333333333331</v>
      </c>
      <c r="GW66">
        <f t="shared" si="29"/>
        <v>0.25</v>
      </c>
      <c r="GX66">
        <f t="shared" si="29"/>
        <v>0.33333333333333331</v>
      </c>
      <c r="GY66">
        <f t="shared" si="30"/>
        <v>0</v>
      </c>
      <c r="GZ66">
        <f t="shared" si="31"/>
        <v>0</v>
      </c>
      <c r="HA66">
        <f t="shared" si="32"/>
        <v>0</v>
      </c>
      <c r="HB66">
        <f t="shared" si="33"/>
        <v>0</v>
      </c>
      <c r="HC66">
        <f t="shared" si="34"/>
        <v>0</v>
      </c>
      <c r="HD66">
        <f t="shared" si="35"/>
        <v>0</v>
      </c>
      <c r="HE66">
        <f t="shared" si="36"/>
        <v>0</v>
      </c>
      <c r="HF66">
        <f t="shared" si="37"/>
        <v>0</v>
      </c>
      <c r="HG66">
        <f t="shared" si="38"/>
        <v>0.33333333333333331</v>
      </c>
      <c r="HH66">
        <f t="shared" si="39"/>
        <v>0</v>
      </c>
      <c r="HI66">
        <f t="shared" si="40"/>
        <v>0</v>
      </c>
      <c r="HJ66">
        <f t="shared" si="41"/>
        <v>0</v>
      </c>
      <c r="HK66">
        <f t="shared" si="42"/>
        <v>0</v>
      </c>
      <c r="HL66">
        <f t="shared" si="43"/>
        <v>0</v>
      </c>
      <c r="HM66">
        <f t="shared" si="44"/>
        <v>1.5</v>
      </c>
      <c r="HO66" s="51">
        <v>132</v>
      </c>
      <c r="HP66" t="s">
        <v>0</v>
      </c>
      <c r="HQ66" t="s">
        <v>439</v>
      </c>
      <c r="HR66">
        <v>64.25</v>
      </c>
      <c r="HS66">
        <v>69.166666666666657</v>
      </c>
      <c r="HT66">
        <v>39.666666666666671</v>
      </c>
      <c r="HU66">
        <v>3.458333333333333</v>
      </c>
      <c r="HV66" s="51">
        <v>132</v>
      </c>
      <c r="HW66">
        <f t="shared" si="45"/>
        <v>0</v>
      </c>
      <c r="HX66">
        <f t="shared" si="45"/>
        <v>0</v>
      </c>
      <c r="HY66">
        <f t="shared" si="46"/>
        <v>5.083333333333333</v>
      </c>
      <c r="HZ66">
        <f t="shared" si="47"/>
        <v>6.75</v>
      </c>
      <c r="IA66">
        <f t="shared" si="48"/>
        <v>1.5</v>
      </c>
      <c r="IB66">
        <f t="shared" si="48"/>
        <v>0</v>
      </c>
      <c r="IC66">
        <f t="shared" si="48"/>
        <v>0</v>
      </c>
      <c r="ID66">
        <f t="shared" si="49"/>
        <v>0</v>
      </c>
      <c r="IE66">
        <f t="shared" si="50"/>
        <v>2.333333333333333</v>
      </c>
      <c r="IF66">
        <f t="shared" si="51"/>
        <v>0</v>
      </c>
      <c r="IG66">
        <f t="shared" si="52"/>
        <v>3.25</v>
      </c>
      <c r="IH66">
        <f t="shared" si="53"/>
        <v>0.33333333333333331</v>
      </c>
      <c r="II66">
        <f t="shared" si="54"/>
        <v>0.25</v>
      </c>
      <c r="IJ66">
        <f t="shared" si="55"/>
        <v>0</v>
      </c>
      <c r="IK66">
        <f t="shared" si="56"/>
        <v>0.33333333333333331</v>
      </c>
      <c r="IL66">
        <f t="shared" si="68"/>
        <v>0</v>
      </c>
      <c r="IM66">
        <f t="shared" si="57"/>
        <v>41.25</v>
      </c>
      <c r="IN66">
        <f t="shared" si="58"/>
        <v>0</v>
      </c>
      <c r="IO66">
        <f t="shared" si="69"/>
        <v>868</v>
      </c>
      <c r="IP66">
        <f t="shared" si="69"/>
        <v>1132.6666666666667</v>
      </c>
      <c r="IQ66">
        <f t="shared" si="69"/>
        <v>0</v>
      </c>
      <c r="IR66">
        <f t="shared" si="69"/>
        <v>0</v>
      </c>
      <c r="IS66">
        <f t="shared" si="69"/>
        <v>0</v>
      </c>
      <c r="IT66">
        <f t="shared" si="67"/>
        <v>0</v>
      </c>
      <c r="IU66">
        <f t="shared" si="67"/>
        <v>0.25</v>
      </c>
      <c r="IV66">
        <f t="shared" si="67"/>
        <v>4.666666666666667</v>
      </c>
      <c r="IW66">
        <f t="shared" si="67"/>
        <v>2.0833333333333335</v>
      </c>
      <c r="IX66">
        <f t="shared" si="67"/>
        <v>0</v>
      </c>
      <c r="IY66">
        <f t="shared" si="59"/>
        <v>0.33333333333333331</v>
      </c>
      <c r="IZ66">
        <f t="shared" si="70"/>
        <v>0.91666666666666652</v>
      </c>
      <c r="JA66">
        <f t="shared" si="71"/>
        <v>0</v>
      </c>
      <c r="JB66">
        <f t="shared" si="71"/>
        <v>0</v>
      </c>
      <c r="JC66">
        <f t="shared" si="71"/>
        <v>0</v>
      </c>
      <c r="JD66">
        <f t="shared" si="71"/>
        <v>0</v>
      </c>
      <c r="JE66">
        <f t="shared" si="71"/>
        <v>0</v>
      </c>
      <c r="JF66">
        <f t="shared" si="71"/>
        <v>0</v>
      </c>
      <c r="JG66">
        <f t="shared" si="71"/>
        <v>0</v>
      </c>
      <c r="JH66">
        <f t="shared" si="71"/>
        <v>0</v>
      </c>
      <c r="JI66">
        <f t="shared" si="71"/>
        <v>0.33333333333333331</v>
      </c>
      <c r="JJ66">
        <f t="shared" si="71"/>
        <v>0</v>
      </c>
      <c r="JK66">
        <f t="shared" si="71"/>
        <v>0</v>
      </c>
      <c r="JL66">
        <f t="shared" si="71"/>
        <v>0</v>
      </c>
      <c r="JM66">
        <f t="shared" si="71"/>
        <v>0</v>
      </c>
      <c r="JN66">
        <f t="shared" si="71"/>
        <v>0</v>
      </c>
      <c r="JO66">
        <f t="shared" si="71"/>
        <v>1.5</v>
      </c>
    </row>
    <row r="67" spans="2:275" x14ac:dyDescent="0.25">
      <c r="B67" s="51">
        <v>133</v>
      </c>
      <c r="C67" t="s">
        <v>16</v>
      </c>
      <c r="D67" t="s">
        <v>439</v>
      </c>
      <c r="E67">
        <v>90</v>
      </c>
      <c r="F67">
        <v>117.5</v>
      </c>
      <c r="G67">
        <v>108.125</v>
      </c>
      <c r="H67">
        <v>2.375</v>
      </c>
      <c r="I67" s="51">
        <v>133</v>
      </c>
      <c r="J67">
        <v>0</v>
      </c>
      <c r="K67">
        <v>0.25</v>
      </c>
      <c r="L67">
        <v>0</v>
      </c>
      <c r="M67">
        <v>0</v>
      </c>
      <c r="N67">
        <v>0</v>
      </c>
      <c r="O67">
        <v>2</v>
      </c>
      <c r="P67">
        <v>0</v>
      </c>
      <c r="Q67">
        <v>0.5</v>
      </c>
      <c r="R67">
        <v>0</v>
      </c>
      <c r="S67">
        <v>1.25</v>
      </c>
      <c r="T67">
        <v>1.5</v>
      </c>
      <c r="U67">
        <v>0.25</v>
      </c>
      <c r="V67">
        <v>0</v>
      </c>
      <c r="W67">
        <v>6</v>
      </c>
      <c r="X67">
        <v>0</v>
      </c>
      <c r="Y67">
        <v>0.5</v>
      </c>
      <c r="Z67">
        <v>1</v>
      </c>
      <c r="AA67">
        <v>0.5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0.25</v>
      </c>
      <c r="AM67">
        <v>0</v>
      </c>
      <c r="AN67">
        <v>0</v>
      </c>
      <c r="AO67">
        <v>0</v>
      </c>
      <c r="AP67">
        <v>0</v>
      </c>
      <c r="AQ67">
        <v>2</v>
      </c>
      <c r="AR67">
        <v>0.25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0.75</v>
      </c>
      <c r="BC67">
        <v>0.25</v>
      </c>
      <c r="BD67">
        <v>0.25</v>
      </c>
      <c r="BE67">
        <v>1.25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2.5</v>
      </c>
      <c r="BX67">
        <v>7.5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270</v>
      </c>
      <c r="CG67">
        <v>240.5</v>
      </c>
      <c r="CH67">
        <v>103</v>
      </c>
      <c r="CI67">
        <v>11</v>
      </c>
      <c r="CJ67">
        <v>0</v>
      </c>
      <c r="CK67">
        <v>15.5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0.75</v>
      </c>
      <c r="CT67">
        <v>4.75</v>
      </c>
      <c r="CU67">
        <v>0</v>
      </c>
      <c r="CV67">
        <v>0.25</v>
      </c>
      <c r="CW67">
        <v>0</v>
      </c>
      <c r="CX67">
        <v>20</v>
      </c>
      <c r="CY67">
        <v>0</v>
      </c>
      <c r="CZ67">
        <v>0</v>
      </c>
      <c r="DA67">
        <v>0.25</v>
      </c>
      <c r="DB67">
        <v>0</v>
      </c>
      <c r="DC67">
        <v>0</v>
      </c>
      <c r="DD67">
        <v>0.25</v>
      </c>
      <c r="DE67">
        <v>0.25</v>
      </c>
      <c r="DF67">
        <v>0</v>
      </c>
      <c r="DG67">
        <v>0</v>
      </c>
      <c r="DH67">
        <v>3.5</v>
      </c>
      <c r="DI67">
        <v>1.5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0.5</v>
      </c>
      <c r="EB67">
        <v>0</v>
      </c>
      <c r="EC67">
        <v>6.25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P67" s="51">
        <v>133</v>
      </c>
      <c r="EQ67" t="s">
        <v>16</v>
      </c>
      <c r="ER67" t="s">
        <v>439</v>
      </c>
      <c r="ES67">
        <v>90</v>
      </c>
      <c r="ET67">
        <v>117.5</v>
      </c>
      <c r="EU67">
        <v>108.125</v>
      </c>
      <c r="EV67">
        <v>2.375</v>
      </c>
      <c r="EW67" s="51">
        <v>133</v>
      </c>
      <c r="EX67">
        <f t="shared" si="4"/>
        <v>0.25</v>
      </c>
      <c r="EY67">
        <f t="shared" si="5"/>
        <v>0</v>
      </c>
      <c r="EZ67">
        <f t="shared" si="6"/>
        <v>0</v>
      </c>
      <c r="FA67">
        <f t="shared" si="6"/>
        <v>3.25</v>
      </c>
      <c r="FB67">
        <f t="shared" si="6"/>
        <v>1.5</v>
      </c>
      <c r="FC67">
        <f t="shared" si="6"/>
        <v>0.75</v>
      </c>
      <c r="FD67">
        <f t="shared" si="7"/>
        <v>0</v>
      </c>
      <c r="FE67">
        <f t="shared" si="7"/>
        <v>6.5</v>
      </c>
      <c r="FF67">
        <f t="shared" si="8"/>
        <v>1.5</v>
      </c>
      <c r="FG67">
        <f t="shared" si="9"/>
        <v>0</v>
      </c>
      <c r="FH67">
        <f t="shared" si="10"/>
        <v>0</v>
      </c>
      <c r="FI67">
        <f t="shared" si="11"/>
        <v>0</v>
      </c>
      <c r="FJ67">
        <f t="shared" si="11"/>
        <v>0</v>
      </c>
      <c r="FK67">
        <f t="shared" si="11"/>
        <v>0.25</v>
      </c>
      <c r="FL67">
        <f t="shared" si="11"/>
        <v>0</v>
      </c>
      <c r="FM67">
        <f t="shared" si="12"/>
        <v>2</v>
      </c>
      <c r="FN67">
        <f t="shared" si="12"/>
        <v>0.25</v>
      </c>
      <c r="FO67">
        <f t="shared" si="12"/>
        <v>0</v>
      </c>
      <c r="FP67">
        <f t="shared" si="13"/>
        <v>0</v>
      </c>
      <c r="FQ67">
        <f t="shared" si="13"/>
        <v>0</v>
      </c>
      <c r="FR67">
        <f t="shared" si="13"/>
        <v>0</v>
      </c>
      <c r="FS67">
        <f t="shared" si="14"/>
        <v>0.25</v>
      </c>
      <c r="FT67">
        <f t="shared" si="14"/>
        <v>1.25</v>
      </c>
      <c r="FU67">
        <f t="shared" si="14"/>
        <v>1.75</v>
      </c>
      <c r="FV67">
        <f t="shared" si="14"/>
        <v>1.25</v>
      </c>
      <c r="FW67">
        <f t="shared" si="15"/>
        <v>0</v>
      </c>
      <c r="FX67">
        <f t="shared" si="15"/>
        <v>0</v>
      </c>
      <c r="FY67">
        <f t="shared" si="15"/>
        <v>0</v>
      </c>
      <c r="FZ67">
        <f t="shared" si="16"/>
        <v>0</v>
      </c>
      <c r="GA67">
        <f t="shared" si="16"/>
        <v>0</v>
      </c>
      <c r="GB67">
        <f t="shared" si="17"/>
        <v>0</v>
      </c>
      <c r="GC67">
        <f t="shared" si="18"/>
        <v>2.5</v>
      </c>
      <c r="GD67">
        <f t="shared" si="18"/>
        <v>7.5</v>
      </c>
      <c r="GE67">
        <f t="shared" si="18"/>
        <v>0</v>
      </c>
      <c r="GF67">
        <f t="shared" si="19"/>
        <v>0</v>
      </c>
      <c r="GG67">
        <f t="shared" si="19"/>
        <v>0</v>
      </c>
      <c r="GH67">
        <f t="shared" si="19"/>
        <v>0</v>
      </c>
      <c r="GI67">
        <f t="shared" si="20"/>
        <v>373</v>
      </c>
      <c r="GJ67">
        <f t="shared" si="20"/>
        <v>251.5</v>
      </c>
      <c r="GK67">
        <f t="shared" si="21"/>
        <v>15.5</v>
      </c>
      <c r="GL67">
        <f t="shared" si="22"/>
        <v>0</v>
      </c>
      <c r="GM67">
        <f t="shared" si="23"/>
        <v>0</v>
      </c>
      <c r="GN67">
        <f t="shared" si="23"/>
        <v>0</v>
      </c>
      <c r="GO67">
        <f t="shared" si="24"/>
        <v>0</v>
      </c>
      <c r="GP67">
        <f t="shared" si="25"/>
        <v>5.5</v>
      </c>
      <c r="GQ67">
        <f t="shared" si="26"/>
        <v>0.25</v>
      </c>
      <c r="GR67">
        <f t="shared" si="27"/>
        <v>20</v>
      </c>
      <c r="GS67">
        <f t="shared" si="28"/>
        <v>0</v>
      </c>
      <c r="GT67">
        <f t="shared" si="28"/>
        <v>0</v>
      </c>
      <c r="GU67">
        <f t="shared" si="28"/>
        <v>0.5</v>
      </c>
      <c r="GV67">
        <f t="shared" si="29"/>
        <v>3.75</v>
      </c>
      <c r="GW67">
        <f t="shared" si="29"/>
        <v>1.5</v>
      </c>
      <c r="GX67">
        <f t="shared" si="29"/>
        <v>0</v>
      </c>
      <c r="GY67">
        <f t="shared" si="30"/>
        <v>0</v>
      </c>
      <c r="GZ67">
        <f t="shared" si="31"/>
        <v>0</v>
      </c>
      <c r="HA67">
        <f t="shared" si="32"/>
        <v>0</v>
      </c>
      <c r="HB67">
        <f t="shared" si="33"/>
        <v>0</v>
      </c>
      <c r="HC67">
        <f t="shared" si="34"/>
        <v>0</v>
      </c>
      <c r="HD67">
        <f t="shared" si="35"/>
        <v>0</v>
      </c>
      <c r="HE67">
        <f t="shared" si="36"/>
        <v>0</v>
      </c>
      <c r="HF67">
        <f t="shared" si="37"/>
        <v>0</v>
      </c>
      <c r="HG67">
        <f t="shared" si="38"/>
        <v>0.5</v>
      </c>
      <c r="HH67">
        <f t="shared" si="39"/>
        <v>6.25</v>
      </c>
      <c r="HI67">
        <f t="shared" si="40"/>
        <v>0</v>
      </c>
      <c r="HJ67">
        <f t="shared" si="41"/>
        <v>0</v>
      </c>
      <c r="HK67">
        <f t="shared" si="42"/>
        <v>0</v>
      </c>
      <c r="HL67">
        <f t="shared" si="43"/>
        <v>0</v>
      </c>
      <c r="HM67">
        <f t="shared" si="44"/>
        <v>1</v>
      </c>
      <c r="HO67" s="51">
        <v>133</v>
      </c>
      <c r="HP67" t="s">
        <v>16</v>
      </c>
      <c r="HQ67" t="s">
        <v>439</v>
      </c>
      <c r="HR67">
        <v>90</v>
      </c>
      <c r="HS67">
        <v>117.5</v>
      </c>
      <c r="HT67">
        <v>108.125</v>
      </c>
      <c r="HU67">
        <v>2.375</v>
      </c>
      <c r="HV67" s="51">
        <v>133</v>
      </c>
      <c r="HW67">
        <f t="shared" si="45"/>
        <v>0.25</v>
      </c>
      <c r="HX67">
        <f t="shared" si="45"/>
        <v>0</v>
      </c>
      <c r="HY67">
        <f t="shared" si="46"/>
        <v>5.5</v>
      </c>
      <c r="HZ67">
        <f t="shared" si="47"/>
        <v>6.5</v>
      </c>
      <c r="IA67">
        <f t="shared" si="48"/>
        <v>1.5</v>
      </c>
      <c r="IB67">
        <f t="shared" si="48"/>
        <v>0</v>
      </c>
      <c r="IC67">
        <f t="shared" si="48"/>
        <v>0</v>
      </c>
      <c r="ID67">
        <f t="shared" si="49"/>
        <v>0.25</v>
      </c>
      <c r="IE67">
        <f t="shared" si="50"/>
        <v>2.25</v>
      </c>
      <c r="IF67">
        <f t="shared" si="51"/>
        <v>0</v>
      </c>
      <c r="IG67">
        <f t="shared" si="52"/>
        <v>3.25</v>
      </c>
      <c r="IH67">
        <f t="shared" si="53"/>
        <v>1.25</v>
      </c>
      <c r="II67">
        <f t="shared" si="54"/>
        <v>0</v>
      </c>
      <c r="IJ67">
        <f t="shared" si="55"/>
        <v>0</v>
      </c>
      <c r="IK67">
        <f t="shared" si="56"/>
        <v>0</v>
      </c>
      <c r="IL67">
        <f t="shared" si="68"/>
        <v>0</v>
      </c>
      <c r="IM67">
        <f t="shared" si="57"/>
        <v>10</v>
      </c>
      <c r="IN67">
        <f t="shared" si="58"/>
        <v>0</v>
      </c>
      <c r="IO67">
        <f t="shared" si="69"/>
        <v>373</v>
      </c>
      <c r="IP67">
        <f t="shared" si="69"/>
        <v>251.5</v>
      </c>
      <c r="IQ67">
        <f t="shared" si="69"/>
        <v>15.5</v>
      </c>
      <c r="IR67">
        <f t="shared" si="69"/>
        <v>0</v>
      </c>
      <c r="IS67">
        <f t="shared" si="69"/>
        <v>0</v>
      </c>
      <c r="IT67">
        <f t="shared" si="67"/>
        <v>0</v>
      </c>
      <c r="IU67">
        <f t="shared" si="67"/>
        <v>0</v>
      </c>
      <c r="IV67">
        <f t="shared" si="67"/>
        <v>5.5</v>
      </c>
      <c r="IW67">
        <f t="shared" si="67"/>
        <v>0.25</v>
      </c>
      <c r="IX67">
        <f t="shared" si="67"/>
        <v>20</v>
      </c>
      <c r="IY67">
        <f t="shared" si="59"/>
        <v>0.5</v>
      </c>
      <c r="IZ67">
        <f t="shared" si="70"/>
        <v>5.25</v>
      </c>
      <c r="JA67">
        <f t="shared" si="71"/>
        <v>0</v>
      </c>
      <c r="JB67">
        <f t="shared" si="71"/>
        <v>0</v>
      </c>
      <c r="JC67">
        <f t="shared" si="71"/>
        <v>0</v>
      </c>
      <c r="JD67">
        <f t="shared" si="71"/>
        <v>0</v>
      </c>
      <c r="JE67">
        <f t="shared" si="71"/>
        <v>0</v>
      </c>
      <c r="JF67">
        <f t="shared" si="71"/>
        <v>0</v>
      </c>
      <c r="JG67">
        <f t="shared" si="71"/>
        <v>0</v>
      </c>
      <c r="JH67">
        <f t="shared" si="71"/>
        <v>0</v>
      </c>
      <c r="JI67">
        <f t="shared" si="71"/>
        <v>0.5</v>
      </c>
      <c r="JJ67">
        <f t="shared" si="71"/>
        <v>6.25</v>
      </c>
      <c r="JK67">
        <f t="shared" si="71"/>
        <v>0</v>
      </c>
      <c r="JL67">
        <f t="shared" si="71"/>
        <v>0</v>
      </c>
      <c r="JM67">
        <f t="shared" si="71"/>
        <v>0</v>
      </c>
      <c r="JN67">
        <f t="shared" si="71"/>
        <v>0</v>
      </c>
      <c r="JO67">
        <f t="shared" si="71"/>
        <v>1</v>
      </c>
    </row>
    <row r="68" spans="2:275" x14ac:dyDescent="0.25">
      <c r="B68" s="51">
        <v>134</v>
      </c>
      <c r="C68" t="s">
        <v>16</v>
      </c>
      <c r="D68" t="s">
        <v>439</v>
      </c>
      <c r="E68">
        <v>53.6875</v>
      </c>
      <c r="F68">
        <v>63.75</v>
      </c>
      <c r="G68">
        <v>26</v>
      </c>
      <c r="H68">
        <v>3</v>
      </c>
      <c r="I68" s="51">
        <v>134</v>
      </c>
      <c r="J68">
        <v>0</v>
      </c>
      <c r="K68">
        <v>0</v>
      </c>
      <c r="L68">
        <v>0</v>
      </c>
      <c r="M68">
        <v>0</v>
      </c>
      <c r="N68">
        <v>0</v>
      </c>
      <c r="O68">
        <v>1.25</v>
      </c>
      <c r="P68">
        <v>0.25</v>
      </c>
      <c r="Q68">
        <v>0.25</v>
      </c>
      <c r="R68">
        <v>0</v>
      </c>
      <c r="S68">
        <v>0.25</v>
      </c>
      <c r="T68">
        <v>0.5</v>
      </c>
      <c r="U68">
        <v>0</v>
      </c>
      <c r="V68">
        <v>0</v>
      </c>
      <c r="W68">
        <v>1.75</v>
      </c>
      <c r="X68">
        <v>0</v>
      </c>
      <c r="Y68">
        <v>0.5</v>
      </c>
      <c r="Z68">
        <v>0</v>
      </c>
      <c r="AA68">
        <v>0.25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0.75</v>
      </c>
      <c r="AR68">
        <v>1.25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0.25</v>
      </c>
      <c r="BC68">
        <v>0.25</v>
      </c>
      <c r="BD68">
        <v>0</v>
      </c>
      <c r="BE68">
        <v>3.75</v>
      </c>
      <c r="BF68">
        <v>0.5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5</v>
      </c>
      <c r="BX68">
        <v>3.25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301.25</v>
      </c>
      <c r="CG68">
        <v>60</v>
      </c>
      <c r="CH68">
        <v>66</v>
      </c>
      <c r="CI68">
        <v>36.25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0.25</v>
      </c>
      <c r="CS68">
        <v>0.75</v>
      </c>
      <c r="CT68">
        <v>2.25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0.25</v>
      </c>
      <c r="DF68">
        <v>0</v>
      </c>
      <c r="DG68">
        <v>0.25</v>
      </c>
      <c r="DH68">
        <v>0.5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P68" s="51">
        <v>134</v>
      </c>
      <c r="EQ68" t="s">
        <v>16</v>
      </c>
      <c r="ER68" t="s">
        <v>439</v>
      </c>
      <c r="ES68">
        <v>53.6875</v>
      </c>
      <c r="ET68">
        <v>63.75</v>
      </c>
      <c r="EU68">
        <v>26</v>
      </c>
      <c r="EV68">
        <v>3</v>
      </c>
      <c r="EW68" s="51">
        <v>134</v>
      </c>
      <c r="EX68">
        <f t="shared" si="4"/>
        <v>0</v>
      </c>
      <c r="EY68">
        <f t="shared" si="5"/>
        <v>0</v>
      </c>
      <c r="EZ68">
        <f t="shared" si="6"/>
        <v>0</v>
      </c>
      <c r="FA68">
        <f t="shared" si="6"/>
        <v>1.5</v>
      </c>
      <c r="FB68">
        <f t="shared" si="6"/>
        <v>0.75</v>
      </c>
      <c r="FC68">
        <f t="shared" si="6"/>
        <v>0.25</v>
      </c>
      <c r="FD68">
        <f t="shared" si="7"/>
        <v>0</v>
      </c>
      <c r="FE68">
        <f t="shared" si="7"/>
        <v>2.25</v>
      </c>
      <c r="FF68">
        <f t="shared" si="8"/>
        <v>0.25</v>
      </c>
      <c r="FG68">
        <f t="shared" si="9"/>
        <v>0</v>
      </c>
      <c r="FH68">
        <f t="shared" si="10"/>
        <v>0</v>
      </c>
      <c r="FI68">
        <f t="shared" si="11"/>
        <v>0</v>
      </c>
      <c r="FJ68">
        <f t="shared" si="11"/>
        <v>0</v>
      </c>
      <c r="FK68">
        <f t="shared" si="11"/>
        <v>0</v>
      </c>
      <c r="FL68">
        <f t="shared" si="11"/>
        <v>0</v>
      </c>
      <c r="FM68">
        <f t="shared" si="12"/>
        <v>0.75</v>
      </c>
      <c r="FN68">
        <f t="shared" si="12"/>
        <v>1.25</v>
      </c>
      <c r="FO68">
        <f t="shared" si="12"/>
        <v>0</v>
      </c>
      <c r="FP68">
        <f t="shared" si="13"/>
        <v>0</v>
      </c>
      <c r="FQ68">
        <f t="shared" si="13"/>
        <v>0</v>
      </c>
      <c r="FR68">
        <f t="shared" si="13"/>
        <v>0</v>
      </c>
      <c r="FS68">
        <f t="shared" si="14"/>
        <v>0</v>
      </c>
      <c r="FT68">
        <f t="shared" si="14"/>
        <v>3.75</v>
      </c>
      <c r="FU68">
        <f t="shared" si="14"/>
        <v>0.75</v>
      </c>
      <c r="FV68">
        <f t="shared" si="14"/>
        <v>0.25</v>
      </c>
      <c r="FW68">
        <f t="shared" si="15"/>
        <v>0</v>
      </c>
      <c r="FX68">
        <f t="shared" si="15"/>
        <v>0</v>
      </c>
      <c r="FY68">
        <f t="shared" si="15"/>
        <v>0</v>
      </c>
      <c r="FZ68">
        <f t="shared" si="16"/>
        <v>0</v>
      </c>
      <c r="GA68">
        <f t="shared" si="16"/>
        <v>0</v>
      </c>
      <c r="GB68">
        <f t="shared" si="17"/>
        <v>0</v>
      </c>
      <c r="GC68">
        <f t="shared" si="18"/>
        <v>5</v>
      </c>
      <c r="GD68">
        <f t="shared" si="18"/>
        <v>3.25</v>
      </c>
      <c r="GE68">
        <f t="shared" si="18"/>
        <v>0</v>
      </c>
      <c r="GF68">
        <f t="shared" si="19"/>
        <v>0</v>
      </c>
      <c r="GG68">
        <f t="shared" si="19"/>
        <v>0</v>
      </c>
      <c r="GH68">
        <f t="shared" si="19"/>
        <v>0</v>
      </c>
      <c r="GI68">
        <f t="shared" si="20"/>
        <v>367.25</v>
      </c>
      <c r="GJ68">
        <f t="shared" si="20"/>
        <v>96.25</v>
      </c>
      <c r="GK68">
        <f t="shared" si="21"/>
        <v>0</v>
      </c>
      <c r="GL68">
        <f t="shared" si="22"/>
        <v>0</v>
      </c>
      <c r="GM68">
        <f t="shared" si="23"/>
        <v>0</v>
      </c>
      <c r="GN68">
        <f t="shared" si="23"/>
        <v>0</v>
      </c>
      <c r="GO68">
        <f t="shared" si="24"/>
        <v>0.25</v>
      </c>
      <c r="GP68">
        <f t="shared" si="25"/>
        <v>3</v>
      </c>
      <c r="GQ68">
        <f t="shared" si="26"/>
        <v>0</v>
      </c>
      <c r="GR68">
        <f t="shared" si="27"/>
        <v>0</v>
      </c>
      <c r="GS68">
        <f t="shared" si="28"/>
        <v>0</v>
      </c>
      <c r="GT68">
        <f t="shared" si="28"/>
        <v>0</v>
      </c>
      <c r="GU68">
        <f t="shared" si="28"/>
        <v>0</v>
      </c>
      <c r="GV68">
        <f t="shared" si="29"/>
        <v>0.75</v>
      </c>
      <c r="GW68">
        <f t="shared" si="29"/>
        <v>0</v>
      </c>
      <c r="GX68">
        <f t="shared" si="29"/>
        <v>0.25</v>
      </c>
      <c r="GY68">
        <f t="shared" si="30"/>
        <v>0</v>
      </c>
      <c r="GZ68">
        <f t="shared" si="31"/>
        <v>0</v>
      </c>
      <c r="HA68">
        <f t="shared" si="32"/>
        <v>0</v>
      </c>
      <c r="HB68">
        <f t="shared" si="33"/>
        <v>0</v>
      </c>
      <c r="HC68">
        <f t="shared" si="34"/>
        <v>0</v>
      </c>
      <c r="HD68">
        <f t="shared" si="35"/>
        <v>0</v>
      </c>
      <c r="HE68">
        <f t="shared" si="36"/>
        <v>0</v>
      </c>
      <c r="HF68">
        <f t="shared" si="37"/>
        <v>0</v>
      </c>
      <c r="HG68">
        <f t="shared" si="38"/>
        <v>0</v>
      </c>
      <c r="HH68">
        <f t="shared" si="39"/>
        <v>0</v>
      </c>
      <c r="HI68">
        <f t="shared" si="40"/>
        <v>0</v>
      </c>
      <c r="HJ68">
        <f t="shared" si="41"/>
        <v>0</v>
      </c>
      <c r="HK68">
        <f t="shared" si="42"/>
        <v>0</v>
      </c>
      <c r="HL68">
        <f t="shared" si="43"/>
        <v>0</v>
      </c>
      <c r="HM68">
        <f t="shared" si="44"/>
        <v>1</v>
      </c>
      <c r="HO68" s="51">
        <v>134</v>
      </c>
      <c r="HP68" t="s">
        <v>16</v>
      </c>
      <c r="HQ68" t="s">
        <v>439</v>
      </c>
      <c r="HR68">
        <v>53.6875</v>
      </c>
      <c r="HS68">
        <v>63.75</v>
      </c>
      <c r="HT68">
        <v>26</v>
      </c>
      <c r="HU68">
        <v>3</v>
      </c>
      <c r="HV68" s="51">
        <v>134</v>
      </c>
      <c r="HW68">
        <f t="shared" si="45"/>
        <v>0</v>
      </c>
      <c r="HX68">
        <f t="shared" si="45"/>
        <v>0</v>
      </c>
      <c r="HY68">
        <f t="shared" si="46"/>
        <v>2.5</v>
      </c>
      <c r="HZ68">
        <f t="shared" si="47"/>
        <v>2.25</v>
      </c>
      <c r="IA68">
        <f t="shared" si="48"/>
        <v>0.25</v>
      </c>
      <c r="IB68">
        <f t="shared" si="48"/>
        <v>0</v>
      </c>
      <c r="IC68">
        <f t="shared" si="48"/>
        <v>0</v>
      </c>
      <c r="ID68">
        <f t="shared" si="49"/>
        <v>0</v>
      </c>
      <c r="IE68">
        <f t="shared" si="50"/>
        <v>2</v>
      </c>
      <c r="IF68">
        <f t="shared" si="51"/>
        <v>0</v>
      </c>
      <c r="IG68">
        <f t="shared" si="52"/>
        <v>4.5</v>
      </c>
      <c r="IH68">
        <f t="shared" si="53"/>
        <v>0.25</v>
      </c>
      <c r="II68">
        <f t="shared" si="54"/>
        <v>0</v>
      </c>
      <c r="IJ68">
        <f t="shared" si="55"/>
        <v>0</v>
      </c>
      <c r="IK68">
        <f t="shared" si="56"/>
        <v>0</v>
      </c>
      <c r="IL68">
        <f t="shared" si="68"/>
        <v>0</v>
      </c>
      <c r="IM68">
        <f t="shared" si="57"/>
        <v>8.25</v>
      </c>
      <c r="IN68">
        <f t="shared" si="58"/>
        <v>0</v>
      </c>
      <c r="IO68">
        <f t="shared" si="69"/>
        <v>367.25</v>
      </c>
      <c r="IP68">
        <f t="shared" si="69"/>
        <v>96.25</v>
      </c>
      <c r="IQ68">
        <f t="shared" si="69"/>
        <v>0</v>
      </c>
      <c r="IR68">
        <f t="shared" si="69"/>
        <v>0</v>
      </c>
      <c r="IS68">
        <f t="shared" si="69"/>
        <v>0</v>
      </c>
      <c r="IT68">
        <f t="shared" si="67"/>
        <v>0</v>
      </c>
      <c r="IU68">
        <f t="shared" si="67"/>
        <v>0.25</v>
      </c>
      <c r="IV68">
        <f t="shared" si="67"/>
        <v>3</v>
      </c>
      <c r="IW68">
        <f t="shared" si="67"/>
        <v>0</v>
      </c>
      <c r="IX68">
        <f t="shared" si="67"/>
        <v>0</v>
      </c>
      <c r="IY68">
        <f t="shared" si="59"/>
        <v>0</v>
      </c>
      <c r="IZ68">
        <f t="shared" si="70"/>
        <v>1</v>
      </c>
      <c r="JA68">
        <f t="shared" si="71"/>
        <v>0</v>
      </c>
      <c r="JB68">
        <f t="shared" si="71"/>
        <v>0</v>
      </c>
      <c r="JC68">
        <f t="shared" si="71"/>
        <v>0</v>
      </c>
      <c r="JD68">
        <f t="shared" si="71"/>
        <v>0</v>
      </c>
      <c r="JE68">
        <f t="shared" si="71"/>
        <v>0</v>
      </c>
      <c r="JF68">
        <f t="shared" si="71"/>
        <v>0</v>
      </c>
      <c r="JG68">
        <f t="shared" si="71"/>
        <v>0</v>
      </c>
      <c r="JH68">
        <f t="shared" si="71"/>
        <v>0</v>
      </c>
      <c r="JI68">
        <f t="shared" si="71"/>
        <v>0</v>
      </c>
      <c r="JJ68">
        <f t="shared" si="71"/>
        <v>0</v>
      </c>
      <c r="JK68">
        <f t="shared" si="71"/>
        <v>0</v>
      </c>
      <c r="JL68">
        <f t="shared" si="71"/>
        <v>0</v>
      </c>
      <c r="JM68">
        <f t="shared" si="71"/>
        <v>0</v>
      </c>
      <c r="JN68">
        <f t="shared" si="71"/>
        <v>0</v>
      </c>
      <c r="JO68">
        <f t="shared" si="71"/>
        <v>1</v>
      </c>
    </row>
    <row r="69" spans="2:275" x14ac:dyDescent="0.25">
      <c r="B69" s="51">
        <v>135</v>
      </c>
      <c r="C69" t="s">
        <v>16</v>
      </c>
      <c r="D69" t="s">
        <v>439</v>
      </c>
      <c r="E69">
        <v>79.5</v>
      </c>
      <c r="F69">
        <v>93.125</v>
      </c>
      <c r="G69">
        <v>59.125</v>
      </c>
      <c r="H69">
        <v>3.25</v>
      </c>
      <c r="I69" s="51">
        <v>135</v>
      </c>
      <c r="J69">
        <v>0</v>
      </c>
      <c r="K69">
        <v>0</v>
      </c>
      <c r="L69">
        <v>0</v>
      </c>
      <c r="M69">
        <v>0.25</v>
      </c>
      <c r="N69">
        <v>0</v>
      </c>
      <c r="O69">
        <v>0</v>
      </c>
      <c r="P69">
        <v>0.25</v>
      </c>
      <c r="Q69">
        <v>0</v>
      </c>
      <c r="R69">
        <v>0</v>
      </c>
      <c r="S69">
        <v>0.25</v>
      </c>
      <c r="T69">
        <v>0</v>
      </c>
      <c r="U69">
        <v>0.5</v>
      </c>
      <c r="V69">
        <v>0</v>
      </c>
      <c r="W69">
        <v>2</v>
      </c>
      <c r="X69">
        <v>0</v>
      </c>
      <c r="Y69">
        <v>0</v>
      </c>
      <c r="Z69">
        <v>0.5</v>
      </c>
      <c r="AA69">
        <v>0</v>
      </c>
      <c r="AB69">
        <v>0</v>
      </c>
      <c r="AC69">
        <v>0</v>
      </c>
      <c r="AD69">
        <v>0</v>
      </c>
      <c r="AE69">
        <v>0.25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0.25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25.75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2.75</v>
      </c>
      <c r="BF69">
        <v>0.75</v>
      </c>
      <c r="BG69">
        <v>0.75</v>
      </c>
      <c r="BH69">
        <v>0</v>
      </c>
      <c r="BI69">
        <v>0</v>
      </c>
      <c r="BJ69">
        <v>0</v>
      </c>
      <c r="BK69">
        <v>5.5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7.5</v>
      </c>
      <c r="BX69">
        <v>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202.5</v>
      </c>
      <c r="CG69">
        <v>235</v>
      </c>
      <c r="CH69">
        <v>30.75</v>
      </c>
      <c r="CI69">
        <v>119.75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0.5</v>
      </c>
      <c r="CP69">
        <v>0</v>
      </c>
      <c r="CQ69">
        <v>0</v>
      </c>
      <c r="CR69">
        <v>2.25</v>
      </c>
      <c r="CS69">
        <v>1.5</v>
      </c>
      <c r="CT69">
        <v>3.5</v>
      </c>
      <c r="CU69">
        <v>0</v>
      </c>
      <c r="CV69">
        <v>0.25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0.25</v>
      </c>
      <c r="DD69">
        <v>0.5</v>
      </c>
      <c r="DE69">
        <v>0.25</v>
      </c>
      <c r="DF69">
        <v>0</v>
      </c>
      <c r="DG69">
        <v>1.5</v>
      </c>
      <c r="DH69">
        <v>1.5</v>
      </c>
      <c r="DI69">
        <v>0.5</v>
      </c>
      <c r="DJ69">
        <v>0.25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0.5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P69" s="51">
        <v>135</v>
      </c>
      <c r="EQ69" t="s">
        <v>16</v>
      </c>
      <c r="ER69" t="s">
        <v>439</v>
      </c>
      <c r="ES69">
        <v>79.5</v>
      </c>
      <c r="ET69">
        <v>93.125</v>
      </c>
      <c r="EU69">
        <v>59.125</v>
      </c>
      <c r="EV69">
        <v>3.25</v>
      </c>
      <c r="EW69" s="51">
        <v>135</v>
      </c>
      <c r="EX69">
        <f t="shared" si="4"/>
        <v>0</v>
      </c>
      <c r="EY69">
        <f t="shared" si="5"/>
        <v>0.25</v>
      </c>
      <c r="EZ69">
        <f t="shared" si="6"/>
        <v>0</v>
      </c>
      <c r="FA69">
        <f t="shared" si="6"/>
        <v>0.25</v>
      </c>
      <c r="FB69">
        <f t="shared" si="6"/>
        <v>0.25</v>
      </c>
      <c r="FC69">
        <f t="shared" si="6"/>
        <v>0.5</v>
      </c>
      <c r="FD69">
        <f t="shared" si="7"/>
        <v>0</v>
      </c>
      <c r="FE69">
        <f t="shared" si="7"/>
        <v>2</v>
      </c>
      <c r="FF69">
        <f t="shared" si="8"/>
        <v>0.5</v>
      </c>
      <c r="FG69">
        <f t="shared" si="9"/>
        <v>0</v>
      </c>
      <c r="FH69">
        <f t="shared" si="10"/>
        <v>0.25</v>
      </c>
      <c r="FI69">
        <f t="shared" si="11"/>
        <v>0</v>
      </c>
      <c r="FJ69">
        <f t="shared" si="11"/>
        <v>0</v>
      </c>
      <c r="FK69">
        <f t="shared" si="11"/>
        <v>0</v>
      </c>
      <c r="FL69">
        <f t="shared" si="11"/>
        <v>0</v>
      </c>
      <c r="FM69">
        <f t="shared" si="12"/>
        <v>0.25</v>
      </c>
      <c r="FN69">
        <f t="shared" si="12"/>
        <v>0</v>
      </c>
      <c r="FO69">
        <f t="shared" si="12"/>
        <v>0</v>
      </c>
      <c r="FP69">
        <f t="shared" si="13"/>
        <v>25.75</v>
      </c>
      <c r="FQ69">
        <f t="shared" si="13"/>
        <v>0</v>
      </c>
      <c r="FR69">
        <f t="shared" si="13"/>
        <v>0</v>
      </c>
      <c r="FS69">
        <f t="shared" si="14"/>
        <v>0</v>
      </c>
      <c r="FT69">
        <f t="shared" si="14"/>
        <v>2.75</v>
      </c>
      <c r="FU69">
        <f t="shared" si="14"/>
        <v>0.75</v>
      </c>
      <c r="FV69">
        <f t="shared" si="14"/>
        <v>0.75</v>
      </c>
      <c r="FW69">
        <f t="shared" si="15"/>
        <v>5.5</v>
      </c>
      <c r="FX69">
        <f t="shared" si="15"/>
        <v>0</v>
      </c>
      <c r="FY69">
        <f t="shared" si="15"/>
        <v>0</v>
      </c>
      <c r="FZ69">
        <f t="shared" si="16"/>
        <v>0</v>
      </c>
      <c r="GA69">
        <f t="shared" si="16"/>
        <v>0</v>
      </c>
      <c r="GB69">
        <f t="shared" si="17"/>
        <v>0</v>
      </c>
      <c r="GC69">
        <f t="shared" si="18"/>
        <v>7.5</v>
      </c>
      <c r="GD69">
        <f t="shared" si="18"/>
        <v>4</v>
      </c>
      <c r="GE69">
        <f t="shared" si="18"/>
        <v>0</v>
      </c>
      <c r="GF69">
        <f t="shared" si="19"/>
        <v>0</v>
      </c>
      <c r="GG69">
        <f t="shared" si="19"/>
        <v>0</v>
      </c>
      <c r="GH69">
        <f t="shared" si="19"/>
        <v>0</v>
      </c>
      <c r="GI69">
        <f t="shared" si="20"/>
        <v>233.25</v>
      </c>
      <c r="GJ69">
        <f t="shared" si="20"/>
        <v>354.75</v>
      </c>
      <c r="GK69">
        <f t="shared" si="21"/>
        <v>0</v>
      </c>
      <c r="GL69">
        <f t="shared" si="22"/>
        <v>0</v>
      </c>
      <c r="GM69">
        <f t="shared" si="23"/>
        <v>0.5</v>
      </c>
      <c r="GN69">
        <f t="shared" si="23"/>
        <v>0</v>
      </c>
      <c r="GO69">
        <f t="shared" si="24"/>
        <v>2.25</v>
      </c>
      <c r="GP69">
        <f t="shared" si="25"/>
        <v>5</v>
      </c>
      <c r="GQ69">
        <f t="shared" si="26"/>
        <v>0.25</v>
      </c>
      <c r="GR69">
        <f t="shared" si="27"/>
        <v>0</v>
      </c>
      <c r="GS69">
        <f t="shared" si="28"/>
        <v>0</v>
      </c>
      <c r="GT69">
        <f t="shared" si="28"/>
        <v>0.25</v>
      </c>
      <c r="GU69">
        <f t="shared" si="28"/>
        <v>0.5</v>
      </c>
      <c r="GV69">
        <f t="shared" si="29"/>
        <v>1.75</v>
      </c>
      <c r="GW69">
        <f t="shared" si="29"/>
        <v>0.5</v>
      </c>
      <c r="GX69">
        <f t="shared" si="29"/>
        <v>1.75</v>
      </c>
      <c r="GY69">
        <f t="shared" si="30"/>
        <v>0</v>
      </c>
      <c r="GZ69">
        <f t="shared" si="31"/>
        <v>0</v>
      </c>
      <c r="HA69">
        <f t="shared" si="32"/>
        <v>0</v>
      </c>
      <c r="HB69">
        <f t="shared" si="33"/>
        <v>0</v>
      </c>
      <c r="HC69">
        <f t="shared" si="34"/>
        <v>0</v>
      </c>
      <c r="HD69">
        <f t="shared" si="35"/>
        <v>0</v>
      </c>
      <c r="HE69">
        <f t="shared" si="36"/>
        <v>0</v>
      </c>
      <c r="HF69">
        <f t="shared" si="37"/>
        <v>0</v>
      </c>
      <c r="HG69">
        <f t="shared" si="38"/>
        <v>0.5</v>
      </c>
      <c r="HH69">
        <f t="shared" si="39"/>
        <v>0</v>
      </c>
      <c r="HI69">
        <f t="shared" si="40"/>
        <v>0</v>
      </c>
      <c r="HJ69">
        <f t="shared" si="41"/>
        <v>0</v>
      </c>
      <c r="HK69">
        <f t="shared" si="42"/>
        <v>0</v>
      </c>
      <c r="HL69">
        <f t="shared" si="43"/>
        <v>0</v>
      </c>
      <c r="HM69">
        <f t="shared" si="44"/>
        <v>0</v>
      </c>
      <c r="HO69" s="51">
        <v>135</v>
      </c>
      <c r="HP69" t="s">
        <v>16</v>
      </c>
      <c r="HQ69" t="s">
        <v>439</v>
      </c>
      <c r="HR69">
        <v>79.5</v>
      </c>
      <c r="HS69">
        <v>93.125</v>
      </c>
      <c r="HT69">
        <v>59.125</v>
      </c>
      <c r="HU69">
        <v>3.25</v>
      </c>
      <c r="HV69" s="51">
        <v>135</v>
      </c>
      <c r="HW69">
        <f t="shared" si="45"/>
        <v>0</v>
      </c>
      <c r="HX69">
        <f t="shared" si="45"/>
        <v>0.25</v>
      </c>
      <c r="HY69">
        <f t="shared" si="46"/>
        <v>1</v>
      </c>
      <c r="HZ69">
        <f t="shared" si="47"/>
        <v>2</v>
      </c>
      <c r="IA69">
        <f t="shared" si="48"/>
        <v>0.5</v>
      </c>
      <c r="IB69">
        <f t="shared" si="48"/>
        <v>0</v>
      </c>
      <c r="IC69">
        <f t="shared" si="48"/>
        <v>0.25</v>
      </c>
      <c r="ID69">
        <f t="shared" si="49"/>
        <v>0</v>
      </c>
      <c r="IE69">
        <f t="shared" si="50"/>
        <v>0.25</v>
      </c>
      <c r="IF69">
        <f t="shared" si="51"/>
        <v>25.75</v>
      </c>
      <c r="IG69">
        <f t="shared" si="52"/>
        <v>3.5</v>
      </c>
      <c r="IH69">
        <f t="shared" si="53"/>
        <v>0.75</v>
      </c>
      <c r="II69">
        <f t="shared" si="54"/>
        <v>5.5</v>
      </c>
      <c r="IJ69">
        <f t="shared" si="55"/>
        <v>0</v>
      </c>
      <c r="IK69">
        <f t="shared" si="56"/>
        <v>0</v>
      </c>
      <c r="IL69">
        <f t="shared" si="68"/>
        <v>0</v>
      </c>
      <c r="IM69">
        <f t="shared" si="57"/>
        <v>11.5</v>
      </c>
      <c r="IN69">
        <f t="shared" si="58"/>
        <v>0</v>
      </c>
      <c r="IO69">
        <f t="shared" si="69"/>
        <v>233.25</v>
      </c>
      <c r="IP69">
        <f t="shared" si="69"/>
        <v>354.75</v>
      </c>
      <c r="IQ69">
        <f t="shared" si="69"/>
        <v>0</v>
      </c>
      <c r="IR69">
        <f t="shared" si="69"/>
        <v>0</v>
      </c>
      <c r="IS69">
        <f t="shared" si="69"/>
        <v>0.5</v>
      </c>
      <c r="IT69">
        <f t="shared" si="67"/>
        <v>0</v>
      </c>
      <c r="IU69">
        <f t="shared" si="67"/>
        <v>2.25</v>
      </c>
      <c r="IV69">
        <f t="shared" si="67"/>
        <v>5</v>
      </c>
      <c r="IW69">
        <f t="shared" si="67"/>
        <v>0.25</v>
      </c>
      <c r="IX69">
        <f t="shared" si="67"/>
        <v>0</v>
      </c>
      <c r="IY69">
        <f t="shared" si="59"/>
        <v>0.75</v>
      </c>
      <c r="IZ69">
        <f t="shared" si="70"/>
        <v>4</v>
      </c>
      <c r="JA69">
        <f t="shared" si="71"/>
        <v>0</v>
      </c>
      <c r="JB69">
        <f t="shared" si="71"/>
        <v>0</v>
      </c>
      <c r="JC69">
        <f t="shared" si="71"/>
        <v>0</v>
      </c>
      <c r="JD69">
        <f t="shared" si="71"/>
        <v>0</v>
      </c>
      <c r="JE69">
        <f t="shared" si="71"/>
        <v>0</v>
      </c>
      <c r="JF69">
        <f t="shared" si="71"/>
        <v>0</v>
      </c>
      <c r="JG69">
        <f t="shared" si="71"/>
        <v>0</v>
      </c>
      <c r="JH69">
        <f t="shared" si="71"/>
        <v>0</v>
      </c>
      <c r="JI69">
        <f t="shared" si="71"/>
        <v>0.5</v>
      </c>
      <c r="JJ69">
        <f t="shared" si="71"/>
        <v>0</v>
      </c>
      <c r="JK69">
        <f t="shared" si="71"/>
        <v>0</v>
      </c>
      <c r="JL69">
        <f t="shared" si="71"/>
        <v>0</v>
      </c>
      <c r="JM69">
        <f t="shared" si="71"/>
        <v>0</v>
      </c>
      <c r="JN69">
        <f t="shared" si="71"/>
        <v>0</v>
      </c>
      <c r="JO69">
        <f t="shared" si="71"/>
        <v>0</v>
      </c>
    </row>
    <row r="70" spans="2:275" x14ac:dyDescent="0.25">
      <c r="B70" s="51">
        <v>136</v>
      </c>
      <c r="C70" t="s">
        <v>16</v>
      </c>
      <c r="D70" t="s">
        <v>439</v>
      </c>
      <c r="E70">
        <v>82.25</v>
      </c>
      <c r="F70">
        <v>110.625</v>
      </c>
      <c r="G70">
        <v>72.25</v>
      </c>
      <c r="H70">
        <v>2.875</v>
      </c>
      <c r="I70" s="51">
        <v>136</v>
      </c>
      <c r="J70">
        <v>0</v>
      </c>
      <c r="K70">
        <v>0</v>
      </c>
      <c r="L70">
        <v>0</v>
      </c>
      <c r="M70">
        <v>0</v>
      </c>
      <c r="N70">
        <v>0</v>
      </c>
      <c r="O70">
        <v>0.75</v>
      </c>
      <c r="P70">
        <v>1.5</v>
      </c>
      <c r="Q70">
        <v>0.75</v>
      </c>
      <c r="R70">
        <v>0</v>
      </c>
      <c r="S70">
        <v>0.75</v>
      </c>
      <c r="T70">
        <v>1</v>
      </c>
      <c r="U70">
        <v>0</v>
      </c>
      <c r="V70">
        <v>0</v>
      </c>
      <c r="W70">
        <v>2</v>
      </c>
      <c r="X70">
        <v>0</v>
      </c>
      <c r="Y70">
        <v>0.25</v>
      </c>
      <c r="Z70">
        <v>0.25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0.25</v>
      </c>
      <c r="BC70">
        <v>0.25</v>
      </c>
      <c r="BD70">
        <v>0</v>
      </c>
      <c r="BE70">
        <v>4.5</v>
      </c>
      <c r="BF70">
        <v>0.5</v>
      </c>
      <c r="BG70">
        <v>0.25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12.25</v>
      </c>
      <c r="BX70">
        <v>10.75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530</v>
      </c>
      <c r="CG70">
        <v>436</v>
      </c>
      <c r="CH70">
        <v>42</v>
      </c>
      <c r="CI70">
        <v>58.5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0.75</v>
      </c>
      <c r="CT70">
        <v>3</v>
      </c>
      <c r="CU70">
        <v>0</v>
      </c>
      <c r="CV70">
        <v>0.25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0.75</v>
      </c>
      <c r="DI70">
        <v>0</v>
      </c>
      <c r="DJ70">
        <v>0.5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0.25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1.75</v>
      </c>
      <c r="EP70" s="51">
        <v>136</v>
      </c>
      <c r="EQ70" t="s">
        <v>16</v>
      </c>
      <c r="ER70" t="s">
        <v>439</v>
      </c>
      <c r="ES70">
        <v>82.25</v>
      </c>
      <c r="ET70">
        <v>110.625</v>
      </c>
      <c r="EU70">
        <v>72.25</v>
      </c>
      <c r="EV70">
        <v>2.875</v>
      </c>
      <c r="EW70" s="51">
        <v>136</v>
      </c>
      <c r="EX70">
        <f t="shared" si="4"/>
        <v>0</v>
      </c>
      <c r="EY70">
        <f t="shared" si="5"/>
        <v>0</v>
      </c>
      <c r="EZ70">
        <f t="shared" si="6"/>
        <v>0</v>
      </c>
      <c r="FA70">
        <f t="shared" si="6"/>
        <v>1.5</v>
      </c>
      <c r="FB70">
        <f t="shared" si="6"/>
        <v>2.5</v>
      </c>
      <c r="FC70">
        <f t="shared" si="6"/>
        <v>0.75</v>
      </c>
      <c r="FD70">
        <f t="shared" si="7"/>
        <v>0</v>
      </c>
      <c r="FE70">
        <f t="shared" si="7"/>
        <v>2.25</v>
      </c>
      <c r="FF70">
        <f t="shared" si="8"/>
        <v>0.25</v>
      </c>
      <c r="FG70">
        <f t="shared" si="9"/>
        <v>0</v>
      </c>
      <c r="FH70">
        <f t="shared" si="10"/>
        <v>0</v>
      </c>
      <c r="FI70">
        <f t="shared" si="11"/>
        <v>0</v>
      </c>
      <c r="FJ70">
        <f t="shared" si="11"/>
        <v>0</v>
      </c>
      <c r="FK70">
        <f t="shared" si="11"/>
        <v>0</v>
      </c>
      <c r="FL70">
        <f t="shared" si="11"/>
        <v>0</v>
      </c>
      <c r="FM70">
        <f t="shared" si="12"/>
        <v>0</v>
      </c>
      <c r="FN70">
        <f t="shared" si="12"/>
        <v>0</v>
      </c>
      <c r="FO70">
        <f t="shared" si="12"/>
        <v>0</v>
      </c>
      <c r="FP70">
        <f t="shared" si="13"/>
        <v>0</v>
      </c>
      <c r="FQ70">
        <f t="shared" si="13"/>
        <v>0</v>
      </c>
      <c r="FR70">
        <f t="shared" si="13"/>
        <v>0</v>
      </c>
      <c r="FS70">
        <f t="shared" si="14"/>
        <v>0</v>
      </c>
      <c r="FT70">
        <f t="shared" si="14"/>
        <v>4.5</v>
      </c>
      <c r="FU70">
        <f t="shared" si="14"/>
        <v>0.75</v>
      </c>
      <c r="FV70">
        <f t="shared" si="14"/>
        <v>0.5</v>
      </c>
      <c r="FW70">
        <f t="shared" si="15"/>
        <v>0</v>
      </c>
      <c r="FX70">
        <f t="shared" si="15"/>
        <v>0</v>
      </c>
      <c r="FY70">
        <f t="shared" si="15"/>
        <v>0</v>
      </c>
      <c r="FZ70">
        <f t="shared" si="16"/>
        <v>0</v>
      </c>
      <c r="GA70">
        <f t="shared" si="16"/>
        <v>0</v>
      </c>
      <c r="GB70">
        <f t="shared" si="17"/>
        <v>0</v>
      </c>
      <c r="GC70">
        <f t="shared" si="18"/>
        <v>12.25</v>
      </c>
      <c r="GD70">
        <f t="shared" si="18"/>
        <v>10.75</v>
      </c>
      <c r="GE70">
        <f t="shared" si="18"/>
        <v>0</v>
      </c>
      <c r="GF70">
        <f t="shared" si="19"/>
        <v>0</v>
      </c>
      <c r="GG70">
        <f t="shared" si="19"/>
        <v>0</v>
      </c>
      <c r="GH70">
        <f t="shared" si="19"/>
        <v>0</v>
      </c>
      <c r="GI70">
        <f t="shared" si="20"/>
        <v>572</v>
      </c>
      <c r="GJ70">
        <f t="shared" si="20"/>
        <v>494.5</v>
      </c>
      <c r="GK70">
        <f t="shared" si="21"/>
        <v>0</v>
      </c>
      <c r="GL70">
        <f t="shared" si="22"/>
        <v>0</v>
      </c>
      <c r="GM70">
        <f t="shared" si="23"/>
        <v>0</v>
      </c>
      <c r="GN70">
        <f t="shared" si="23"/>
        <v>0</v>
      </c>
      <c r="GO70">
        <f t="shared" si="24"/>
        <v>0</v>
      </c>
      <c r="GP70">
        <f t="shared" si="25"/>
        <v>3.75</v>
      </c>
      <c r="GQ70">
        <f t="shared" si="26"/>
        <v>0.25</v>
      </c>
      <c r="GR70">
        <f t="shared" si="27"/>
        <v>0</v>
      </c>
      <c r="GS70">
        <f t="shared" si="28"/>
        <v>0</v>
      </c>
      <c r="GT70">
        <f t="shared" si="28"/>
        <v>0</v>
      </c>
      <c r="GU70">
        <f t="shared" si="28"/>
        <v>0</v>
      </c>
      <c r="GV70">
        <f t="shared" si="29"/>
        <v>0.75</v>
      </c>
      <c r="GW70">
        <f t="shared" si="29"/>
        <v>0</v>
      </c>
      <c r="GX70">
        <f t="shared" si="29"/>
        <v>0.5</v>
      </c>
      <c r="GY70">
        <f t="shared" si="30"/>
        <v>0</v>
      </c>
      <c r="GZ70">
        <f t="shared" si="31"/>
        <v>0</v>
      </c>
      <c r="HA70">
        <f t="shared" si="32"/>
        <v>0</v>
      </c>
      <c r="HB70">
        <f t="shared" si="33"/>
        <v>0</v>
      </c>
      <c r="HC70">
        <f t="shared" si="34"/>
        <v>0.25</v>
      </c>
      <c r="HD70">
        <f t="shared" si="35"/>
        <v>0</v>
      </c>
      <c r="HE70">
        <f t="shared" si="36"/>
        <v>0</v>
      </c>
      <c r="HF70">
        <f t="shared" si="37"/>
        <v>0</v>
      </c>
      <c r="HG70">
        <f t="shared" si="38"/>
        <v>0</v>
      </c>
      <c r="HH70">
        <f t="shared" si="39"/>
        <v>0</v>
      </c>
      <c r="HI70">
        <f t="shared" si="40"/>
        <v>0</v>
      </c>
      <c r="HJ70">
        <f t="shared" si="41"/>
        <v>0</v>
      </c>
      <c r="HK70">
        <f t="shared" si="42"/>
        <v>0</v>
      </c>
      <c r="HL70">
        <f t="shared" si="43"/>
        <v>0</v>
      </c>
      <c r="HM70">
        <f t="shared" si="44"/>
        <v>1.75</v>
      </c>
      <c r="HO70" s="51">
        <v>136</v>
      </c>
      <c r="HP70" t="s">
        <v>16</v>
      </c>
      <c r="HQ70" t="s">
        <v>439</v>
      </c>
      <c r="HR70">
        <v>82.25</v>
      </c>
      <c r="HS70">
        <v>110.625</v>
      </c>
      <c r="HT70">
        <v>72.25</v>
      </c>
      <c r="HU70">
        <v>2.875</v>
      </c>
      <c r="HV70" s="51">
        <v>136</v>
      </c>
      <c r="HW70">
        <f t="shared" si="45"/>
        <v>0</v>
      </c>
      <c r="HX70">
        <f t="shared" si="45"/>
        <v>0</v>
      </c>
      <c r="HY70">
        <f t="shared" si="46"/>
        <v>4.75</v>
      </c>
      <c r="HZ70">
        <f t="shared" si="47"/>
        <v>2.25</v>
      </c>
      <c r="IA70">
        <f t="shared" si="48"/>
        <v>0.25</v>
      </c>
      <c r="IB70">
        <f t="shared" si="48"/>
        <v>0</v>
      </c>
      <c r="IC70">
        <f t="shared" si="48"/>
        <v>0</v>
      </c>
      <c r="ID70">
        <f t="shared" si="49"/>
        <v>0</v>
      </c>
      <c r="IE70">
        <f t="shared" si="50"/>
        <v>0</v>
      </c>
      <c r="IF70">
        <f t="shared" si="51"/>
        <v>0</v>
      </c>
      <c r="IG70">
        <f t="shared" si="52"/>
        <v>5.25</v>
      </c>
      <c r="IH70">
        <f t="shared" si="53"/>
        <v>0.5</v>
      </c>
      <c r="II70">
        <f t="shared" si="54"/>
        <v>0</v>
      </c>
      <c r="IJ70">
        <f t="shared" si="55"/>
        <v>0</v>
      </c>
      <c r="IK70">
        <f t="shared" si="56"/>
        <v>0</v>
      </c>
      <c r="IL70">
        <f t="shared" si="68"/>
        <v>0</v>
      </c>
      <c r="IM70">
        <f t="shared" si="57"/>
        <v>23</v>
      </c>
      <c r="IN70">
        <f t="shared" si="58"/>
        <v>0</v>
      </c>
      <c r="IO70">
        <f t="shared" si="69"/>
        <v>572</v>
      </c>
      <c r="IP70">
        <f t="shared" si="69"/>
        <v>494.5</v>
      </c>
      <c r="IQ70">
        <f t="shared" si="69"/>
        <v>0</v>
      </c>
      <c r="IR70">
        <f t="shared" si="69"/>
        <v>0</v>
      </c>
      <c r="IS70">
        <f t="shared" si="69"/>
        <v>0</v>
      </c>
      <c r="IT70">
        <f t="shared" si="67"/>
        <v>0</v>
      </c>
      <c r="IU70">
        <f t="shared" si="67"/>
        <v>0</v>
      </c>
      <c r="IV70">
        <f t="shared" si="67"/>
        <v>3.75</v>
      </c>
      <c r="IW70">
        <f t="shared" si="67"/>
        <v>0.25</v>
      </c>
      <c r="IX70">
        <f t="shared" si="67"/>
        <v>0</v>
      </c>
      <c r="IY70">
        <f t="shared" si="59"/>
        <v>0</v>
      </c>
      <c r="IZ70">
        <f t="shared" si="70"/>
        <v>1.25</v>
      </c>
      <c r="JA70">
        <f t="shared" si="71"/>
        <v>0</v>
      </c>
      <c r="JB70">
        <f t="shared" si="71"/>
        <v>0</v>
      </c>
      <c r="JC70">
        <f t="shared" si="71"/>
        <v>0</v>
      </c>
      <c r="JD70">
        <f t="shared" si="71"/>
        <v>0</v>
      </c>
      <c r="JE70">
        <f t="shared" si="71"/>
        <v>0.25</v>
      </c>
      <c r="JF70">
        <f t="shared" si="71"/>
        <v>0</v>
      </c>
      <c r="JG70">
        <f t="shared" si="71"/>
        <v>0</v>
      </c>
      <c r="JH70">
        <f t="shared" si="71"/>
        <v>0</v>
      </c>
      <c r="JI70">
        <f t="shared" si="71"/>
        <v>0</v>
      </c>
      <c r="JJ70">
        <f t="shared" si="71"/>
        <v>0</v>
      </c>
      <c r="JK70">
        <f t="shared" si="71"/>
        <v>0</v>
      </c>
      <c r="JL70">
        <f t="shared" si="71"/>
        <v>0</v>
      </c>
      <c r="JM70">
        <f t="shared" si="71"/>
        <v>0</v>
      </c>
      <c r="JN70">
        <f t="shared" si="71"/>
        <v>0</v>
      </c>
      <c r="JO70">
        <f t="shared" si="71"/>
        <v>1.75</v>
      </c>
    </row>
    <row r="71" spans="2:275" x14ac:dyDescent="0.25">
      <c r="B71" s="51">
        <v>137</v>
      </c>
      <c r="C71" t="s">
        <v>0</v>
      </c>
      <c r="D71" t="s">
        <v>439</v>
      </c>
      <c r="E71">
        <v>65.375</v>
      </c>
      <c r="F71">
        <v>44.125</v>
      </c>
      <c r="G71">
        <v>64.625</v>
      </c>
      <c r="H71">
        <v>2.375</v>
      </c>
      <c r="I71" s="51">
        <v>137</v>
      </c>
      <c r="J71">
        <v>0</v>
      </c>
      <c r="K71">
        <v>0</v>
      </c>
      <c r="L71">
        <v>0</v>
      </c>
      <c r="M71">
        <v>0</v>
      </c>
      <c r="N71">
        <v>0</v>
      </c>
      <c r="O71">
        <v>0.25</v>
      </c>
      <c r="P71">
        <v>0</v>
      </c>
      <c r="Q71">
        <v>0.5</v>
      </c>
      <c r="R71">
        <v>0</v>
      </c>
      <c r="S71">
        <v>0.25</v>
      </c>
      <c r="T71">
        <v>0</v>
      </c>
      <c r="U71">
        <v>0.25</v>
      </c>
      <c r="V71">
        <v>0</v>
      </c>
      <c r="W71">
        <v>1.5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3.25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9</v>
      </c>
      <c r="BX71">
        <v>5.75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615.5</v>
      </c>
      <c r="CG71">
        <v>184.25</v>
      </c>
      <c r="CH71">
        <v>224.25</v>
      </c>
      <c r="CI71">
        <v>79.25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0.5</v>
      </c>
      <c r="CT71">
        <v>3.5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0.5</v>
      </c>
      <c r="DD71">
        <v>0</v>
      </c>
      <c r="DE71">
        <v>0</v>
      </c>
      <c r="DF71">
        <v>0</v>
      </c>
      <c r="DG71">
        <v>0</v>
      </c>
      <c r="DH71">
        <v>0.5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0.25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P71" s="51">
        <v>137</v>
      </c>
      <c r="EQ71" t="s">
        <v>0</v>
      </c>
      <c r="ER71" t="s">
        <v>439</v>
      </c>
      <c r="ES71">
        <v>65.375</v>
      </c>
      <c r="ET71">
        <v>44.125</v>
      </c>
      <c r="EU71">
        <v>64.625</v>
      </c>
      <c r="EV71">
        <v>2.375</v>
      </c>
      <c r="EW71" s="51">
        <v>137</v>
      </c>
      <c r="EX71">
        <f t="shared" ref="EX71:EX76" si="72">SUM(J71:K71)</f>
        <v>0</v>
      </c>
      <c r="EY71">
        <f t="shared" ref="EY71:EY76" si="73">SUM(L71:M71)</f>
        <v>0</v>
      </c>
      <c r="EZ71">
        <f t="shared" ref="EZ71:FC76" si="74">SUM(N71,R71)</f>
        <v>0</v>
      </c>
      <c r="FA71">
        <f t="shared" si="74"/>
        <v>0.5</v>
      </c>
      <c r="FB71">
        <f t="shared" si="74"/>
        <v>0</v>
      </c>
      <c r="FC71">
        <f t="shared" si="74"/>
        <v>0.75</v>
      </c>
      <c r="FD71">
        <f t="shared" ref="FD71:FE76" si="75">SUM(V71,X71)</f>
        <v>0</v>
      </c>
      <c r="FE71">
        <f t="shared" si="75"/>
        <v>1.5</v>
      </c>
      <c r="FF71">
        <f t="shared" ref="FF71:FF76" si="76">SUM(Z71:AA71)</f>
        <v>0</v>
      </c>
      <c r="FG71">
        <f t="shared" ref="FG71:FG76" si="77">SUM(AB71:AC71)</f>
        <v>0</v>
      </c>
      <c r="FH71">
        <f t="shared" ref="FH71:FH76" si="78">SUM(AD71:AE71)</f>
        <v>0</v>
      </c>
      <c r="FI71">
        <f t="shared" ref="FI71:FL76" si="79">SUM(AF71,AJ71)</f>
        <v>0</v>
      </c>
      <c r="FJ71">
        <f t="shared" si="79"/>
        <v>0</v>
      </c>
      <c r="FK71">
        <f t="shared" si="79"/>
        <v>0</v>
      </c>
      <c r="FL71">
        <f t="shared" si="79"/>
        <v>0</v>
      </c>
      <c r="FM71">
        <f t="shared" ref="FM71:FO76" si="80">SUM(AN71,AQ71)</f>
        <v>0</v>
      </c>
      <c r="FN71">
        <f t="shared" si="80"/>
        <v>0.5</v>
      </c>
      <c r="FO71">
        <f t="shared" si="80"/>
        <v>0</v>
      </c>
      <c r="FP71">
        <f t="shared" ref="FP71:FR76" si="81">SUM(AT71,AW71)</f>
        <v>0</v>
      </c>
      <c r="FQ71">
        <f t="shared" si="81"/>
        <v>0</v>
      </c>
      <c r="FR71">
        <f t="shared" si="81"/>
        <v>0</v>
      </c>
      <c r="FS71">
        <f t="shared" ref="FS71:FV76" si="82">SUM(AZ71,BD71)</f>
        <v>0</v>
      </c>
      <c r="FT71">
        <f t="shared" si="82"/>
        <v>3.25</v>
      </c>
      <c r="FU71">
        <f t="shared" si="82"/>
        <v>1</v>
      </c>
      <c r="FV71">
        <f t="shared" si="82"/>
        <v>1</v>
      </c>
      <c r="FW71">
        <f t="shared" ref="FW71:FY76" si="83">SUM(BH71,BK71)</f>
        <v>0</v>
      </c>
      <c r="FX71">
        <f t="shared" si="83"/>
        <v>0</v>
      </c>
      <c r="FY71">
        <f t="shared" si="83"/>
        <v>0</v>
      </c>
      <c r="FZ71">
        <f t="shared" ref="FZ71:GA76" si="84">SUM(BN71,BP71)</f>
        <v>0</v>
      </c>
      <c r="GA71">
        <f t="shared" si="84"/>
        <v>0</v>
      </c>
      <c r="GB71">
        <f t="shared" ref="GB71:GB76" si="85">SUM(BR71:BS71)</f>
        <v>0</v>
      </c>
      <c r="GC71">
        <f t="shared" ref="GC71:GE76" si="86">SUM(BT71,BW71)</f>
        <v>9</v>
      </c>
      <c r="GD71">
        <f t="shared" si="86"/>
        <v>5.75</v>
      </c>
      <c r="GE71">
        <f t="shared" si="86"/>
        <v>0</v>
      </c>
      <c r="GF71">
        <f t="shared" ref="GF71:GH76" si="87">SUM(BZ71,CC71)</f>
        <v>0</v>
      </c>
      <c r="GG71">
        <f t="shared" si="87"/>
        <v>0</v>
      </c>
      <c r="GH71">
        <f t="shared" si="87"/>
        <v>0</v>
      </c>
      <c r="GI71">
        <f t="shared" ref="GI71:GJ76" si="88">SUM(CF71,CH71)</f>
        <v>839.75</v>
      </c>
      <c r="GJ71">
        <f t="shared" si="88"/>
        <v>263.5</v>
      </c>
      <c r="GK71">
        <f t="shared" ref="GK71:GK76" si="89">SUM(CJ71:CK71)</f>
        <v>0</v>
      </c>
      <c r="GL71">
        <f t="shared" ref="GL71:GL76" si="90">CL71</f>
        <v>0</v>
      </c>
      <c r="GM71">
        <f t="shared" ref="GM71:GN76" si="91">SUM(CM71,CO71)</f>
        <v>0</v>
      </c>
      <c r="GN71">
        <f t="shared" si="91"/>
        <v>0</v>
      </c>
      <c r="GO71">
        <f t="shared" ref="GO71:GO76" si="92">SUM(CQ71:CR71)</f>
        <v>0</v>
      </c>
      <c r="GP71">
        <f t="shared" ref="GP71:GP76" si="93">SUM(CS71:CT71)</f>
        <v>4</v>
      </c>
      <c r="GQ71">
        <f t="shared" ref="GQ71:GQ76" si="94">SUM(CU71:CV71)</f>
        <v>0</v>
      </c>
      <c r="GR71">
        <f t="shared" ref="GR71:GR76" si="95">SUM(CW71:CX71)</f>
        <v>0</v>
      </c>
      <c r="GS71">
        <f t="shared" ref="GS71:GU76" si="96">SUM(CY71,DB71)</f>
        <v>0</v>
      </c>
      <c r="GT71">
        <f t="shared" si="96"/>
        <v>0.5</v>
      </c>
      <c r="GU71">
        <f t="shared" si="96"/>
        <v>0</v>
      </c>
      <c r="GV71">
        <f t="shared" ref="GV71:GX76" si="97">SUM(DE71,DH71)</f>
        <v>0.5</v>
      </c>
      <c r="GW71">
        <f t="shared" si="97"/>
        <v>0</v>
      </c>
      <c r="GX71">
        <f t="shared" si="97"/>
        <v>0</v>
      </c>
      <c r="GY71">
        <f t="shared" ref="GY71:GY76" si="98">SUM(DK71:DL71)</f>
        <v>0</v>
      </c>
      <c r="GZ71">
        <f t="shared" ref="GZ71:GZ76" si="99">SUM(DM71:DN71)</f>
        <v>0</v>
      </c>
      <c r="HA71">
        <f t="shared" ref="HA71:HA76" si="100">SUM(DO71:DP71)</f>
        <v>0</v>
      </c>
      <c r="HB71">
        <f t="shared" ref="HB71:HB76" si="101">SUM(DQ71:DR71)</f>
        <v>0</v>
      </c>
      <c r="HC71">
        <f t="shared" ref="HC71:HC76" si="102">SUM(DS71:DT71)</f>
        <v>0</v>
      </c>
      <c r="HD71">
        <f t="shared" ref="HD71:HD76" si="103">SUM(DU71:DV71)</f>
        <v>0</v>
      </c>
      <c r="HE71">
        <f t="shared" ref="HE71:HE76" si="104">SUM(DW71:DX71)</f>
        <v>0</v>
      </c>
      <c r="HF71">
        <f t="shared" ref="HF71:HF76" si="105">SUM(DY71)</f>
        <v>0</v>
      </c>
      <c r="HG71">
        <f t="shared" ref="HG71:HG76" si="106">SUM(DZ71:EA71)</f>
        <v>0.25</v>
      </c>
      <c r="HH71">
        <f t="shared" ref="HH71:HH76" si="107">SUM(EB71:EC71)</f>
        <v>0</v>
      </c>
      <c r="HI71">
        <f t="shared" ref="HI71:HI76" si="108">SUM(ED71:EE71)</f>
        <v>0</v>
      </c>
      <c r="HJ71">
        <f t="shared" ref="HJ71:HJ76" si="109">SUM(EF71:EG71)</f>
        <v>0</v>
      </c>
      <c r="HK71">
        <f t="shared" ref="HK71:HK76" si="110">SUM(EH71:EI71)</f>
        <v>0</v>
      </c>
      <c r="HL71">
        <f t="shared" ref="HL71:HL76" si="111">SUM(EJ71:EK71)</f>
        <v>0</v>
      </c>
      <c r="HM71">
        <f t="shared" ref="HM71:HM76" si="112">SUM(EL71)</f>
        <v>0</v>
      </c>
      <c r="HO71" s="51">
        <v>137</v>
      </c>
      <c r="HP71" t="s">
        <v>0</v>
      </c>
      <c r="HQ71" t="s">
        <v>439</v>
      </c>
      <c r="HR71">
        <v>65.375</v>
      </c>
      <c r="HS71">
        <v>44.125</v>
      </c>
      <c r="HT71">
        <v>64.625</v>
      </c>
      <c r="HU71">
        <v>2.375</v>
      </c>
      <c r="HV71" s="51">
        <v>137</v>
      </c>
      <c r="HW71">
        <f t="shared" ref="HW71:HX76" si="113">SUM(EX71)</f>
        <v>0</v>
      </c>
      <c r="HX71">
        <f t="shared" si="113"/>
        <v>0</v>
      </c>
      <c r="HY71">
        <f t="shared" ref="HY71:HY76" si="114">SUM(EZ71:FC71)</f>
        <v>1.25</v>
      </c>
      <c r="HZ71">
        <f t="shared" ref="HZ71:HZ76" si="115">SUM(FD71:FE71)</f>
        <v>1.5</v>
      </c>
      <c r="IA71">
        <f t="shared" ref="IA71:IC76" si="116">FF71</f>
        <v>0</v>
      </c>
      <c r="IB71">
        <f t="shared" si="116"/>
        <v>0</v>
      </c>
      <c r="IC71">
        <f t="shared" si="116"/>
        <v>0</v>
      </c>
      <c r="ID71">
        <f t="shared" ref="ID71:ID76" si="117">SUM(FI71:FL71)</f>
        <v>0</v>
      </c>
      <c r="IE71">
        <f t="shared" ref="IE71:IE76" si="118">SUM(FM71:FO71)</f>
        <v>0.5</v>
      </c>
      <c r="IF71">
        <f t="shared" ref="IF71:IF76" si="119">SUM(FP71:FR71)</f>
        <v>0</v>
      </c>
      <c r="IG71">
        <f t="shared" ref="IG71:IG76" si="120">SUM(FS71:FU71)</f>
        <v>4.25</v>
      </c>
      <c r="IH71">
        <f t="shared" ref="IH71:IH76" si="121">FV71</f>
        <v>1</v>
      </c>
      <c r="II71">
        <f t="shared" ref="II71:II76" si="122">SUM(FW71,FY71)</f>
        <v>0</v>
      </c>
      <c r="IJ71">
        <f t="shared" ref="IJ71:IJ76" si="123">FX71</f>
        <v>0</v>
      </c>
      <c r="IK71">
        <f t="shared" ref="IK71:IK76" si="124">SUM(FZ71:GA71)</f>
        <v>0</v>
      </c>
      <c r="IL71">
        <f t="shared" ref="IL71:IL76" si="125">SUM(GB71)</f>
        <v>0</v>
      </c>
      <c r="IM71">
        <f t="shared" ref="IM71:IM76" si="126">SUM(GC71:GE71)</f>
        <v>14.75</v>
      </c>
      <c r="IN71">
        <f t="shared" ref="IN71:IN76" si="127">SUM(GF71:GH71)</f>
        <v>0</v>
      </c>
      <c r="IO71">
        <f t="shared" si="69"/>
        <v>839.75</v>
      </c>
      <c r="IP71">
        <f t="shared" si="69"/>
        <v>263.5</v>
      </c>
      <c r="IQ71">
        <f t="shared" si="69"/>
        <v>0</v>
      </c>
      <c r="IR71">
        <f t="shared" si="69"/>
        <v>0</v>
      </c>
      <c r="IS71">
        <f t="shared" si="69"/>
        <v>0</v>
      </c>
      <c r="IT71">
        <f t="shared" si="67"/>
        <v>0</v>
      </c>
      <c r="IU71">
        <f t="shared" si="67"/>
        <v>0</v>
      </c>
      <c r="IV71">
        <f t="shared" si="67"/>
        <v>4</v>
      </c>
      <c r="IW71">
        <f t="shared" si="67"/>
        <v>0</v>
      </c>
      <c r="IX71">
        <f t="shared" si="67"/>
        <v>0</v>
      </c>
      <c r="IY71">
        <f t="shared" ref="IY71:IY76" si="128">SUM(GS71:GU71)</f>
        <v>0.5</v>
      </c>
      <c r="IZ71">
        <f t="shared" si="70"/>
        <v>0.5</v>
      </c>
      <c r="JA71">
        <f t="shared" si="71"/>
        <v>0</v>
      </c>
      <c r="JB71">
        <f t="shared" si="71"/>
        <v>0</v>
      </c>
      <c r="JC71">
        <f t="shared" si="71"/>
        <v>0</v>
      </c>
      <c r="JD71">
        <f t="shared" si="71"/>
        <v>0</v>
      </c>
      <c r="JE71">
        <f t="shared" si="71"/>
        <v>0</v>
      </c>
      <c r="JF71">
        <f t="shared" si="71"/>
        <v>0</v>
      </c>
      <c r="JG71">
        <f t="shared" si="71"/>
        <v>0</v>
      </c>
      <c r="JH71">
        <f t="shared" si="71"/>
        <v>0</v>
      </c>
      <c r="JI71">
        <f t="shared" si="71"/>
        <v>0.25</v>
      </c>
      <c r="JJ71">
        <f t="shared" si="71"/>
        <v>0</v>
      </c>
      <c r="JK71">
        <f t="shared" si="71"/>
        <v>0</v>
      </c>
      <c r="JL71">
        <f t="shared" si="71"/>
        <v>0</v>
      </c>
      <c r="JM71">
        <f t="shared" si="71"/>
        <v>0</v>
      </c>
      <c r="JN71">
        <f t="shared" si="71"/>
        <v>0</v>
      </c>
      <c r="JO71">
        <f t="shared" si="71"/>
        <v>0</v>
      </c>
    </row>
    <row r="72" spans="2:275" x14ac:dyDescent="0.25">
      <c r="B72" s="51">
        <v>138</v>
      </c>
      <c r="C72" t="s">
        <v>0</v>
      </c>
      <c r="D72" t="s">
        <v>439</v>
      </c>
      <c r="E72">
        <v>76.5</v>
      </c>
      <c r="F72">
        <v>105</v>
      </c>
      <c r="G72">
        <v>34.5</v>
      </c>
      <c r="H72">
        <v>3.5</v>
      </c>
      <c r="I72" s="51">
        <v>138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2070</v>
      </c>
      <c r="CG72">
        <v>139</v>
      </c>
      <c r="CH72">
        <v>69</v>
      </c>
      <c r="CI72">
        <v>195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5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3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P72" s="51">
        <v>138</v>
      </c>
      <c r="EQ72" t="s">
        <v>0</v>
      </c>
      <c r="ER72" t="s">
        <v>439</v>
      </c>
      <c r="ES72">
        <v>76.5</v>
      </c>
      <c r="ET72">
        <v>105</v>
      </c>
      <c r="EU72">
        <v>34.5</v>
      </c>
      <c r="EV72">
        <v>3.5</v>
      </c>
      <c r="EW72" s="51">
        <v>138</v>
      </c>
      <c r="EX72">
        <f t="shared" si="72"/>
        <v>0</v>
      </c>
      <c r="EY72">
        <f t="shared" si="73"/>
        <v>0</v>
      </c>
      <c r="EZ72">
        <f t="shared" si="74"/>
        <v>0</v>
      </c>
      <c r="FA72">
        <f t="shared" si="74"/>
        <v>0</v>
      </c>
      <c r="FB72">
        <f t="shared" si="74"/>
        <v>0</v>
      </c>
      <c r="FC72">
        <f t="shared" si="74"/>
        <v>0</v>
      </c>
      <c r="FD72">
        <f t="shared" si="75"/>
        <v>0</v>
      </c>
      <c r="FE72">
        <f t="shared" si="75"/>
        <v>0</v>
      </c>
      <c r="FF72">
        <f t="shared" si="76"/>
        <v>0</v>
      </c>
      <c r="FG72">
        <f t="shared" si="77"/>
        <v>0</v>
      </c>
      <c r="FH72">
        <f t="shared" si="78"/>
        <v>0</v>
      </c>
      <c r="FI72">
        <f t="shared" si="79"/>
        <v>0</v>
      </c>
      <c r="FJ72">
        <f t="shared" si="79"/>
        <v>0</v>
      </c>
      <c r="FK72">
        <f t="shared" si="79"/>
        <v>0</v>
      </c>
      <c r="FL72">
        <f t="shared" si="79"/>
        <v>0</v>
      </c>
      <c r="FM72">
        <f t="shared" si="80"/>
        <v>0</v>
      </c>
      <c r="FN72">
        <f t="shared" si="80"/>
        <v>0</v>
      </c>
      <c r="FO72">
        <f t="shared" si="80"/>
        <v>0</v>
      </c>
      <c r="FP72">
        <f t="shared" si="81"/>
        <v>0</v>
      </c>
      <c r="FQ72">
        <f t="shared" si="81"/>
        <v>0</v>
      </c>
      <c r="FR72">
        <f t="shared" si="81"/>
        <v>0</v>
      </c>
      <c r="FS72">
        <f t="shared" si="82"/>
        <v>0</v>
      </c>
      <c r="FT72">
        <f t="shared" si="82"/>
        <v>1</v>
      </c>
      <c r="FU72">
        <f t="shared" si="82"/>
        <v>0</v>
      </c>
      <c r="FV72">
        <f t="shared" si="82"/>
        <v>0</v>
      </c>
      <c r="FW72">
        <f t="shared" si="83"/>
        <v>0</v>
      </c>
      <c r="FX72">
        <f t="shared" si="83"/>
        <v>0</v>
      </c>
      <c r="FY72">
        <f t="shared" si="83"/>
        <v>0</v>
      </c>
      <c r="FZ72">
        <f t="shared" si="84"/>
        <v>0</v>
      </c>
      <c r="GA72">
        <f t="shared" si="84"/>
        <v>0</v>
      </c>
      <c r="GB72">
        <f t="shared" si="85"/>
        <v>0</v>
      </c>
      <c r="GC72">
        <f t="shared" si="86"/>
        <v>0</v>
      </c>
      <c r="GD72">
        <f t="shared" si="86"/>
        <v>26</v>
      </c>
      <c r="GE72">
        <f t="shared" si="86"/>
        <v>0</v>
      </c>
      <c r="GF72">
        <f t="shared" si="87"/>
        <v>0</v>
      </c>
      <c r="GG72">
        <f t="shared" si="87"/>
        <v>0</v>
      </c>
      <c r="GH72">
        <f t="shared" si="87"/>
        <v>0</v>
      </c>
      <c r="GI72">
        <f t="shared" si="88"/>
        <v>2139</v>
      </c>
      <c r="GJ72">
        <f t="shared" si="88"/>
        <v>334</v>
      </c>
      <c r="GK72">
        <f t="shared" si="89"/>
        <v>0</v>
      </c>
      <c r="GL72">
        <f t="shared" si="90"/>
        <v>0</v>
      </c>
      <c r="GM72">
        <f t="shared" si="91"/>
        <v>0</v>
      </c>
      <c r="GN72">
        <f t="shared" si="91"/>
        <v>0</v>
      </c>
      <c r="GO72">
        <f t="shared" si="92"/>
        <v>0</v>
      </c>
      <c r="GP72">
        <f t="shared" si="93"/>
        <v>6</v>
      </c>
      <c r="GQ72">
        <f t="shared" si="94"/>
        <v>0</v>
      </c>
      <c r="GR72">
        <f t="shared" si="95"/>
        <v>0</v>
      </c>
      <c r="GS72">
        <f t="shared" si="96"/>
        <v>0</v>
      </c>
      <c r="GT72">
        <f t="shared" si="96"/>
        <v>0</v>
      </c>
      <c r="GU72">
        <f t="shared" si="96"/>
        <v>0</v>
      </c>
      <c r="GV72">
        <f t="shared" si="97"/>
        <v>3</v>
      </c>
      <c r="GW72">
        <f t="shared" si="97"/>
        <v>1</v>
      </c>
      <c r="GX72">
        <f t="shared" si="97"/>
        <v>0</v>
      </c>
      <c r="GY72">
        <f t="shared" si="98"/>
        <v>0</v>
      </c>
      <c r="GZ72">
        <f t="shared" si="99"/>
        <v>0</v>
      </c>
      <c r="HA72">
        <f t="shared" si="100"/>
        <v>1</v>
      </c>
      <c r="HB72">
        <f t="shared" si="101"/>
        <v>0</v>
      </c>
      <c r="HC72">
        <f t="shared" si="102"/>
        <v>0</v>
      </c>
      <c r="HD72">
        <f t="shared" si="103"/>
        <v>0</v>
      </c>
      <c r="HE72">
        <f t="shared" si="104"/>
        <v>0</v>
      </c>
      <c r="HF72">
        <f t="shared" si="105"/>
        <v>0</v>
      </c>
      <c r="HG72">
        <f t="shared" si="106"/>
        <v>0</v>
      </c>
      <c r="HH72">
        <f t="shared" si="107"/>
        <v>0</v>
      </c>
      <c r="HI72">
        <f t="shared" si="108"/>
        <v>0</v>
      </c>
      <c r="HJ72">
        <f t="shared" si="109"/>
        <v>0</v>
      </c>
      <c r="HK72">
        <f t="shared" si="110"/>
        <v>0</v>
      </c>
      <c r="HL72">
        <f t="shared" si="111"/>
        <v>0</v>
      </c>
      <c r="HM72">
        <f t="shared" si="112"/>
        <v>0</v>
      </c>
      <c r="HO72" s="51">
        <v>138</v>
      </c>
      <c r="HP72" t="s">
        <v>0</v>
      </c>
      <c r="HQ72" t="s">
        <v>439</v>
      </c>
      <c r="HR72">
        <v>76.5</v>
      </c>
      <c r="HS72">
        <v>105</v>
      </c>
      <c r="HT72">
        <v>34.5</v>
      </c>
      <c r="HU72">
        <v>3.5</v>
      </c>
      <c r="HV72" s="51">
        <v>138</v>
      </c>
      <c r="HW72">
        <f t="shared" si="113"/>
        <v>0</v>
      </c>
      <c r="HX72">
        <f t="shared" si="113"/>
        <v>0</v>
      </c>
      <c r="HY72">
        <f t="shared" si="114"/>
        <v>0</v>
      </c>
      <c r="HZ72">
        <f t="shared" si="115"/>
        <v>0</v>
      </c>
      <c r="IA72">
        <f t="shared" si="116"/>
        <v>0</v>
      </c>
      <c r="IB72">
        <f t="shared" si="116"/>
        <v>0</v>
      </c>
      <c r="IC72">
        <f t="shared" si="116"/>
        <v>0</v>
      </c>
      <c r="ID72">
        <f t="shared" si="117"/>
        <v>0</v>
      </c>
      <c r="IE72">
        <f t="shared" si="118"/>
        <v>0</v>
      </c>
      <c r="IF72">
        <f t="shared" si="119"/>
        <v>0</v>
      </c>
      <c r="IG72">
        <f t="shared" si="120"/>
        <v>1</v>
      </c>
      <c r="IH72">
        <f t="shared" si="121"/>
        <v>0</v>
      </c>
      <c r="II72">
        <f t="shared" si="122"/>
        <v>0</v>
      </c>
      <c r="IJ72">
        <f t="shared" si="123"/>
        <v>0</v>
      </c>
      <c r="IK72">
        <f t="shared" si="124"/>
        <v>0</v>
      </c>
      <c r="IL72">
        <f t="shared" si="125"/>
        <v>0</v>
      </c>
      <c r="IM72">
        <f t="shared" si="126"/>
        <v>26</v>
      </c>
      <c r="IN72">
        <f t="shared" si="127"/>
        <v>0</v>
      </c>
      <c r="IO72">
        <f t="shared" si="69"/>
        <v>2139</v>
      </c>
      <c r="IP72">
        <f t="shared" si="69"/>
        <v>334</v>
      </c>
      <c r="IQ72">
        <f t="shared" si="69"/>
        <v>0</v>
      </c>
      <c r="IR72">
        <f t="shared" si="69"/>
        <v>0</v>
      </c>
      <c r="IS72">
        <f t="shared" si="69"/>
        <v>0</v>
      </c>
      <c r="IT72">
        <f t="shared" si="67"/>
        <v>0</v>
      </c>
      <c r="IU72">
        <f t="shared" si="67"/>
        <v>0</v>
      </c>
      <c r="IV72">
        <f t="shared" si="67"/>
        <v>6</v>
      </c>
      <c r="IW72">
        <f t="shared" si="67"/>
        <v>0</v>
      </c>
      <c r="IX72">
        <f t="shared" si="67"/>
        <v>0</v>
      </c>
      <c r="IY72">
        <f t="shared" si="128"/>
        <v>0</v>
      </c>
      <c r="IZ72">
        <f t="shared" si="70"/>
        <v>4</v>
      </c>
      <c r="JA72">
        <f t="shared" si="71"/>
        <v>0</v>
      </c>
      <c r="JB72">
        <f t="shared" si="71"/>
        <v>0</v>
      </c>
      <c r="JC72">
        <f t="shared" si="71"/>
        <v>1</v>
      </c>
      <c r="JD72">
        <f t="shared" si="71"/>
        <v>0</v>
      </c>
      <c r="JE72">
        <f t="shared" si="71"/>
        <v>0</v>
      </c>
      <c r="JF72">
        <f t="shared" si="71"/>
        <v>0</v>
      </c>
      <c r="JG72">
        <f t="shared" si="71"/>
        <v>0</v>
      </c>
      <c r="JH72">
        <f t="shared" si="71"/>
        <v>0</v>
      </c>
      <c r="JI72">
        <f t="shared" si="71"/>
        <v>0</v>
      </c>
      <c r="JJ72">
        <f t="shared" si="71"/>
        <v>0</v>
      </c>
      <c r="JK72">
        <f t="shared" si="71"/>
        <v>0</v>
      </c>
      <c r="JL72">
        <f t="shared" si="71"/>
        <v>0</v>
      </c>
      <c r="JM72">
        <f t="shared" si="71"/>
        <v>0</v>
      </c>
      <c r="JN72">
        <f t="shared" si="71"/>
        <v>0</v>
      </c>
      <c r="JO72">
        <f t="shared" si="71"/>
        <v>0</v>
      </c>
    </row>
    <row r="73" spans="2:275" x14ac:dyDescent="0.25">
      <c r="B73" s="51">
        <v>139</v>
      </c>
      <c r="C73" t="s">
        <v>16</v>
      </c>
      <c r="D73" t="s">
        <v>439</v>
      </c>
      <c r="E73">
        <v>55.5</v>
      </c>
      <c r="F73">
        <v>79</v>
      </c>
      <c r="G73">
        <v>25.25</v>
      </c>
      <c r="H73">
        <v>4.75</v>
      </c>
      <c r="I73" s="51">
        <v>139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0.5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1.5</v>
      </c>
      <c r="BF73">
        <v>1.5</v>
      </c>
      <c r="BG73">
        <v>1.5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4.5</v>
      </c>
      <c r="BX73">
        <v>27.5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0.5</v>
      </c>
      <c r="CE73">
        <v>0</v>
      </c>
      <c r="CF73">
        <v>9</v>
      </c>
      <c r="CG73">
        <v>7.5</v>
      </c>
      <c r="CH73">
        <v>37</v>
      </c>
      <c r="CI73">
        <v>33.5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0.5</v>
      </c>
      <c r="CT73">
        <v>4.5</v>
      </c>
      <c r="CU73">
        <v>0</v>
      </c>
      <c r="CV73">
        <v>0.5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0.5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0.5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0.5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P73" s="51">
        <v>139</v>
      </c>
      <c r="EQ73" t="s">
        <v>16</v>
      </c>
      <c r="ER73" t="s">
        <v>439</v>
      </c>
      <c r="ES73">
        <v>55.5</v>
      </c>
      <c r="ET73">
        <v>79</v>
      </c>
      <c r="EU73">
        <v>25.25</v>
      </c>
      <c r="EV73">
        <v>4.75</v>
      </c>
      <c r="EW73" s="51">
        <v>139</v>
      </c>
      <c r="EX73">
        <f t="shared" si="72"/>
        <v>0</v>
      </c>
      <c r="EY73">
        <f t="shared" si="73"/>
        <v>0</v>
      </c>
      <c r="EZ73">
        <f t="shared" si="74"/>
        <v>0</v>
      </c>
      <c r="FA73">
        <f t="shared" si="74"/>
        <v>0</v>
      </c>
      <c r="FB73">
        <f t="shared" si="74"/>
        <v>0.5</v>
      </c>
      <c r="FC73">
        <f t="shared" si="74"/>
        <v>0</v>
      </c>
      <c r="FD73">
        <f t="shared" si="75"/>
        <v>0</v>
      </c>
      <c r="FE73">
        <f t="shared" si="75"/>
        <v>0</v>
      </c>
      <c r="FF73">
        <f t="shared" si="76"/>
        <v>0</v>
      </c>
      <c r="FG73">
        <f t="shared" si="77"/>
        <v>0</v>
      </c>
      <c r="FH73">
        <f t="shared" si="78"/>
        <v>0</v>
      </c>
      <c r="FI73">
        <f t="shared" si="79"/>
        <v>0</v>
      </c>
      <c r="FJ73">
        <f t="shared" si="79"/>
        <v>0</v>
      </c>
      <c r="FK73">
        <f t="shared" si="79"/>
        <v>0</v>
      </c>
      <c r="FL73">
        <f t="shared" si="79"/>
        <v>0</v>
      </c>
      <c r="FM73">
        <f t="shared" si="80"/>
        <v>0.5</v>
      </c>
      <c r="FN73">
        <f t="shared" si="80"/>
        <v>1</v>
      </c>
      <c r="FO73">
        <f t="shared" si="80"/>
        <v>0</v>
      </c>
      <c r="FP73">
        <f t="shared" si="81"/>
        <v>0</v>
      </c>
      <c r="FQ73">
        <f t="shared" si="81"/>
        <v>0</v>
      </c>
      <c r="FR73">
        <f t="shared" si="81"/>
        <v>0</v>
      </c>
      <c r="FS73">
        <f t="shared" si="82"/>
        <v>0</v>
      </c>
      <c r="FT73">
        <f t="shared" si="82"/>
        <v>2.5</v>
      </c>
      <c r="FU73">
        <f t="shared" si="82"/>
        <v>1.5</v>
      </c>
      <c r="FV73">
        <f t="shared" si="82"/>
        <v>1.5</v>
      </c>
      <c r="FW73">
        <f t="shared" si="83"/>
        <v>0</v>
      </c>
      <c r="FX73">
        <f t="shared" si="83"/>
        <v>0</v>
      </c>
      <c r="FY73">
        <f t="shared" si="83"/>
        <v>0</v>
      </c>
      <c r="FZ73">
        <f t="shared" si="84"/>
        <v>0</v>
      </c>
      <c r="GA73">
        <f t="shared" si="84"/>
        <v>0</v>
      </c>
      <c r="GB73">
        <f t="shared" si="85"/>
        <v>0</v>
      </c>
      <c r="GC73">
        <f t="shared" si="86"/>
        <v>4.5</v>
      </c>
      <c r="GD73">
        <f t="shared" si="86"/>
        <v>27.5</v>
      </c>
      <c r="GE73">
        <f t="shared" si="86"/>
        <v>0</v>
      </c>
      <c r="GF73">
        <f t="shared" si="87"/>
        <v>0</v>
      </c>
      <c r="GG73">
        <f t="shared" si="87"/>
        <v>0.5</v>
      </c>
      <c r="GH73">
        <f t="shared" si="87"/>
        <v>0</v>
      </c>
      <c r="GI73">
        <f t="shared" si="88"/>
        <v>46</v>
      </c>
      <c r="GJ73">
        <f t="shared" si="88"/>
        <v>41</v>
      </c>
      <c r="GK73">
        <f t="shared" si="89"/>
        <v>0</v>
      </c>
      <c r="GL73">
        <f t="shared" si="90"/>
        <v>0</v>
      </c>
      <c r="GM73">
        <f t="shared" si="91"/>
        <v>0</v>
      </c>
      <c r="GN73">
        <f t="shared" si="91"/>
        <v>0</v>
      </c>
      <c r="GO73">
        <f t="shared" si="92"/>
        <v>0</v>
      </c>
      <c r="GP73">
        <f t="shared" si="93"/>
        <v>5</v>
      </c>
      <c r="GQ73">
        <f t="shared" si="94"/>
        <v>0.5</v>
      </c>
      <c r="GR73">
        <f t="shared" si="95"/>
        <v>1</v>
      </c>
      <c r="GS73">
        <f t="shared" si="96"/>
        <v>0</v>
      </c>
      <c r="GT73">
        <f t="shared" si="96"/>
        <v>0.5</v>
      </c>
      <c r="GU73">
        <f t="shared" si="96"/>
        <v>0</v>
      </c>
      <c r="GV73">
        <f t="shared" si="97"/>
        <v>0</v>
      </c>
      <c r="GW73">
        <f t="shared" si="97"/>
        <v>0.5</v>
      </c>
      <c r="GX73">
        <f t="shared" si="97"/>
        <v>0</v>
      </c>
      <c r="GY73">
        <f t="shared" si="98"/>
        <v>0</v>
      </c>
      <c r="GZ73">
        <f t="shared" si="99"/>
        <v>0</v>
      </c>
      <c r="HA73">
        <f t="shared" si="100"/>
        <v>0</v>
      </c>
      <c r="HB73">
        <f t="shared" si="101"/>
        <v>0</v>
      </c>
      <c r="HC73">
        <f t="shared" si="102"/>
        <v>0</v>
      </c>
      <c r="HD73">
        <f t="shared" si="103"/>
        <v>0</v>
      </c>
      <c r="HE73">
        <f t="shared" si="104"/>
        <v>0</v>
      </c>
      <c r="HF73">
        <f t="shared" si="105"/>
        <v>0</v>
      </c>
      <c r="HG73">
        <f t="shared" si="106"/>
        <v>0.5</v>
      </c>
      <c r="HH73">
        <f t="shared" si="107"/>
        <v>0</v>
      </c>
      <c r="HI73">
        <f t="shared" si="108"/>
        <v>0</v>
      </c>
      <c r="HJ73">
        <f t="shared" si="109"/>
        <v>0</v>
      </c>
      <c r="HK73">
        <f t="shared" si="110"/>
        <v>0</v>
      </c>
      <c r="HL73">
        <f t="shared" si="111"/>
        <v>0</v>
      </c>
      <c r="HM73">
        <f t="shared" si="112"/>
        <v>0</v>
      </c>
      <c r="HO73" s="51">
        <v>139</v>
      </c>
      <c r="HP73" t="s">
        <v>16</v>
      </c>
      <c r="HQ73" t="s">
        <v>439</v>
      </c>
      <c r="HR73">
        <v>55.5</v>
      </c>
      <c r="HS73">
        <v>79</v>
      </c>
      <c r="HT73">
        <v>25.25</v>
      </c>
      <c r="HU73">
        <v>4.75</v>
      </c>
      <c r="HV73" s="51">
        <v>139</v>
      </c>
      <c r="HW73">
        <f t="shared" si="113"/>
        <v>0</v>
      </c>
      <c r="HX73">
        <f t="shared" si="113"/>
        <v>0</v>
      </c>
      <c r="HY73">
        <f t="shared" si="114"/>
        <v>0.5</v>
      </c>
      <c r="HZ73">
        <f t="shared" si="115"/>
        <v>0</v>
      </c>
      <c r="IA73">
        <f t="shared" si="116"/>
        <v>0</v>
      </c>
      <c r="IB73">
        <f t="shared" si="116"/>
        <v>0</v>
      </c>
      <c r="IC73">
        <f t="shared" si="116"/>
        <v>0</v>
      </c>
      <c r="ID73">
        <f t="shared" si="117"/>
        <v>0</v>
      </c>
      <c r="IE73">
        <f t="shared" si="118"/>
        <v>1.5</v>
      </c>
      <c r="IF73">
        <f t="shared" si="119"/>
        <v>0</v>
      </c>
      <c r="IG73">
        <f t="shared" si="120"/>
        <v>4</v>
      </c>
      <c r="IH73">
        <f t="shared" si="121"/>
        <v>1.5</v>
      </c>
      <c r="II73">
        <f t="shared" si="122"/>
        <v>0</v>
      </c>
      <c r="IJ73">
        <f t="shared" si="123"/>
        <v>0</v>
      </c>
      <c r="IK73">
        <f t="shared" si="124"/>
        <v>0</v>
      </c>
      <c r="IL73">
        <f t="shared" si="125"/>
        <v>0</v>
      </c>
      <c r="IM73">
        <f t="shared" si="126"/>
        <v>32</v>
      </c>
      <c r="IN73">
        <f t="shared" si="127"/>
        <v>0.5</v>
      </c>
      <c r="IO73">
        <f t="shared" si="69"/>
        <v>46</v>
      </c>
      <c r="IP73">
        <f t="shared" si="69"/>
        <v>41</v>
      </c>
      <c r="IQ73">
        <f t="shared" si="69"/>
        <v>0</v>
      </c>
      <c r="IR73">
        <f t="shared" si="69"/>
        <v>0</v>
      </c>
      <c r="IS73">
        <f t="shared" si="69"/>
        <v>0</v>
      </c>
      <c r="IT73">
        <f t="shared" si="67"/>
        <v>0</v>
      </c>
      <c r="IU73">
        <f t="shared" si="67"/>
        <v>0</v>
      </c>
      <c r="IV73">
        <f t="shared" si="67"/>
        <v>5</v>
      </c>
      <c r="IW73">
        <f t="shared" si="67"/>
        <v>0.5</v>
      </c>
      <c r="IX73">
        <f t="shared" si="67"/>
        <v>1</v>
      </c>
      <c r="IY73">
        <f t="shared" si="128"/>
        <v>0.5</v>
      </c>
      <c r="IZ73">
        <f t="shared" si="70"/>
        <v>0.5</v>
      </c>
      <c r="JA73">
        <f t="shared" si="71"/>
        <v>0</v>
      </c>
      <c r="JB73">
        <f t="shared" si="71"/>
        <v>0</v>
      </c>
      <c r="JC73">
        <f t="shared" si="71"/>
        <v>0</v>
      </c>
      <c r="JD73">
        <f t="shared" si="71"/>
        <v>0</v>
      </c>
      <c r="JE73">
        <f t="shared" si="71"/>
        <v>0</v>
      </c>
      <c r="JF73">
        <f t="shared" si="71"/>
        <v>0</v>
      </c>
      <c r="JG73">
        <f t="shared" si="71"/>
        <v>0</v>
      </c>
      <c r="JH73">
        <f t="shared" si="71"/>
        <v>0</v>
      </c>
      <c r="JI73">
        <f t="shared" si="71"/>
        <v>0.5</v>
      </c>
      <c r="JJ73">
        <f t="shared" si="71"/>
        <v>0</v>
      </c>
      <c r="JK73">
        <f t="shared" si="71"/>
        <v>0</v>
      </c>
      <c r="JL73">
        <f t="shared" si="71"/>
        <v>0</v>
      </c>
      <c r="JM73">
        <f t="shared" si="71"/>
        <v>0</v>
      </c>
      <c r="JN73">
        <f t="shared" si="71"/>
        <v>0</v>
      </c>
      <c r="JO73">
        <f t="shared" si="71"/>
        <v>0</v>
      </c>
    </row>
    <row r="74" spans="2:275" x14ac:dyDescent="0.25">
      <c r="B74" s="51">
        <v>141</v>
      </c>
      <c r="C74" t="s">
        <v>440</v>
      </c>
      <c r="D74" t="s">
        <v>439</v>
      </c>
      <c r="E74">
        <v>88.375</v>
      </c>
      <c r="F74">
        <v>130.625</v>
      </c>
      <c r="G74">
        <v>115.625</v>
      </c>
      <c r="H74">
        <v>2.875</v>
      </c>
      <c r="I74" s="51">
        <v>141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1</v>
      </c>
      <c r="Q74">
        <v>1</v>
      </c>
      <c r="R74">
        <v>0</v>
      </c>
      <c r="S74">
        <v>0.25</v>
      </c>
      <c r="T74">
        <v>1</v>
      </c>
      <c r="U74">
        <v>0.25</v>
      </c>
      <c r="V74">
        <v>0</v>
      </c>
      <c r="W74">
        <v>2.25</v>
      </c>
      <c r="X74">
        <v>0</v>
      </c>
      <c r="Y74">
        <v>0.25</v>
      </c>
      <c r="Z74">
        <v>0.25</v>
      </c>
      <c r="AA74">
        <v>0.25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0.25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1.75</v>
      </c>
      <c r="BF74">
        <v>0.75</v>
      </c>
      <c r="BG74">
        <v>0.5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10.75</v>
      </c>
      <c r="BX74">
        <v>10.75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489</v>
      </c>
      <c r="CG74">
        <v>317.5</v>
      </c>
      <c r="CH74">
        <v>15.75</v>
      </c>
      <c r="CI74">
        <v>82.75</v>
      </c>
      <c r="CJ74">
        <v>0</v>
      </c>
      <c r="CK74">
        <v>0.25</v>
      </c>
      <c r="CL74">
        <v>0</v>
      </c>
      <c r="CM74">
        <v>0</v>
      </c>
      <c r="CN74">
        <v>0</v>
      </c>
      <c r="CO74">
        <v>0.25</v>
      </c>
      <c r="CP74">
        <v>0</v>
      </c>
      <c r="CQ74">
        <v>0</v>
      </c>
      <c r="CR74">
        <v>0</v>
      </c>
      <c r="CS74">
        <v>0.5</v>
      </c>
      <c r="CT74">
        <v>2.5</v>
      </c>
      <c r="CU74">
        <v>0</v>
      </c>
      <c r="CV74">
        <v>0.25</v>
      </c>
      <c r="CW74">
        <v>0</v>
      </c>
      <c r="CX74">
        <v>3</v>
      </c>
      <c r="CY74">
        <v>0</v>
      </c>
      <c r="CZ74">
        <v>0</v>
      </c>
      <c r="DA74">
        <v>0.25</v>
      </c>
      <c r="DB74">
        <v>0</v>
      </c>
      <c r="DC74">
        <v>0</v>
      </c>
      <c r="DD74">
        <v>0.25</v>
      </c>
      <c r="DE74">
        <v>0.5</v>
      </c>
      <c r="DF74">
        <v>0</v>
      </c>
      <c r="DG74">
        <v>0</v>
      </c>
      <c r="DH74">
        <v>5.25</v>
      </c>
      <c r="DI74">
        <v>0.5</v>
      </c>
      <c r="DJ74">
        <v>0.5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0.25</v>
      </c>
      <c r="EB74">
        <v>0</v>
      </c>
      <c r="EC74">
        <v>1.25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P74" s="51">
        <v>141</v>
      </c>
      <c r="EQ74" t="s">
        <v>440</v>
      </c>
      <c r="ER74" t="s">
        <v>439</v>
      </c>
      <c r="ES74">
        <v>88.375</v>
      </c>
      <c r="ET74">
        <v>130.625</v>
      </c>
      <c r="EU74">
        <v>115.625</v>
      </c>
      <c r="EV74">
        <v>2.875</v>
      </c>
      <c r="EW74" s="51">
        <v>141</v>
      </c>
      <c r="EX74">
        <f t="shared" si="72"/>
        <v>0</v>
      </c>
      <c r="EY74">
        <f t="shared" si="73"/>
        <v>0</v>
      </c>
      <c r="EZ74">
        <f t="shared" si="74"/>
        <v>0</v>
      </c>
      <c r="FA74">
        <f t="shared" si="74"/>
        <v>2.25</v>
      </c>
      <c r="FB74">
        <f t="shared" si="74"/>
        <v>2</v>
      </c>
      <c r="FC74">
        <f t="shared" si="74"/>
        <v>1.25</v>
      </c>
      <c r="FD74">
        <f t="shared" si="75"/>
        <v>0</v>
      </c>
      <c r="FE74">
        <f t="shared" si="75"/>
        <v>2.5</v>
      </c>
      <c r="FF74">
        <f t="shared" si="76"/>
        <v>0.5</v>
      </c>
      <c r="FG74">
        <f t="shared" si="77"/>
        <v>0</v>
      </c>
      <c r="FH74">
        <f t="shared" si="78"/>
        <v>0</v>
      </c>
      <c r="FI74">
        <f t="shared" si="79"/>
        <v>0</v>
      </c>
      <c r="FJ74">
        <f t="shared" si="79"/>
        <v>0</v>
      </c>
      <c r="FK74">
        <f t="shared" si="79"/>
        <v>0</v>
      </c>
      <c r="FL74">
        <f t="shared" si="79"/>
        <v>0</v>
      </c>
      <c r="FM74">
        <f t="shared" si="80"/>
        <v>0</v>
      </c>
      <c r="FN74">
        <f t="shared" si="80"/>
        <v>0</v>
      </c>
      <c r="FO74">
        <f t="shared" si="80"/>
        <v>0.25</v>
      </c>
      <c r="FP74">
        <f t="shared" si="81"/>
        <v>0</v>
      </c>
      <c r="FQ74">
        <f t="shared" si="81"/>
        <v>0</v>
      </c>
      <c r="FR74">
        <f t="shared" si="81"/>
        <v>0</v>
      </c>
      <c r="FS74">
        <f t="shared" si="82"/>
        <v>0</v>
      </c>
      <c r="FT74">
        <f t="shared" si="82"/>
        <v>1.75</v>
      </c>
      <c r="FU74">
        <f t="shared" si="82"/>
        <v>0.75</v>
      </c>
      <c r="FV74">
        <f t="shared" si="82"/>
        <v>0.5</v>
      </c>
      <c r="FW74">
        <f t="shared" si="83"/>
        <v>0</v>
      </c>
      <c r="FX74">
        <f t="shared" si="83"/>
        <v>0</v>
      </c>
      <c r="FY74">
        <f t="shared" si="83"/>
        <v>0</v>
      </c>
      <c r="FZ74">
        <f t="shared" si="84"/>
        <v>0</v>
      </c>
      <c r="GA74">
        <f t="shared" si="84"/>
        <v>0</v>
      </c>
      <c r="GB74">
        <f t="shared" si="85"/>
        <v>0</v>
      </c>
      <c r="GC74">
        <f t="shared" si="86"/>
        <v>10.75</v>
      </c>
      <c r="GD74">
        <f t="shared" si="86"/>
        <v>10.75</v>
      </c>
      <c r="GE74">
        <f t="shared" si="86"/>
        <v>0</v>
      </c>
      <c r="GF74">
        <f t="shared" si="87"/>
        <v>0</v>
      </c>
      <c r="GG74">
        <f t="shared" si="87"/>
        <v>0</v>
      </c>
      <c r="GH74">
        <f t="shared" si="87"/>
        <v>0</v>
      </c>
      <c r="GI74">
        <f t="shared" si="88"/>
        <v>504.75</v>
      </c>
      <c r="GJ74">
        <f t="shared" si="88"/>
        <v>400.25</v>
      </c>
      <c r="GK74">
        <f t="shared" si="89"/>
        <v>0.25</v>
      </c>
      <c r="GL74">
        <f t="shared" si="90"/>
        <v>0</v>
      </c>
      <c r="GM74">
        <f t="shared" si="91"/>
        <v>0.25</v>
      </c>
      <c r="GN74">
        <f t="shared" si="91"/>
        <v>0</v>
      </c>
      <c r="GO74">
        <f t="shared" si="92"/>
        <v>0</v>
      </c>
      <c r="GP74">
        <f t="shared" si="93"/>
        <v>3</v>
      </c>
      <c r="GQ74">
        <f t="shared" si="94"/>
        <v>0.25</v>
      </c>
      <c r="GR74">
        <f t="shared" si="95"/>
        <v>3</v>
      </c>
      <c r="GS74">
        <f t="shared" si="96"/>
        <v>0</v>
      </c>
      <c r="GT74">
        <f t="shared" si="96"/>
        <v>0</v>
      </c>
      <c r="GU74">
        <f t="shared" si="96"/>
        <v>0.5</v>
      </c>
      <c r="GV74">
        <f t="shared" si="97"/>
        <v>5.75</v>
      </c>
      <c r="GW74">
        <f t="shared" si="97"/>
        <v>0.5</v>
      </c>
      <c r="GX74">
        <f t="shared" si="97"/>
        <v>0.5</v>
      </c>
      <c r="GY74">
        <f t="shared" si="98"/>
        <v>0</v>
      </c>
      <c r="GZ74">
        <f t="shared" si="99"/>
        <v>0</v>
      </c>
      <c r="HA74">
        <f t="shared" si="100"/>
        <v>0</v>
      </c>
      <c r="HB74">
        <f t="shared" si="101"/>
        <v>0</v>
      </c>
      <c r="HC74">
        <f t="shared" si="102"/>
        <v>0</v>
      </c>
      <c r="HD74">
        <f t="shared" si="103"/>
        <v>0</v>
      </c>
      <c r="HE74">
        <f t="shared" si="104"/>
        <v>0</v>
      </c>
      <c r="HF74">
        <f t="shared" si="105"/>
        <v>0</v>
      </c>
      <c r="HG74">
        <f t="shared" si="106"/>
        <v>0.25</v>
      </c>
      <c r="HH74">
        <f t="shared" si="107"/>
        <v>1.25</v>
      </c>
      <c r="HI74">
        <f t="shared" si="108"/>
        <v>0</v>
      </c>
      <c r="HJ74">
        <f t="shared" si="109"/>
        <v>0</v>
      </c>
      <c r="HK74">
        <f t="shared" si="110"/>
        <v>0</v>
      </c>
      <c r="HL74">
        <f t="shared" si="111"/>
        <v>0</v>
      </c>
      <c r="HM74">
        <f t="shared" si="112"/>
        <v>0</v>
      </c>
      <c r="HO74" s="51">
        <v>141</v>
      </c>
      <c r="HP74" t="s">
        <v>440</v>
      </c>
      <c r="HQ74" t="s">
        <v>439</v>
      </c>
      <c r="HR74">
        <v>88.375</v>
      </c>
      <c r="HS74">
        <v>130.625</v>
      </c>
      <c r="HT74">
        <v>115.625</v>
      </c>
      <c r="HU74">
        <v>2.875</v>
      </c>
      <c r="HV74" s="51">
        <v>141</v>
      </c>
      <c r="HW74">
        <f t="shared" si="113"/>
        <v>0</v>
      </c>
      <c r="HX74">
        <f t="shared" si="113"/>
        <v>0</v>
      </c>
      <c r="HY74">
        <f t="shared" si="114"/>
        <v>5.5</v>
      </c>
      <c r="HZ74">
        <f t="shared" si="115"/>
        <v>2.5</v>
      </c>
      <c r="IA74">
        <f t="shared" si="116"/>
        <v>0.5</v>
      </c>
      <c r="IB74">
        <f t="shared" si="116"/>
        <v>0</v>
      </c>
      <c r="IC74">
        <f t="shared" si="116"/>
        <v>0</v>
      </c>
      <c r="ID74">
        <f t="shared" si="117"/>
        <v>0</v>
      </c>
      <c r="IE74">
        <f t="shared" si="118"/>
        <v>0.25</v>
      </c>
      <c r="IF74">
        <f t="shared" si="119"/>
        <v>0</v>
      </c>
      <c r="IG74">
        <f t="shared" si="120"/>
        <v>2.5</v>
      </c>
      <c r="IH74">
        <f t="shared" si="121"/>
        <v>0.5</v>
      </c>
      <c r="II74">
        <f t="shared" si="122"/>
        <v>0</v>
      </c>
      <c r="IJ74">
        <f t="shared" si="123"/>
        <v>0</v>
      </c>
      <c r="IK74">
        <f t="shared" si="124"/>
        <v>0</v>
      </c>
      <c r="IL74">
        <f t="shared" si="125"/>
        <v>0</v>
      </c>
      <c r="IM74">
        <f t="shared" si="126"/>
        <v>21.5</v>
      </c>
      <c r="IN74">
        <f t="shared" si="127"/>
        <v>0</v>
      </c>
      <c r="IO74">
        <f t="shared" si="69"/>
        <v>504.75</v>
      </c>
      <c r="IP74">
        <f t="shared" si="69"/>
        <v>400.25</v>
      </c>
      <c r="IQ74">
        <f t="shared" si="69"/>
        <v>0.25</v>
      </c>
      <c r="IR74">
        <f t="shared" si="69"/>
        <v>0</v>
      </c>
      <c r="IS74">
        <f t="shared" si="69"/>
        <v>0.25</v>
      </c>
      <c r="IT74">
        <f t="shared" si="67"/>
        <v>0</v>
      </c>
      <c r="IU74">
        <f t="shared" si="67"/>
        <v>0</v>
      </c>
      <c r="IV74">
        <f t="shared" si="67"/>
        <v>3</v>
      </c>
      <c r="IW74">
        <f t="shared" si="67"/>
        <v>0.25</v>
      </c>
      <c r="IX74">
        <f t="shared" si="67"/>
        <v>3</v>
      </c>
      <c r="IY74">
        <f t="shared" si="128"/>
        <v>0.5</v>
      </c>
      <c r="IZ74">
        <f t="shared" si="70"/>
        <v>6.75</v>
      </c>
      <c r="JA74">
        <f t="shared" si="71"/>
        <v>0</v>
      </c>
      <c r="JB74">
        <f t="shared" si="71"/>
        <v>0</v>
      </c>
      <c r="JC74">
        <f t="shared" si="71"/>
        <v>0</v>
      </c>
      <c r="JD74">
        <f t="shared" si="71"/>
        <v>0</v>
      </c>
      <c r="JE74">
        <f t="shared" si="71"/>
        <v>0</v>
      </c>
      <c r="JF74">
        <f t="shared" si="71"/>
        <v>0</v>
      </c>
      <c r="JG74">
        <f t="shared" si="71"/>
        <v>0</v>
      </c>
      <c r="JH74">
        <f t="shared" si="71"/>
        <v>0</v>
      </c>
      <c r="JI74">
        <f t="shared" si="71"/>
        <v>0.25</v>
      </c>
      <c r="JJ74">
        <f t="shared" si="71"/>
        <v>1.25</v>
      </c>
      <c r="JK74">
        <f t="shared" si="71"/>
        <v>0</v>
      </c>
      <c r="JL74">
        <f t="shared" si="71"/>
        <v>0</v>
      </c>
      <c r="JM74">
        <f t="shared" si="71"/>
        <v>0</v>
      </c>
      <c r="JN74">
        <f t="shared" si="71"/>
        <v>0</v>
      </c>
      <c r="JO74">
        <f t="shared" si="71"/>
        <v>0</v>
      </c>
    </row>
    <row r="75" spans="2:275" x14ac:dyDescent="0.25">
      <c r="B75" s="51">
        <v>142</v>
      </c>
      <c r="C75" t="s">
        <v>440</v>
      </c>
      <c r="D75" t="s">
        <v>439</v>
      </c>
      <c r="E75">
        <v>80.875</v>
      </c>
      <c r="F75">
        <v>145</v>
      </c>
      <c r="G75">
        <v>86.75</v>
      </c>
      <c r="H75">
        <v>2.875</v>
      </c>
      <c r="I75" s="51">
        <v>142</v>
      </c>
      <c r="J75">
        <v>0</v>
      </c>
      <c r="K75">
        <v>0.25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0.5</v>
      </c>
      <c r="V75">
        <v>0.25</v>
      </c>
      <c r="W75">
        <v>3.75</v>
      </c>
      <c r="X75">
        <v>0</v>
      </c>
      <c r="Y75">
        <v>0</v>
      </c>
      <c r="Z75">
        <v>0.5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0.25</v>
      </c>
      <c r="AR75">
        <v>0.25</v>
      </c>
      <c r="AS75">
        <v>0.25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1.5</v>
      </c>
      <c r="BF75">
        <v>1.75</v>
      </c>
      <c r="BG75">
        <v>1.75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15.25</v>
      </c>
      <c r="BX75">
        <v>6.25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10</v>
      </c>
      <c r="CG75">
        <v>263.25</v>
      </c>
      <c r="CH75">
        <v>13.5</v>
      </c>
      <c r="CI75">
        <v>157.75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0.5</v>
      </c>
      <c r="CT75">
        <v>3.5</v>
      </c>
      <c r="CU75">
        <v>0</v>
      </c>
      <c r="CV75">
        <v>0.5</v>
      </c>
      <c r="CW75">
        <v>0</v>
      </c>
      <c r="CX75">
        <v>6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0.25</v>
      </c>
      <c r="DF75">
        <v>0.25</v>
      </c>
      <c r="DG75">
        <v>0</v>
      </c>
      <c r="DH75">
        <v>2.75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0.25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0.25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P75" s="51">
        <v>142</v>
      </c>
      <c r="EQ75" t="s">
        <v>440</v>
      </c>
      <c r="ER75" t="s">
        <v>439</v>
      </c>
      <c r="ES75">
        <v>80.875</v>
      </c>
      <c r="ET75">
        <v>145</v>
      </c>
      <c r="EU75">
        <v>86.75</v>
      </c>
      <c r="EV75">
        <v>2.875</v>
      </c>
      <c r="EW75" s="51">
        <v>142</v>
      </c>
      <c r="EX75">
        <f t="shared" si="72"/>
        <v>0.25</v>
      </c>
      <c r="EY75">
        <f t="shared" si="73"/>
        <v>0</v>
      </c>
      <c r="EZ75">
        <f t="shared" si="74"/>
        <v>0</v>
      </c>
      <c r="FA75">
        <f t="shared" si="74"/>
        <v>0</v>
      </c>
      <c r="FB75">
        <f t="shared" si="74"/>
        <v>1</v>
      </c>
      <c r="FC75">
        <f t="shared" si="74"/>
        <v>0.5</v>
      </c>
      <c r="FD75">
        <f t="shared" si="75"/>
        <v>0.25</v>
      </c>
      <c r="FE75">
        <f t="shared" si="75"/>
        <v>3.75</v>
      </c>
      <c r="FF75">
        <f t="shared" si="76"/>
        <v>0.5</v>
      </c>
      <c r="FG75">
        <f t="shared" si="77"/>
        <v>0</v>
      </c>
      <c r="FH75">
        <f t="shared" si="78"/>
        <v>0</v>
      </c>
      <c r="FI75">
        <f t="shared" si="79"/>
        <v>0</v>
      </c>
      <c r="FJ75">
        <f t="shared" si="79"/>
        <v>0</v>
      </c>
      <c r="FK75">
        <f t="shared" si="79"/>
        <v>0</v>
      </c>
      <c r="FL75">
        <f t="shared" si="79"/>
        <v>0</v>
      </c>
      <c r="FM75">
        <f t="shared" si="80"/>
        <v>0.25</v>
      </c>
      <c r="FN75">
        <f t="shared" si="80"/>
        <v>0.25</v>
      </c>
      <c r="FO75">
        <f t="shared" si="80"/>
        <v>0.25</v>
      </c>
      <c r="FP75">
        <f t="shared" si="81"/>
        <v>0</v>
      </c>
      <c r="FQ75">
        <f t="shared" si="81"/>
        <v>0</v>
      </c>
      <c r="FR75">
        <f t="shared" si="81"/>
        <v>0</v>
      </c>
      <c r="FS75">
        <f t="shared" si="82"/>
        <v>0</v>
      </c>
      <c r="FT75">
        <f t="shared" si="82"/>
        <v>1.5</v>
      </c>
      <c r="FU75">
        <f t="shared" si="82"/>
        <v>1.75</v>
      </c>
      <c r="FV75">
        <f t="shared" si="82"/>
        <v>1.75</v>
      </c>
      <c r="FW75">
        <f t="shared" si="83"/>
        <v>0</v>
      </c>
      <c r="FX75">
        <f t="shared" si="83"/>
        <v>0</v>
      </c>
      <c r="FY75">
        <f t="shared" si="83"/>
        <v>0</v>
      </c>
      <c r="FZ75">
        <f t="shared" si="84"/>
        <v>0</v>
      </c>
      <c r="GA75">
        <f t="shared" si="84"/>
        <v>0</v>
      </c>
      <c r="GB75">
        <f t="shared" si="85"/>
        <v>0</v>
      </c>
      <c r="GC75">
        <f t="shared" si="86"/>
        <v>15.25</v>
      </c>
      <c r="GD75">
        <f t="shared" si="86"/>
        <v>6.25</v>
      </c>
      <c r="GE75">
        <f t="shared" si="86"/>
        <v>0</v>
      </c>
      <c r="GF75">
        <f t="shared" si="87"/>
        <v>0</v>
      </c>
      <c r="GG75">
        <f t="shared" si="87"/>
        <v>0</v>
      </c>
      <c r="GH75">
        <f t="shared" si="87"/>
        <v>0</v>
      </c>
      <c r="GI75">
        <f t="shared" si="88"/>
        <v>23.5</v>
      </c>
      <c r="GJ75">
        <f t="shared" si="88"/>
        <v>421</v>
      </c>
      <c r="GK75">
        <f t="shared" si="89"/>
        <v>0</v>
      </c>
      <c r="GL75">
        <f t="shared" si="90"/>
        <v>0</v>
      </c>
      <c r="GM75">
        <f t="shared" si="91"/>
        <v>0</v>
      </c>
      <c r="GN75">
        <f t="shared" si="91"/>
        <v>0</v>
      </c>
      <c r="GO75">
        <f t="shared" si="92"/>
        <v>0</v>
      </c>
      <c r="GP75">
        <f t="shared" si="93"/>
        <v>4</v>
      </c>
      <c r="GQ75">
        <f t="shared" si="94"/>
        <v>0.5</v>
      </c>
      <c r="GR75">
        <f t="shared" si="95"/>
        <v>6</v>
      </c>
      <c r="GS75">
        <f t="shared" si="96"/>
        <v>0</v>
      </c>
      <c r="GT75">
        <f t="shared" si="96"/>
        <v>0</v>
      </c>
      <c r="GU75">
        <f t="shared" si="96"/>
        <v>1</v>
      </c>
      <c r="GV75">
        <f t="shared" si="97"/>
        <v>3</v>
      </c>
      <c r="GW75">
        <f t="shared" si="97"/>
        <v>0.25</v>
      </c>
      <c r="GX75">
        <f t="shared" si="97"/>
        <v>0</v>
      </c>
      <c r="GY75">
        <f t="shared" si="98"/>
        <v>0</v>
      </c>
      <c r="GZ75">
        <f t="shared" si="99"/>
        <v>0</v>
      </c>
      <c r="HA75">
        <f t="shared" si="100"/>
        <v>0</v>
      </c>
      <c r="HB75">
        <f t="shared" si="101"/>
        <v>0</v>
      </c>
      <c r="HC75">
        <f t="shared" si="102"/>
        <v>0.25</v>
      </c>
      <c r="HD75">
        <f t="shared" si="103"/>
        <v>0</v>
      </c>
      <c r="HE75">
        <f t="shared" si="104"/>
        <v>0</v>
      </c>
      <c r="HF75">
        <f t="shared" si="105"/>
        <v>0</v>
      </c>
      <c r="HG75">
        <f t="shared" si="106"/>
        <v>0.25</v>
      </c>
      <c r="HH75">
        <f t="shared" si="107"/>
        <v>0</v>
      </c>
      <c r="HI75">
        <f t="shared" si="108"/>
        <v>0</v>
      </c>
      <c r="HJ75">
        <f t="shared" si="109"/>
        <v>0</v>
      </c>
      <c r="HK75">
        <f t="shared" si="110"/>
        <v>0</v>
      </c>
      <c r="HL75">
        <f t="shared" si="111"/>
        <v>0</v>
      </c>
      <c r="HM75">
        <f t="shared" si="112"/>
        <v>0</v>
      </c>
      <c r="HO75" s="51">
        <v>142</v>
      </c>
      <c r="HP75" t="s">
        <v>440</v>
      </c>
      <c r="HQ75" t="s">
        <v>439</v>
      </c>
      <c r="HR75">
        <v>80.875</v>
      </c>
      <c r="HS75">
        <v>145</v>
      </c>
      <c r="HT75">
        <v>86.75</v>
      </c>
      <c r="HU75">
        <v>2.875</v>
      </c>
      <c r="HV75" s="51">
        <v>142</v>
      </c>
      <c r="HW75">
        <f t="shared" si="113"/>
        <v>0.25</v>
      </c>
      <c r="HX75">
        <f t="shared" si="113"/>
        <v>0</v>
      </c>
      <c r="HY75">
        <f t="shared" si="114"/>
        <v>1.5</v>
      </c>
      <c r="HZ75">
        <f t="shared" si="115"/>
        <v>4</v>
      </c>
      <c r="IA75">
        <f t="shared" si="116"/>
        <v>0.5</v>
      </c>
      <c r="IB75">
        <f t="shared" si="116"/>
        <v>0</v>
      </c>
      <c r="IC75">
        <f t="shared" si="116"/>
        <v>0</v>
      </c>
      <c r="ID75">
        <f t="shared" si="117"/>
        <v>0</v>
      </c>
      <c r="IE75">
        <f t="shared" si="118"/>
        <v>0.75</v>
      </c>
      <c r="IF75">
        <f t="shared" si="119"/>
        <v>0</v>
      </c>
      <c r="IG75">
        <f t="shared" si="120"/>
        <v>3.25</v>
      </c>
      <c r="IH75">
        <f t="shared" si="121"/>
        <v>1.75</v>
      </c>
      <c r="II75">
        <f t="shared" si="122"/>
        <v>0</v>
      </c>
      <c r="IJ75">
        <f t="shared" si="123"/>
        <v>0</v>
      </c>
      <c r="IK75">
        <f t="shared" si="124"/>
        <v>0</v>
      </c>
      <c r="IL75">
        <f t="shared" si="125"/>
        <v>0</v>
      </c>
      <c r="IM75">
        <f t="shared" si="126"/>
        <v>21.5</v>
      </c>
      <c r="IN75">
        <f t="shared" si="127"/>
        <v>0</v>
      </c>
      <c r="IO75">
        <f t="shared" si="69"/>
        <v>23.5</v>
      </c>
      <c r="IP75">
        <f t="shared" si="69"/>
        <v>421</v>
      </c>
      <c r="IQ75">
        <f t="shared" si="69"/>
        <v>0</v>
      </c>
      <c r="IR75">
        <f t="shared" si="69"/>
        <v>0</v>
      </c>
      <c r="IS75">
        <f t="shared" si="69"/>
        <v>0</v>
      </c>
      <c r="IT75">
        <f t="shared" si="67"/>
        <v>0</v>
      </c>
      <c r="IU75">
        <f t="shared" si="67"/>
        <v>0</v>
      </c>
      <c r="IV75">
        <f t="shared" si="67"/>
        <v>4</v>
      </c>
      <c r="IW75">
        <f t="shared" si="67"/>
        <v>0.5</v>
      </c>
      <c r="IX75">
        <f t="shared" si="67"/>
        <v>6</v>
      </c>
      <c r="IY75">
        <f t="shared" si="128"/>
        <v>1</v>
      </c>
      <c r="IZ75">
        <f t="shared" si="70"/>
        <v>3.25</v>
      </c>
      <c r="JA75">
        <f t="shared" si="71"/>
        <v>0</v>
      </c>
      <c r="JB75">
        <f t="shared" si="71"/>
        <v>0</v>
      </c>
      <c r="JC75">
        <f t="shared" si="71"/>
        <v>0</v>
      </c>
      <c r="JD75">
        <f t="shared" si="71"/>
        <v>0</v>
      </c>
      <c r="JE75">
        <f t="shared" si="71"/>
        <v>0.25</v>
      </c>
      <c r="JF75">
        <f t="shared" si="71"/>
        <v>0</v>
      </c>
      <c r="JG75">
        <f t="shared" si="71"/>
        <v>0</v>
      </c>
      <c r="JH75">
        <f t="shared" si="71"/>
        <v>0</v>
      </c>
      <c r="JI75">
        <f t="shared" si="71"/>
        <v>0.25</v>
      </c>
      <c r="JJ75">
        <f t="shared" si="71"/>
        <v>0</v>
      </c>
      <c r="JK75">
        <f t="shared" si="71"/>
        <v>0</v>
      </c>
      <c r="JL75">
        <f t="shared" si="71"/>
        <v>0</v>
      </c>
      <c r="JM75">
        <f t="shared" si="71"/>
        <v>0</v>
      </c>
      <c r="JN75">
        <f t="shared" si="71"/>
        <v>0</v>
      </c>
      <c r="JO75">
        <f t="shared" si="71"/>
        <v>0</v>
      </c>
    </row>
    <row r="76" spans="2:275" x14ac:dyDescent="0.25">
      <c r="B76" s="51">
        <v>143</v>
      </c>
      <c r="C76" t="s">
        <v>16</v>
      </c>
      <c r="D76" t="s">
        <v>439</v>
      </c>
      <c r="E76">
        <v>70</v>
      </c>
      <c r="F76">
        <v>128.125</v>
      </c>
      <c r="G76">
        <v>56.5</v>
      </c>
      <c r="H76">
        <v>2.5</v>
      </c>
      <c r="I76" s="51">
        <v>143</v>
      </c>
      <c r="J76">
        <v>0</v>
      </c>
      <c r="K76">
        <v>0</v>
      </c>
      <c r="L76">
        <v>0</v>
      </c>
      <c r="M76">
        <v>0</v>
      </c>
      <c r="N76">
        <v>0</v>
      </c>
      <c r="O76">
        <v>0.25</v>
      </c>
      <c r="P76">
        <v>0.75</v>
      </c>
      <c r="Q76">
        <v>0.25</v>
      </c>
      <c r="R76">
        <v>0</v>
      </c>
      <c r="S76">
        <v>0.25</v>
      </c>
      <c r="T76">
        <v>2.75</v>
      </c>
      <c r="U76">
        <v>0</v>
      </c>
      <c r="V76">
        <v>0</v>
      </c>
      <c r="W76">
        <v>7.5</v>
      </c>
      <c r="X76">
        <v>0</v>
      </c>
      <c r="Y76">
        <v>0.25</v>
      </c>
      <c r="Z76">
        <v>0.75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3.5</v>
      </c>
      <c r="BF76">
        <v>1.5</v>
      </c>
      <c r="BG76">
        <v>1.25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4</v>
      </c>
      <c r="BX76">
        <v>4.25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13.75</v>
      </c>
      <c r="CG76">
        <v>325</v>
      </c>
      <c r="CH76">
        <v>21.75</v>
      </c>
      <c r="CI76">
        <v>158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0.25</v>
      </c>
      <c r="CT76">
        <v>1.5</v>
      </c>
      <c r="CU76">
        <v>0</v>
      </c>
      <c r="CV76">
        <v>0.5</v>
      </c>
      <c r="CW76">
        <v>0</v>
      </c>
      <c r="CX76">
        <v>0</v>
      </c>
      <c r="CY76">
        <v>0</v>
      </c>
      <c r="CZ76">
        <v>0</v>
      </c>
      <c r="DA76">
        <v>0.25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1.5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0.25</v>
      </c>
      <c r="DY76">
        <v>0</v>
      </c>
      <c r="DZ76">
        <v>0</v>
      </c>
      <c r="EA76">
        <v>0.5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P76" s="51">
        <v>143</v>
      </c>
      <c r="EQ76" t="s">
        <v>16</v>
      </c>
      <c r="ER76" t="s">
        <v>439</v>
      </c>
      <c r="ES76">
        <v>70</v>
      </c>
      <c r="ET76">
        <v>128.125</v>
      </c>
      <c r="EU76">
        <v>56.5</v>
      </c>
      <c r="EV76">
        <v>2.5</v>
      </c>
      <c r="EW76" s="51">
        <v>143</v>
      </c>
      <c r="EX76">
        <f t="shared" si="72"/>
        <v>0</v>
      </c>
      <c r="EY76">
        <f t="shared" si="73"/>
        <v>0</v>
      </c>
      <c r="EZ76">
        <f t="shared" si="74"/>
        <v>0</v>
      </c>
      <c r="FA76">
        <f t="shared" si="74"/>
        <v>0.5</v>
      </c>
      <c r="FB76">
        <f t="shared" si="74"/>
        <v>3.5</v>
      </c>
      <c r="FC76">
        <f t="shared" si="74"/>
        <v>0.25</v>
      </c>
      <c r="FD76">
        <f t="shared" si="75"/>
        <v>0</v>
      </c>
      <c r="FE76">
        <f t="shared" si="75"/>
        <v>7.75</v>
      </c>
      <c r="FF76">
        <f t="shared" si="76"/>
        <v>0.75</v>
      </c>
      <c r="FG76">
        <f t="shared" si="77"/>
        <v>0</v>
      </c>
      <c r="FH76">
        <f t="shared" si="78"/>
        <v>0</v>
      </c>
      <c r="FI76">
        <f t="shared" si="79"/>
        <v>0</v>
      </c>
      <c r="FJ76">
        <f t="shared" si="79"/>
        <v>0</v>
      </c>
      <c r="FK76">
        <f t="shared" si="79"/>
        <v>0</v>
      </c>
      <c r="FL76">
        <f t="shared" si="79"/>
        <v>0</v>
      </c>
      <c r="FM76">
        <f t="shared" si="80"/>
        <v>0</v>
      </c>
      <c r="FN76">
        <f t="shared" si="80"/>
        <v>0.5</v>
      </c>
      <c r="FO76">
        <f t="shared" si="80"/>
        <v>0</v>
      </c>
      <c r="FP76">
        <f t="shared" si="81"/>
        <v>0</v>
      </c>
      <c r="FQ76">
        <f t="shared" si="81"/>
        <v>0</v>
      </c>
      <c r="FR76">
        <f t="shared" si="81"/>
        <v>0</v>
      </c>
      <c r="FS76">
        <f t="shared" si="82"/>
        <v>0</v>
      </c>
      <c r="FT76">
        <f t="shared" si="82"/>
        <v>3.5</v>
      </c>
      <c r="FU76">
        <f t="shared" si="82"/>
        <v>1.5</v>
      </c>
      <c r="FV76">
        <f t="shared" si="82"/>
        <v>1.25</v>
      </c>
      <c r="FW76">
        <f t="shared" si="83"/>
        <v>0</v>
      </c>
      <c r="FX76">
        <f t="shared" si="83"/>
        <v>0</v>
      </c>
      <c r="FY76">
        <f t="shared" si="83"/>
        <v>0</v>
      </c>
      <c r="FZ76">
        <f t="shared" si="84"/>
        <v>0</v>
      </c>
      <c r="GA76">
        <f t="shared" si="84"/>
        <v>0</v>
      </c>
      <c r="GB76">
        <f t="shared" si="85"/>
        <v>0</v>
      </c>
      <c r="GC76">
        <f t="shared" si="86"/>
        <v>4</v>
      </c>
      <c r="GD76">
        <f t="shared" si="86"/>
        <v>4.25</v>
      </c>
      <c r="GE76">
        <f t="shared" si="86"/>
        <v>0</v>
      </c>
      <c r="GF76">
        <f t="shared" si="87"/>
        <v>0</v>
      </c>
      <c r="GG76">
        <f t="shared" si="87"/>
        <v>0</v>
      </c>
      <c r="GH76">
        <f t="shared" si="87"/>
        <v>0</v>
      </c>
      <c r="GI76">
        <f t="shared" si="88"/>
        <v>35.5</v>
      </c>
      <c r="GJ76">
        <f t="shared" si="88"/>
        <v>483</v>
      </c>
      <c r="GK76">
        <f t="shared" si="89"/>
        <v>0</v>
      </c>
      <c r="GL76">
        <f t="shared" si="90"/>
        <v>0</v>
      </c>
      <c r="GM76">
        <f t="shared" si="91"/>
        <v>0</v>
      </c>
      <c r="GN76">
        <f t="shared" si="91"/>
        <v>0</v>
      </c>
      <c r="GO76">
        <f t="shared" si="92"/>
        <v>0</v>
      </c>
      <c r="GP76">
        <f t="shared" si="93"/>
        <v>1.75</v>
      </c>
      <c r="GQ76">
        <f t="shared" si="94"/>
        <v>0.5</v>
      </c>
      <c r="GR76">
        <f t="shared" si="95"/>
        <v>0</v>
      </c>
      <c r="GS76">
        <f t="shared" si="96"/>
        <v>0</v>
      </c>
      <c r="GT76">
        <f t="shared" si="96"/>
        <v>0</v>
      </c>
      <c r="GU76">
        <f t="shared" si="96"/>
        <v>0.25</v>
      </c>
      <c r="GV76">
        <f t="shared" si="97"/>
        <v>1.5</v>
      </c>
      <c r="GW76">
        <f t="shared" si="97"/>
        <v>0</v>
      </c>
      <c r="GX76">
        <f t="shared" si="97"/>
        <v>0</v>
      </c>
      <c r="GY76">
        <f t="shared" si="98"/>
        <v>0</v>
      </c>
      <c r="GZ76">
        <f t="shared" si="99"/>
        <v>0</v>
      </c>
      <c r="HA76">
        <f t="shared" si="100"/>
        <v>0</v>
      </c>
      <c r="HB76">
        <f t="shared" si="101"/>
        <v>0</v>
      </c>
      <c r="HC76">
        <f t="shared" si="102"/>
        <v>0</v>
      </c>
      <c r="HD76">
        <f t="shared" si="103"/>
        <v>0</v>
      </c>
      <c r="HE76">
        <f t="shared" si="104"/>
        <v>0.25</v>
      </c>
      <c r="HF76">
        <f t="shared" si="105"/>
        <v>0</v>
      </c>
      <c r="HG76">
        <f t="shared" si="106"/>
        <v>0.5</v>
      </c>
      <c r="HH76">
        <f t="shared" si="107"/>
        <v>0</v>
      </c>
      <c r="HI76">
        <f t="shared" si="108"/>
        <v>0</v>
      </c>
      <c r="HJ76">
        <f t="shared" si="109"/>
        <v>0</v>
      </c>
      <c r="HK76">
        <f t="shared" si="110"/>
        <v>0</v>
      </c>
      <c r="HL76">
        <f t="shared" si="111"/>
        <v>0</v>
      </c>
      <c r="HM76">
        <f t="shared" si="112"/>
        <v>1</v>
      </c>
      <c r="HO76" s="51">
        <v>143</v>
      </c>
      <c r="HP76" t="s">
        <v>16</v>
      </c>
      <c r="HQ76" t="s">
        <v>439</v>
      </c>
      <c r="HR76">
        <v>70</v>
      </c>
      <c r="HS76">
        <v>128.125</v>
      </c>
      <c r="HT76">
        <v>56.5</v>
      </c>
      <c r="HU76">
        <v>2.5</v>
      </c>
      <c r="HV76" s="51">
        <v>143</v>
      </c>
      <c r="HW76">
        <f t="shared" si="113"/>
        <v>0</v>
      </c>
      <c r="HX76">
        <f t="shared" si="113"/>
        <v>0</v>
      </c>
      <c r="HY76">
        <f t="shared" si="114"/>
        <v>4.25</v>
      </c>
      <c r="HZ76">
        <f t="shared" si="115"/>
        <v>7.75</v>
      </c>
      <c r="IA76">
        <f t="shared" si="116"/>
        <v>0.75</v>
      </c>
      <c r="IB76">
        <f t="shared" si="116"/>
        <v>0</v>
      </c>
      <c r="IC76">
        <f t="shared" si="116"/>
        <v>0</v>
      </c>
      <c r="ID76">
        <f t="shared" si="117"/>
        <v>0</v>
      </c>
      <c r="IE76">
        <f t="shared" si="118"/>
        <v>0.5</v>
      </c>
      <c r="IF76">
        <f t="shared" si="119"/>
        <v>0</v>
      </c>
      <c r="IG76">
        <f t="shared" si="120"/>
        <v>5</v>
      </c>
      <c r="IH76">
        <f t="shared" si="121"/>
        <v>1.25</v>
      </c>
      <c r="II76">
        <f t="shared" si="122"/>
        <v>0</v>
      </c>
      <c r="IJ76">
        <f t="shared" si="123"/>
        <v>0</v>
      </c>
      <c r="IK76">
        <f t="shared" si="124"/>
        <v>0</v>
      </c>
      <c r="IL76">
        <f t="shared" si="125"/>
        <v>0</v>
      </c>
      <c r="IM76">
        <f t="shared" si="126"/>
        <v>8.25</v>
      </c>
      <c r="IN76">
        <f t="shared" si="127"/>
        <v>0</v>
      </c>
      <c r="IO76">
        <f t="shared" si="69"/>
        <v>35.5</v>
      </c>
      <c r="IP76">
        <f t="shared" si="69"/>
        <v>483</v>
      </c>
      <c r="IQ76">
        <f t="shared" si="69"/>
        <v>0</v>
      </c>
      <c r="IR76">
        <f t="shared" si="69"/>
        <v>0</v>
      </c>
      <c r="IS76">
        <f t="shared" si="69"/>
        <v>0</v>
      </c>
      <c r="IT76">
        <f t="shared" si="67"/>
        <v>0</v>
      </c>
      <c r="IU76">
        <f t="shared" si="67"/>
        <v>0</v>
      </c>
      <c r="IV76">
        <f t="shared" si="67"/>
        <v>1.75</v>
      </c>
      <c r="IW76">
        <f t="shared" si="67"/>
        <v>0.5</v>
      </c>
      <c r="IX76">
        <f t="shared" si="67"/>
        <v>0</v>
      </c>
      <c r="IY76">
        <f t="shared" si="128"/>
        <v>0.25</v>
      </c>
      <c r="IZ76">
        <f t="shared" si="70"/>
        <v>1.5</v>
      </c>
      <c r="JA76">
        <f t="shared" ref="JA76:JO76" si="129">GY76</f>
        <v>0</v>
      </c>
      <c r="JB76">
        <f t="shared" si="129"/>
        <v>0</v>
      </c>
      <c r="JC76">
        <f t="shared" si="129"/>
        <v>0</v>
      </c>
      <c r="JD76">
        <f t="shared" si="129"/>
        <v>0</v>
      </c>
      <c r="JE76">
        <f t="shared" si="129"/>
        <v>0</v>
      </c>
      <c r="JF76">
        <f t="shared" si="129"/>
        <v>0</v>
      </c>
      <c r="JG76">
        <f t="shared" si="129"/>
        <v>0.25</v>
      </c>
      <c r="JH76">
        <f t="shared" si="129"/>
        <v>0</v>
      </c>
      <c r="JI76">
        <f t="shared" si="129"/>
        <v>0.5</v>
      </c>
      <c r="JJ76">
        <f t="shared" si="129"/>
        <v>0</v>
      </c>
      <c r="JK76">
        <f t="shared" si="129"/>
        <v>0</v>
      </c>
      <c r="JL76">
        <f t="shared" si="129"/>
        <v>0</v>
      </c>
      <c r="JM76">
        <f t="shared" si="129"/>
        <v>0</v>
      </c>
      <c r="JN76">
        <f t="shared" si="129"/>
        <v>0</v>
      </c>
      <c r="JO76">
        <f t="shared" si="129"/>
        <v>1</v>
      </c>
    </row>
    <row r="77" spans="2:275" x14ac:dyDescent="0.25">
      <c r="B77" s="51">
        <v>144</v>
      </c>
      <c r="C77" t="s">
        <v>16</v>
      </c>
      <c r="D77" t="s">
        <v>439</v>
      </c>
      <c r="E77" s="91" t="s">
        <v>589</v>
      </c>
      <c r="F77" s="90"/>
      <c r="G77" s="90"/>
      <c r="H77" s="90"/>
      <c r="I77" s="51">
        <v>144</v>
      </c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90"/>
      <c r="DU77" s="90"/>
      <c r="DV77" s="90"/>
      <c r="DW77" s="90"/>
      <c r="DX77" s="90"/>
      <c r="DY77" s="90"/>
      <c r="DZ77" s="90"/>
      <c r="EA77" s="90"/>
      <c r="EB77" s="90"/>
      <c r="EC77" s="90"/>
      <c r="ED77" s="90"/>
      <c r="EE77" s="90"/>
      <c r="EF77" s="90"/>
      <c r="EG77" s="90"/>
      <c r="EH77" s="90"/>
      <c r="EI77" s="90"/>
      <c r="EJ77" s="90"/>
      <c r="EK77" s="90"/>
      <c r="EL77" s="90"/>
      <c r="EP77" s="51">
        <v>144</v>
      </c>
      <c r="EQ77" t="s">
        <v>16</v>
      </c>
      <c r="ER77" t="s">
        <v>439</v>
      </c>
      <c r="ES77" s="50"/>
      <c r="ET77" s="50"/>
      <c r="EU77" s="50"/>
      <c r="EV77" s="50"/>
      <c r="EW77" s="51">
        <v>144</v>
      </c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O77" s="51">
        <v>144</v>
      </c>
      <c r="HP77" t="s">
        <v>16</v>
      </c>
      <c r="HQ77" t="s">
        <v>439</v>
      </c>
      <c r="HR77" s="68"/>
      <c r="HS77" s="68"/>
      <c r="HT77" s="68"/>
      <c r="HU77" s="68"/>
      <c r="HV77" s="51">
        <v>144</v>
      </c>
      <c r="HW77" s="68"/>
      <c r="HX77" s="68"/>
      <c r="HY77" s="68"/>
      <c r="HZ77" s="68"/>
      <c r="IA77" s="68"/>
      <c r="IB77" s="68"/>
      <c r="IC77" s="68"/>
      <c r="ID77" s="68"/>
      <c r="IE77" s="68"/>
      <c r="IF77" s="68"/>
      <c r="IG77" s="68"/>
      <c r="IH77" s="68"/>
      <c r="II77" s="68"/>
      <c r="IJ77" s="68"/>
      <c r="IK77" s="68"/>
      <c r="IL77" s="68"/>
      <c r="IM77" s="68"/>
      <c r="IN77" s="68"/>
      <c r="IO77" s="68"/>
      <c r="IP77" s="68"/>
      <c r="IQ77" s="68"/>
      <c r="IR77" s="68"/>
      <c r="IS77" s="68"/>
      <c r="IT77" s="68"/>
      <c r="IU77" s="68"/>
      <c r="IV77" s="68"/>
      <c r="IW77" s="68"/>
      <c r="IX77" s="68"/>
      <c r="IY77" s="68"/>
      <c r="IZ77" s="68"/>
      <c r="JA77" s="68"/>
      <c r="JB77" s="68"/>
      <c r="JC77" s="68"/>
      <c r="JD77" s="68"/>
      <c r="JE77" s="68"/>
      <c r="JF77" s="68"/>
      <c r="JG77" s="68"/>
      <c r="JH77" s="68"/>
      <c r="JI77" s="68"/>
      <c r="JJ77" s="68"/>
      <c r="JK77" s="68"/>
      <c r="JL77" s="68"/>
      <c r="JM77" s="68"/>
      <c r="JN77" s="68"/>
      <c r="JO77" s="6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 Readme</vt:lpstr>
      <vt:lpstr>Explanation of terms in SEM</vt:lpstr>
      <vt:lpstr>DATA for SEM of Figure 1</vt:lpstr>
      <vt:lpstr>DATA for SEM of Figure 4</vt:lpstr>
      <vt:lpstr>DATA for Seed set in Figure 2</vt:lpstr>
      <vt:lpstr>Species abbreviations</vt:lpstr>
      <vt:lpstr>Insect community data 2012</vt:lpstr>
      <vt:lpstr>Insect community data 2013</vt:lpstr>
    </vt:vector>
  </TitlesOfParts>
  <Company>Wageningen 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Stam, Jeltje</dc:creator>
  <cp:lastModifiedBy>Poelman, Erik</cp:lastModifiedBy>
  <dcterms:created xsi:type="dcterms:W3CDTF">2015-07-30T14:17:15Z</dcterms:created>
  <dcterms:modified xsi:type="dcterms:W3CDTF">2019-06-14T07:53:50Z</dcterms:modified>
</cp:coreProperties>
</file>