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15120" yWindow="0" windowWidth="27500" windowHeight="25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4" i="1" l="1"/>
  <c r="H104" i="1"/>
  <c r="G105" i="1"/>
  <c r="H105" i="1"/>
  <c r="G106" i="1"/>
  <c r="H106" i="1"/>
  <c r="G107" i="1"/>
  <c r="H107" i="1"/>
  <c r="G109" i="1"/>
  <c r="H109" i="1"/>
  <c r="G110" i="1"/>
  <c r="H110" i="1"/>
  <c r="G111" i="1"/>
  <c r="H111" i="1"/>
  <c r="G112" i="1"/>
  <c r="H112" i="1"/>
  <c r="G113" i="1"/>
  <c r="H113" i="1"/>
  <c r="H115" i="1"/>
  <c r="H116" i="1"/>
  <c r="H114" i="1"/>
  <c r="G108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H101" i="1"/>
  <c r="H102" i="1"/>
  <c r="H100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H87" i="1"/>
  <c r="H88" i="1"/>
  <c r="H86" i="1"/>
  <c r="G62" i="1"/>
  <c r="H62" i="1"/>
  <c r="G64" i="1"/>
  <c r="H64" i="1"/>
  <c r="G65" i="1"/>
  <c r="H65" i="1"/>
  <c r="G66" i="1"/>
  <c r="H66" i="1"/>
  <c r="G68" i="1"/>
  <c r="H68" i="1"/>
  <c r="G69" i="1"/>
  <c r="H69" i="1"/>
  <c r="G71" i="1"/>
  <c r="H71" i="1"/>
  <c r="H73" i="1"/>
  <c r="H74" i="1"/>
  <c r="H72" i="1"/>
  <c r="G63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W56" i="1"/>
  <c r="W57" i="1"/>
  <c r="Q45" i="1"/>
  <c r="R45" i="1"/>
  <c r="Q46" i="1"/>
  <c r="R46" i="1"/>
  <c r="Q47" i="1"/>
  <c r="R47" i="1"/>
  <c r="Q48" i="1"/>
  <c r="R48" i="1"/>
  <c r="Q50" i="1"/>
  <c r="R50" i="1"/>
  <c r="Q51" i="1"/>
  <c r="R51" i="1"/>
  <c r="Q52" i="1"/>
  <c r="R52" i="1"/>
  <c r="Q53" i="1"/>
  <c r="R53" i="1"/>
  <c r="Q54" i="1"/>
  <c r="R54" i="1"/>
  <c r="R56" i="1"/>
  <c r="R57" i="1"/>
  <c r="L45" i="1"/>
  <c r="M45" i="1"/>
  <c r="L46" i="1"/>
  <c r="M46" i="1"/>
  <c r="L47" i="1"/>
  <c r="M47" i="1"/>
  <c r="L48" i="1"/>
  <c r="M48" i="1"/>
  <c r="L50" i="1"/>
  <c r="M50" i="1"/>
  <c r="L51" i="1"/>
  <c r="M51" i="1"/>
  <c r="L52" i="1"/>
  <c r="M52" i="1"/>
  <c r="L53" i="1"/>
  <c r="M53" i="1"/>
  <c r="L54" i="1"/>
  <c r="M54" i="1"/>
  <c r="M56" i="1"/>
  <c r="M57" i="1"/>
  <c r="G45" i="1"/>
  <c r="H45" i="1"/>
  <c r="G46" i="1"/>
  <c r="H46" i="1"/>
  <c r="G47" i="1"/>
  <c r="H47" i="1"/>
  <c r="G48" i="1"/>
  <c r="H48" i="1"/>
  <c r="G50" i="1"/>
  <c r="H50" i="1"/>
  <c r="G51" i="1"/>
  <c r="H51" i="1"/>
  <c r="G52" i="1"/>
  <c r="H52" i="1"/>
  <c r="G54" i="1"/>
  <c r="H54" i="1"/>
  <c r="H56" i="1"/>
  <c r="H57" i="1"/>
  <c r="W55" i="1"/>
  <c r="R55" i="1"/>
  <c r="M55" i="1"/>
  <c r="H55" i="1"/>
  <c r="G53" i="1"/>
  <c r="G49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9" i="1"/>
  <c r="W39" i="1"/>
  <c r="V40" i="1"/>
  <c r="W40" i="1"/>
  <c r="W42" i="1"/>
  <c r="W43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9" i="1"/>
  <c r="R39" i="1"/>
  <c r="Q40" i="1"/>
  <c r="R40" i="1"/>
  <c r="R42" i="1"/>
  <c r="R43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9" i="1"/>
  <c r="M39" i="1"/>
  <c r="L40" i="1"/>
  <c r="M40" i="1"/>
  <c r="M42" i="1"/>
  <c r="M43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H42" i="1"/>
  <c r="H43" i="1"/>
  <c r="W41" i="1"/>
  <c r="R41" i="1"/>
  <c r="M41" i="1"/>
  <c r="H41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W28" i="1"/>
  <c r="W29" i="1"/>
  <c r="Q17" i="1"/>
  <c r="R17" i="1"/>
  <c r="Q18" i="1"/>
  <c r="R18" i="1"/>
  <c r="Q19" i="1"/>
  <c r="R19" i="1"/>
  <c r="Q20" i="1"/>
  <c r="R20" i="1"/>
  <c r="Q21" i="1"/>
  <c r="R21" i="1"/>
  <c r="Q23" i="1"/>
  <c r="R23" i="1"/>
  <c r="Q25" i="1"/>
  <c r="R25" i="1"/>
  <c r="Q26" i="1"/>
  <c r="R26" i="1"/>
  <c r="R28" i="1"/>
  <c r="R29" i="1"/>
  <c r="L18" i="1"/>
  <c r="M18" i="1"/>
  <c r="L19" i="1"/>
  <c r="M19" i="1"/>
  <c r="L20" i="1"/>
  <c r="M20" i="1"/>
  <c r="L21" i="1"/>
  <c r="M21" i="1"/>
  <c r="L23" i="1"/>
  <c r="M23" i="1"/>
  <c r="L24" i="1"/>
  <c r="M24" i="1"/>
  <c r="L25" i="1"/>
  <c r="M25" i="1"/>
  <c r="L26" i="1"/>
  <c r="M26" i="1"/>
  <c r="M28" i="1"/>
  <c r="M29" i="1"/>
  <c r="G18" i="1"/>
  <c r="H18" i="1"/>
  <c r="G19" i="1"/>
  <c r="H19" i="1"/>
  <c r="G20" i="1"/>
  <c r="H20" i="1"/>
  <c r="G21" i="1"/>
  <c r="H21" i="1"/>
  <c r="G23" i="1"/>
  <c r="H23" i="1"/>
  <c r="G24" i="1"/>
  <c r="H24" i="1"/>
  <c r="G25" i="1"/>
  <c r="H25" i="1"/>
  <c r="G26" i="1"/>
  <c r="H26" i="1"/>
  <c r="H28" i="1"/>
  <c r="H29" i="1"/>
  <c r="W27" i="1"/>
  <c r="R27" i="1"/>
  <c r="M27" i="1"/>
  <c r="H27" i="1"/>
  <c r="G22" i="1"/>
  <c r="V3" i="1"/>
  <c r="W3" i="1"/>
  <c r="V4" i="1"/>
  <c r="W4" i="1"/>
  <c r="V5" i="1"/>
  <c r="W5" i="1"/>
  <c r="V7" i="1"/>
  <c r="W7" i="1"/>
  <c r="V9" i="1"/>
  <c r="W9" i="1"/>
  <c r="V12" i="1"/>
  <c r="W12" i="1"/>
  <c r="W14" i="1"/>
  <c r="W15" i="1"/>
  <c r="Q3" i="1"/>
  <c r="R3" i="1"/>
  <c r="Q4" i="1"/>
  <c r="R4" i="1"/>
  <c r="Q5" i="1"/>
  <c r="R5" i="1"/>
  <c r="Q7" i="1"/>
  <c r="R7" i="1"/>
  <c r="Q9" i="1"/>
  <c r="R9" i="1"/>
  <c r="Q12" i="1"/>
  <c r="R12" i="1"/>
  <c r="R14" i="1"/>
  <c r="R15" i="1"/>
  <c r="L3" i="1"/>
  <c r="M3" i="1"/>
  <c r="L5" i="1"/>
  <c r="M5" i="1"/>
  <c r="L7" i="1"/>
  <c r="M7" i="1"/>
  <c r="L9" i="1"/>
  <c r="M9" i="1"/>
  <c r="L10" i="1"/>
  <c r="M10" i="1"/>
  <c r="L12" i="1"/>
  <c r="M12" i="1"/>
  <c r="M14" i="1"/>
  <c r="M15" i="1"/>
  <c r="G3" i="1"/>
  <c r="H3" i="1"/>
  <c r="G5" i="1"/>
  <c r="H5" i="1"/>
  <c r="G7" i="1"/>
  <c r="H7" i="1"/>
  <c r="G9" i="1"/>
  <c r="H9" i="1"/>
  <c r="G10" i="1"/>
  <c r="H10" i="1"/>
  <c r="G12" i="1"/>
  <c r="H12" i="1"/>
  <c r="H14" i="1"/>
  <c r="H15" i="1"/>
  <c r="W13" i="1"/>
  <c r="R13" i="1"/>
  <c r="M13" i="1"/>
  <c r="H13" i="1"/>
  <c r="G4" i="1"/>
</calcChain>
</file>

<file path=xl/sharedStrings.xml><?xml version="1.0" encoding="utf-8"?>
<sst xmlns="http://schemas.openxmlformats.org/spreadsheetml/2006/main" count="463" uniqueCount="87">
  <si>
    <t>Ambrosia monitored shrubs, PDXPPs, 21&amp;22 June 03</t>
  </si>
  <si>
    <t>PDXPPs,30 &amp; 31 May,'04</t>
  </si>
  <si>
    <t>Ambrosia, PDXPPs,22-23 June 2005</t>
  </si>
  <si>
    <t>Ambrosia, PDXPPs, 25 June 2006</t>
  </si>
  <si>
    <t>Treatment</t>
  </si>
  <si>
    <t>twig 1</t>
  </si>
  <si>
    <t>twig 2</t>
  </si>
  <si>
    <t>twig 3</t>
  </si>
  <si>
    <t>AVE, psi</t>
  </si>
  <si>
    <t>AVE, Mpa</t>
  </si>
  <si>
    <t>AVE, MPa</t>
  </si>
  <si>
    <t>AC01</t>
  </si>
  <si>
    <t>Control</t>
  </si>
  <si>
    <t>AC1</t>
  </si>
  <si>
    <t>AC2</t>
  </si>
  <si>
    <t>AC02</t>
  </si>
  <si>
    <t>no</t>
  </si>
  <si>
    <t>AC3</t>
  </si>
  <si>
    <t>AC03</t>
  </si>
  <si>
    <t>AC4</t>
  </si>
  <si>
    <t>AC04</t>
  </si>
  <si>
    <t>&gt;1200</t>
  </si>
  <si>
    <t>dead</t>
  </si>
  <si>
    <t>AC5</t>
  </si>
  <si>
    <t>AC05</t>
  </si>
  <si>
    <t>&gt;1250</t>
  </si>
  <si>
    <t>AC6</t>
  </si>
  <si>
    <t>AC06</t>
  </si>
  <si>
    <t>AC7</t>
  </si>
  <si>
    <t>AC07</t>
  </si>
  <si>
    <t>&gt;1050</t>
  </si>
  <si>
    <t>AC8</t>
  </si>
  <si>
    <t>AC08</t>
  </si>
  <si>
    <t>&lt;1630??</t>
  </si>
  <si>
    <t>AC9</t>
  </si>
  <si>
    <t>AC09</t>
  </si>
  <si>
    <t>AC10</t>
  </si>
  <si>
    <t>Average</t>
  </si>
  <si>
    <t>s.d.</t>
  </si>
  <si>
    <t>95% conf</t>
  </si>
  <si>
    <t>A01</t>
  </si>
  <si>
    <t>L removal</t>
  </si>
  <si>
    <t>broke</t>
  </si>
  <si>
    <t>A1</t>
  </si>
  <si>
    <t>A06</t>
  </si>
  <si>
    <t>A6</t>
  </si>
  <si>
    <t>A09</t>
  </si>
  <si>
    <t>A9</t>
  </si>
  <si>
    <t>A10</t>
  </si>
  <si>
    <t>1600?</t>
  </si>
  <si>
    <t>A15</t>
  </si>
  <si>
    <t>A20</t>
  </si>
  <si>
    <t>A22</t>
  </si>
  <si>
    <t>A26</t>
  </si>
  <si>
    <t>A27</t>
  </si>
  <si>
    <t>A30</t>
  </si>
  <si>
    <t>A02</t>
  </si>
  <si>
    <t>A removal</t>
  </si>
  <si>
    <t>A2</t>
  </si>
  <si>
    <t>A03</t>
  </si>
  <si>
    <t>1000?</t>
  </si>
  <si>
    <t>A3</t>
  </si>
  <si>
    <t>A11</t>
  </si>
  <si>
    <t>A12</t>
  </si>
  <si>
    <t>A17</t>
  </si>
  <si>
    <t>A18</t>
  </si>
  <si>
    <t>A21</t>
  </si>
  <si>
    <t>A24</t>
  </si>
  <si>
    <t>A25</t>
  </si>
  <si>
    <t>A29</t>
  </si>
  <si>
    <t>290?</t>
  </si>
  <si>
    <t>A04</t>
  </si>
  <si>
    <t>T removal</t>
  </si>
  <si>
    <t>A4</t>
  </si>
  <si>
    <t>A05</t>
  </si>
  <si>
    <t>A5</t>
  </si>
  <si>
    <t>A07</t>
  </si>
  <si>
    <t>A7</t>
  </si>
  <si>
    <t>A08</t>
  </si>
  <si>
    <t>A8</t>
  </si>
  <si>
    <t>A13</t>
  </si>
  <si>
    <t>A14</t>
  </si>
  <si>
    <t>A16</t>
  </si>
  <si>
    <t>A19</t>
  </si>
  <si>
    <t>A23</t>
  </si>
  <si>
    <t>A28</t>
  </si>
  <si>
    <t>adjusted to maximum pressures actually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</si>
</sst>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4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2" fontId="1" fillId="0" borderId="1" xfId="0" applyNumberFormat="1" applyFont="1" applyBorder="1"/>
    <xf numFmtId="2" fontId="1" fillId="0" borderId="0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6"/>
  <sheetViews>
    <sheetView tabSelected="1" showRuler="0" workbookViewId="0">
      <selection activeCell="A60" sqref="A60:I117"/>
    </sheetView>
  </sheetViews>
  <sheetFormatPr baseColWidth="10" defaultRowHeight="15" x14ac:dyDescent="0"/>
  <sheetData>
    <row r="1" spans="1:24">
      <c r="A1" t="s">
        <v>0</v>
      </c>
      <c r="J1" t="s">
        <v>1</v>
      </c>
      <c r="N1" t="s">
        <v>2</v>
      </c>
      <c r="S1" t="s">
        <v>3</v>
      </c>
    </row>
    <row r="2" spans="1:24">
      <c r="B2" t="s">
        <v>4</v>
      </c>
      <c r="C2" t="s">
        <v>5</v>
      </c>
      <c r="D2" t="s">
        <v>6</v>
      </c>
      <c r="E2" t="s">
        <v>7</v>
      </c>
      <c r="G2" t="s">
        <v>8</v>
      </c>
      <c r="H2" t="s">
        <v>9</v>
      </c>
      <c r="J2" t="s">
        <v>5</v>
      </c>
      <c r="K2" t="s">
        <v>6</v>
      </c>
      <c r="L2" t="s">
        <v>8</v>
      </c>
      <c r="M2" t="s">
        <v>9</v>
      </c>
      <c r="O2" t="s">
        <v>5</v>
      </c>
      <c r="P2" t="s">
        <v>6</v>
      </c>
      <c r="Q2" t="s">
        <v>8</v>
      </c>
      <c r="R2" t="s">
        <v>9</v>
      </c>
      <c r="T2" t="s">
        <v>5</v>
      </c>
      <c r="U2" t="s">
        <v>6</v>
      </c>
      <c r="V2" t="s">
        <v>8</v>
      </c>
      <c r="W2" t="s">
        <v>10</v>
      </c>
    </row>
    <row r="3" spans="1:24">
      <c r="A3" t="s">
        <v>11</v>
      </c>
      <c r="B3" t="s">
        <v>12</v>
      </c>
      <c r="C3">
        <v>980</v>
      </c>
      <c r="G3" s="1">
        <f t="shared" ref="G3:G54" si="0">AVERAGE(C3:E3)</f>
        <v>980</v>
      </c>
      <c r="H3" s="2">
        <f>G3*0.00689</f>
        <v>6.7522000000000002</v>
      </c>
      <c r="I3" t="s">
        <v>13</v>
      </c>
      <c r="J3" s="2">
        <v>850</v>
      </c>
      <c r="K3" s="2"/>
      <c r="L3" s="2">
        <f t="shared" ref="L3:L12" si="1">AVERAGE(J3:K3)</f>
        <v>850</v>
      </c>
      <c r="M3" s="2">
        <f t="shared" ref="M3:M12" si="2">L3*0.00689</f>
        <v>5.8565000000000005</v>
      </c>
      <c r="N3" t="s">
        <v>13</v>
      </c>
      <c r="O3">
        <v>370</v>
      </c>
      <c r="P3">
        <v>400</v>
      </c>
      <c r="Q3" s="1">
        <f>AVERAGE(O3:P3)</f>
        <v>385</v>
      </c>
      <c r="R3" s="2">
        <f>Q3*0.00689</f>
        <v>2.65265</v>
      </c>
      <c r="S3" t="s">
        <v>13</v>
      </c>
      <c r="T3">
        <v>700</v>
      </c>
      <c r="U3">
        <v>730</v>
      </c>
      <c r="V3" s="1">
        <f t="shared" ref="V3:V12" si="3">AVERAGE(T3:U3)</f>
        <v>715</v>
      </c>
      <c r="W3" s="2">
        <f t="shared" ref="W3:W12" si="4">V3*0.00689</f>
        <v>4.9263500000000002</v>
      </c>
      <c r="X3" t="s">
        <v>14</v>
      </c>
    </row>
    <row r="4" spans="1:24">
      <c r="A4" t="s">
        <v>15</v>
      </c>
      <c r="B4" t="s">
        <v>12</v>
      </c>
      <c r="C4" t="s">
        <v>16</v>
      </c>
      <c r="G4" s="1" t="e">
        <f t="shared" si="0"/>
        <v>#DIV/0!</v>
      </c>
      <c r="H4" s="2"/>
      <c r="I4" t="s">
        <v>14</v>
      </c>
      <c r="J4" s="2" t="s">
        <v>16</v>
      </c>
      <c r="K4" s="2"/>
      <c r="L4" s="2"/>
      <c r="M4" s="2"/>
      <c r="N4" t="s">
        <v>14</v>
      </c>
      <c r="O4">
        <v>300</v>
      </c>
      <c r="Q4" s="1">
        <f t="shared" ref="Q4:Q12" si="5">AVERAGE(O4:P4)</f>
        <v>300</v>
      </c>
      <c r="R4" s="2">
        <f>Q4*0.00689</f>
        <v>2.0670000000000002</v>
      </c>
      <c r="S4" t="s">
        <v>14</v>
      </c>
      <c r="T4">
        <v>600</v>
      </c>
      <c r="V4" s="1">
        <f t="shared" si="3"/>
        <v>600</v>
      </c>
      <c r="W4" s="2">
        <f t="shared" si="4"/>
        <v>4.1340000000000003</v>
      </c>
      <c r="X4" t="s">
        <v>17</v>
      </c>
    </row>
    <row r="5" spans="1:24">
      <c r="A5" t="s">
        <v>18</v>
      </c>
      <c r="B5" t="s">
        <v>12</v>
      </c>
      <c r="C5">
        <v>1200</v>
      </c>
      <c r="G5" s="1">
        <f t="shared" si="0"/>
        <v>1200</v>
      </c>
      <c r="H5" s="2">
        <f>G5*0.00689</f>
        <v>8.2680000000000007</v>
      </c>
      <c r="I5" t="s">
        <v>17</v>
      </c>
      <c r="J5" s="2">
        <v>1210</v>
      </c>
      <c r="K5" s="2"/>
      <c r="L5" s="2">
        <f t="shared" si="1"/>
        <v>1210</v>
      </c>
      <c r="M5" s="2">
        <f t="shared" si="2"/>
        <v>8.3369</v>
      </c>
      <c r="N5" t="s">
        <v>17</v>
      </c>
      <c r="O5">
        <v>400</v>
      </c>
      <c r="P5">
        <v>400</v>
      </c>
      <c r="Q5" s="1">
        <f t="shared" si="5"/>
        <v>400</v>
      </c>
      <c r="R5" s="2">
        <f>Q5*0.00689</f>
        <v>2.7560000000000002</v>
      </c>
      <c r="S5" t="s">
        <v>17</v>
      </c>
      <c r="T5">
        <v>950</v>
      </c>
      <c r="U5">
        <v>750</v>
      </c>
      <c r="V5" s="1">
        <f t="shared" si="3"/>
        <v>850</v>
      </c>
      <c r="W5" s="2">
        <f t="shared" si="4"/>
        <v>5.8565000000000005</v>
      </c>
      <c r="X5" t="s">
        <v>19</v>
      </c>
    </row>
    <row r="6" spans="1:24">
      <c r="A6" t="s">
        <v>20</v>
      </c>
      <c r="B6" t="s">
        <v>12</v>
      </c>
      <c r="C6" t="s">
        <v>21</v>
      </c>
      <c r="G6" s="1"/>
      <c r="H6" s="2"/>
      <c r="I6" t="s">
        <v>19</v>
      </c>
      <c r="J6" s="2" t="s">
        <v>16</v>
      </c>
      <c r="K6" s="2"/>
      <c r="L6" s="2"/>
      <c r="M6" s="2"/>
      <c r="N6" t="s">
        <v>19</v>
      </c>
      <c r="O6" t="s">
        <v>22</v>
      </c>
      <c r="Q6" s="1"/>
      <c r="S6" t="s">
        <v>19</v>
      </c>
      <c r="T6" t="s">
        <v>22</v>
      </c>
      <c r="V6" s="1"/>
      <c r="W6" s="2"/>
      <c r="X6" t="s">
        <v>23</v>
      </c>
    </row>
    <row r="7" spans="1:24">
      <c r="A7" t="s">
        <v>24</v>
      </c>
      <c r="B7" t="s">
        <v>12</v>
      </c>
      <c r="C7" t="s">
        <v>25</v>
      </c>
      <c r="D7">
        <v>990</v>
      </c>
      <c r="G7" s="1">
        <f t="shared" si="0"/>
        <v>990</v>
      </c>
      <c r="H7" s="2">
        <f>G7*0.00689</f>
        <v>6.8211000000000004</v>
      </c>
      <c r="I7" t="s">
        <v>23</v>
      </c>
      <c r="J7" s="2">
        <v>1160</v>
      </c>
      <c r="K7" s="2"/>
      <c r="L7" s="2">
        <f t="shared" si="1"/>
        <v>1160</v>
      </c>
      <c r="M7" s="2">
        <f t="shared" si="2"/>
        <v>7.9923999999999999</v>
      </c>
      <c r="N7" t="s">
        <v>23</v>
      </c>
      <c r="O7">
        <v>350</v>
      </c>
      <c r="P7">
        <v>330</v>
      </c>
      <c r="Q7" s="1">
        <f t="shared" si="5"/>
        <v>340</v>
      </c>
      <c r="R7" s="2">
        <f>Q7*0.00689</f>
        <v>2.3426</v>
      </c>
      <c r="S7" t="s">
        <v>23</v>
      </c>
      <c r="T7">
        <v>600</v>
      </c>
      <c r="U7">
        <v>580</v>
      </c>
      <c r="V7" s="1">
        <f t="shared" si="3"/>
        <v>590</v>
      </c>
      <c r="W7" s="2">
        <f t="shared" si="4"/>
        <v>4.0651000000000002</v>
      </c>
      <c r="X7" t="s">
        <v>26</v>
      </c>
    </row>
    <row r="8" spans="1:24">
      <c r="A8" t="s">
        <v>27</v>
      </c>
      <c r="B8" t="s">
        <v>12</v>
      </c>
      <c r="C8" t="s">
        <v>16</v>
      </c>
      <c r="G8" s="1"/>
      <c r="H8" s="2"/>
      <c r="I8" t="s">
        <v>26</v>
      </c>
      <c r="J8" s="2" t="s">
        <v>16</v>
      </c>
      <c r="K8" s="2"/>
      <c r="L8" s="2"/>
      <c r="M8" s="2"/>
      <c r="N8" t="s">
        <v>26</v>
      </c>
      <c r="O8" t="s">
        <v>22</v>
      </c>
      <c r="Q8" s="1"/>
      <c r="S8" t="s">
        <v>26</v>
      </c>
      <c r="T8" t="s">
        <v>22</v>
      </c>
      <c r="V8" s="1"/>
      <c r="W8" s="2"/>
      <c r="X8" t="s">
        <v>28</v>
      </c>
    </row>
    <row r="9" spans="1:24">
      <c r="A9" t="s">
        <v>29</v>
      </c>
      <c r="B9" t="s">
        <v>12</v>
      </c>
      <c r="C9">
        <v>950</v>
      </c>
      <c r="D9" t="s">
        <v>30</v>
      </c>
      <c r="G9" s="1">
        <f t="shared" si="0"/>
        <v>950</v>
      </c>
      <c r="H9" s="2">
        <f>G9*0.00689</f>
        <v>6.5455000000000005</v>
      </c>
      <c r="I9" t="s">
        <v>28</v>
      </c>
      <c r="J9" s="2">
        <v>1650</v>
      </c>
      <c r="K9" s="2"/>
      <c r="L9" s="2">
        <f t="shared" si="1"/>
        <v>1650</v>
      </c>
      <c r="M9" s="2">
        <f t="shared" si="2"/>
        <v>11.368500000000001</v>
      </c>
      <c r="N9" t="s">
        <v>28</v>
      </c>
      <c r="O9">
        <v>300</v>
      </c>
      <c r="Q9" s="1">
        <f t="shared" si="5"/>
        <v>300</v>
      </c>
      <c r="R9" s="2">
        <f>Q9*0.00689</f>
        <v>2.0670000000000002</v>
      </c>
      <c r="S9" t="s">
        <v>28</v>
      </c>
      <c r="T9">
        <v>550</v>
      </c>
      <c r="U9">
        <v>600</v>
      </c>
      <c r="V9" s="1">
        <f t="shared" si="3"/>
        <v>575</v>
      </c>
      <c r="W9" s="2">
        <f t="shared" si="4"/>
        <v>3.9617500000000003</v>
      </c>
      <c r="X9" t="s">
        <v>31</v>
      </c>
    </row>
    <row r="10" spans="1:24">
      <c r="A10" t="s">
        <v>32</v>
      </c>
      <c r="B10" t="s">
        <v>12</v>
      </c>
      <c r="C10">
        <v>900</v>
      </c>
      <c r="D10">
        <v>890</v>
      </c>
      <c r="G10" s="1">
        <f t="shared" si="0"/>
        <v>895</v>
      </c>
      <c r="H10" s="2">
        <f>G10*0.00689</f>
        <v>6.16655</v>
      </c>
      <c r="I10" t="s">
        <v>31</v>
      </c>
      <c r="J10" s="2">
        <v>1270</v>
      </c>
      <c r="K10" s="2"/>
      <c r="L10" s="2">
        <f>AVERAGE(J10:K10)</f>
        <v>1270</v>
      </c>
      <c r="M10" s="2">
        <f>L10*0.00689</f>
        <v>8.7503000000000011</v>
      </c>
      <c r="N10" t="s">
        <v>31</v>
      </c>
      <c r="O10" t="s">
        <v>16</v>
      </c>
      <c r="Q10" s="1"/>
      <c r="S10" t="s">
        <v>31</v>
      </c>
      <c r="T10" t="s">
        <v>33</v>
      </c>
      <c r="V10" s="1"/>
      <c r="W10" s="2"/>
      <c r="X10" t="s">
        <v>34</v>
      </c>
    </row>
    <row r="11" spans="1:24">
      <c r="A11" t="s">
        <v>35</v>
      </c>
      <c r="B11" t="s">
        <v>12</v>
      </c>
      <c r="C11" t="s">
        <v>16</v>
      </c>
      <c r="G11" s="1"/>
      <c r="H11" s="2"/>
      <c r="I11" t="s">
        <v>34</v>
      </c>
      <c r="J11" s="2" t="s">
        <v>16</v>
      </c>
      <c r="K11" s="2"/>
      <c r="L11" s="2"/>
      <c r="M11" s="2"/>
      <c r="N11" t="s">
        <v>34</v>
      </c>
      <c r="O11" t="s">
        <v>16</v>
      </c>
      <c r="Q11" s="1"/>
      <c r="S11" t="s">
        <v>34</v>
      </c>
      <c r="T11" t="s">
        <v>22</v>
      </c>
      <c r="V11" s="1"/>
      <c r="W11" s="2"/>
      <c r="X11" t="s">
        <v>36</v>
      </c>
    </row>
    <row r="12" spans="1:24" ht="16" thickBot="1">
      <c r="A12" t="s">
        <v>36</v>
      </c>
      <c r="B12" t="s">
        <v>12</v>
      </c>
      <c r="C12">
        <v>550</v>
      </c>
      <c r="D12">
        <v>870</v>
      </c>
      <c r="G12" s="1">
        <f t="shared" si="0"/>
        <v>710</v>
      </c>
      <c r="H12" s="2">
        <f>G12*0.00689</f>
        <v>4.8919000000000006</v>
      </c>
      <c r="I12" t="s">
        <v>36</v>
      </c>
      <c r="J12" s="2">
        <v>630</v>
      </c>
      <c r="K12" s="2">
        <v>830</v>
      </c>
      <c r="L12" s="2">
        <f t="shared" si="1"/>
        <v>730</v>
      </c>
      <c r="M12" s="2">
        <f t="shared" si="2"/>
        <v>5.0297000000000001</v>
      </c>
      <c r="N12" t="s">
        <v>36</v>
      </c>
      <c r="O12">
        <v>450</v>
      </c>
      <c r="P12">
        <v>480</v>
      </c>
      <c r="Q12" s="1">
        <f t="shared" si="5"/>
        <v>465</v>
      </c>
      <c r="R12" s="2">
        <f>Q12*0.00689</f>
        <v>3.2038500000000001</v>
      </c>
      <c r="S12" t="s">
        <v>36</v>
      </c>
      <c r="T12">
        <v>830</v>
      </c>
      <c r="U12">
        <v>870</v>
      </c>
      <c r="V12" s="1">
        <f t="shared" si="3"/>
        <v>850</v>
      </c>
      <c r="W12" s="2">
        <f t="shared" si="4"/>
        <v>5.8565000000000005</v>
      </c>
      <c r="X12" t="s">
        <v>37</v>
      </c>
    </row>
    <row r="13" spans="1:24" ht="18">
      <c r="A13" t="s">
        <v>37</v>
      </c>
      <c r="G13" s="1"/>
      <c r="H13" s="3">
        <f>AVERAGE(H3:H12)</f>
        <v>6.5742083333333339</v>
      </c>
      <c r="I13" t="s">
        <v>37</v>
      </c>
      <c r="J13" s="4"/>
      <c r="K13" s="4"/>
      <c r="L13" s="4"/>
      <c r="M13" s="3">
        <f>AVERAGE(M3:M12)</f>
        <v>7.8890500000000001</v>
      </c>
      <c r="N13" t="s">
        <v>37</v>
      </c>
      <c r="R13" s="3">
        <f>AVERAGE(R3:R12)</f>
        <v>2.5148499999999996</v>
      </c>
      <c r="S13" t="s">
        <v>37</v>
      </c>
      <c r="W13" s="3">
        <f>AVERAGE(W3:W12)</f>
        <v>4.8000333333333334</v>
      </c>
      <c r="X13" t="s">
        <v>38</v>
      </c>
    </row>
    <row r="14" spans="1:24" ht="18">
      <c r="A14" t="s">
        <v>38</v>
      </c>
      <c r="G14" s="1"/>
      <c r="H14" s="5">
        <f>STDEV(H3:H12)</f>
        <v>1.0916718877101665</v>
      </c>
      <c r="I14" t="s">
        <v>38</v>
      </c>
      <c r="J14" s="4"/>
      <c r="K14" s="4"/>
      <c r="L14" s="4"/>
      <c r="M14" s="5">
        <f>STDEV(M3:M12)</f>
        <v>2.252408339311502</v>
      </c>
      <c r="N14" t="s">
        <v>38</v>
      </c>
      <c r="R14" s="5">
        <f>STDEV(R3:R12)</f>
        <v>0.44332211088552853</v>
      </c>
      <c r="S14" t="s">
        <v>38</v>
      </c>
      <c r="W14" s="5">
        <f>STDEV(W3:W12)</f>
        <v>0.88709028721245009</v>
      </c>
      <c r="X14" t="s">
        <v>39</v>
      </c>
    </row>
    <row r="15" spans="1:24" ht="19" thickBot="1">
      <c r="A15" t="s">
        <v>39</v>
      </c>
      <c r="G15" s="1"/>
      <c r="H15" s="6">
        <f>CONFIDENCE(0.05,H14,6)</f>
        <v>0.87350338540943007</v>
      </c>
      <c r="I15" t="s">
        <v>39</v>
      </c>
      <c r="J15" s="4"/>
      <c r="K15" s="4"/>
      <c r="L15" s="4"/>
      <c r="M15" s="6">
        <f>CONFIDENCE(0.05,M14,6)</f>
        <v>1.8022689160201102</v>
      </c>
      <c r="N15" t="s">
        <v>39</v>
      </c>
      <c r="R15" s="6">
        <f>CONFIDENCE(0.05,R14,6)</f>
        <v>0.35472504975613617</v>
      </c>
      <c r="S15" t="s">
        <v>39</v>
      </c>
      <c r="W15" s="6">
        <f>CONFIDENCE(0.05,W14,6)</f>
        <v>0.70980701964327275</v>
      </c>
    </row>
    <row r="16" spans="1:24">
      <c r="G16" s="1"/>
    </row>
    <row r="17" spans="1:24">
      <c r="A17" t="s">
        <v>40</v>
      </c>
      <c r="B17" t="s">
        <v>41</v>
      </c>
      <c r="C17" t="s">
        <v>42</v>
      </c>
      <c r="I17" t="s">
        <v>43</v>
      </c>
      <c r="J17" t="s">
        <v>16</v>
      </c>
      <c r="N17" t="s">
        <v>43</v>
      </c>
      <c r="O17">
        <v>360</v>
      </c>
      <c r="Q17" s="1">
        <f t="shared" ref="Q17:Q26" si="6">AVERAGE(O17:P17)</f>
        <v>360</v>
      </c>
      <c r="R17" s="2">
        <f>Q17*0.00689</f>
        <v>2.4803999999999999</v>
      </c>
      <c r="S17" t="s">
        <v>43</v>
      </c>
      <c r="T17" t="s">
        <v>16</v>
      </c>
      <c r="V17" s="1"/>
      <c r="W17" s="2"/>
      <c r="X17" t="s">
        <v>43</v>
      </c>
    </row>
    <row r="18" spans="1:24">
      <c r="A18" t="s">
        <v>44</v>
      </c>
      <c r="B18" t="s">
        <v>41</v>
      </c>
      <c r="C18">
        <v>910</v>
      </c>
      <c r="D18">
        <v>620</v>
      </c>
      <c r="E18">
        <v>940</v>
      </c>
      <c r="G18" s="1">
        <f t="shared" si="0"/>
        <v>823.33333333333337</v>
      </c>
      <c r="H18" s="2">
        <f>G18*0.00689</f>
        <v>5.672766666666667</v>
      </c>
      <c r="I18" t="s">
        <v>45</v>
      </c>
      <c r="J18" s="2">
        <v>940</v>
      </c>
      <c r="K18" s="2">
        <v>980</v>
      </c>
      <c r="L18" s="2">
        <f t="shared" ref="L18:L26" si="7">AVERAGE(J18:K18)</f>
        <v>960</v>
      </c>
      <c r="M18" s="2">
        <f t="shared" ref="M18:M26" si="8">L18*0.00689</f>
        <v>6.6143999999999998</v>
      </c>
      <c r="N18" t="s">
        <v>45</v>
      </c>
      <c r="O18">
        <v>320</v>
      </c>
      <c r="P18">
        <v>400</v>
      </c>
      <c r="Q18" s="1">
        <f t="shared" si="6"/>
        <v>360</v>
      </c>
      <c r="R18" s="2">
        <f>Q18*0.00689</f>
        <v>2.4803999999999999</v>
      </c>
      <c r="S18" t="s">
        <v>45</v>
      </c>
      <c r="T18">
        <v>700</v>
      </c>
      <c r="U18">
        <v>650</v>
      </c>
      <c r="V18" s="1">
        <f t="shared" ref="V18:V26" si="9">AVERAGE(T18:U18)</f>
        <v>675</v>
      </c>
      <c r="W18" s="2">
        <f t="shared" ref="W18:W26" si="10">V18*0.00689</f>
        <v>4.6507500000000004</v>
      </c>
      <c r="X18" t="s">
        <v>45</v>
      </c>
    </row>
    <row r="19" spans="1:24">
      <c r="A19" t="s">
        <v>46</v>
      </c>
      <c r="B19" t="s">
        <v>41</v>
      </c>
      <c r="C19">
        <v>820</v>
      </c>
      <c r="D19">
        <v>690</v>
      </c>
      <c r="G19" s="1">
        <f t="shared" si="0"/>
        <v>755</v>
      </c>
      <c r="H19" s="2">
        <f>G19*0.00689</f>
        <v>5.2019500000000001</v>
      </c>
      <c r="I19" t="s">
        <v>47</v>
      </c>
      <c r="J19" s="2">
        <v>860</v>
      </c>
      <c r="K19" s="2"/>
      <c r="L19" s="2">
        <f t="shared" si="7"/>
        <v>860</v>
      </c>
      <c r="M19" s="2">
        <f t="shared" si="8"/>
        <v>5.9254000000000007</v>
      </c>
      <c r="N19" t="s">
        <v>47</v>
      </c>
      <c r="O19">
        <v>370</v>
      </c>
      <c r="P19">
        <v>400</v>
      </c>
      <c r="Q19" s="1">
        <f t="shared" si="6"/>
        <v>385</v>
      </c>
      <c r="R19" s="2">
        <f>Q19*0.00689</f>
        <v>2.65265</v>
      </c>
      <c r="S19" t="s">
        <v>47</v>
      </c>
      <c r="T19">
        <v>760</v>
      </c>
      <c r="U19">
        <v>690</v>
      </c>
      <c r="V19" s="1">
        <f t="shared" si="9"/>
        <v>725</v>
      </c>
      <c r="W19" s="2">
        <f t="shared" si="10"/>
        <v>4.9952500000000004</v>
      </c>
      <c r="X19" t="s">
        <v>47</v>
      </c>
    </row>
    <row r="20" spans="1:24">
      <c r="A20" t="s">
        <v>48</v>
      </c>
      <c r="B20" t="s">
        <v>41</v>
      </c>
      <c r="C20" t="s">
        <v>49</v>
      </c>
      <c r="D20">
        <v>1050</v>
      </c>
      <c r="G20" s="1">
        <f t="shared" si="0"/>
        <v>1050</v>
      </c>
      <c r="H20" s="2">
        <f>G20*0.00689</f>
        <v>7.2345000000000006</v>
      </c>
      <c r="I20" t="s">
        <v>48</v>
      </c>
      <c r="J20" s="2">
        <v>1250</v>
      </c>
      <c r="K20" s="2"/>
      <c r="L20" s="2">
        <f t="shared" si="7"/>
        <v>1250</v>
      </c>
      <c r="M20" s="2">
        <f t="shared" si="8"/>
        <v>8.6125000000000007</v>
      </c>
      <c r="N20" t="s">
        <v>48</v>
      </c>
      <c r="O20">
        <v>360</v>
      </c>
      <c r="P20">
        <v>400</v>
      </c>
      <c r="Q20" s="1">
        <f t="shared" si="6"/>
        <v>380</v>
      </c>
      <c r="R20" s="2">
        <f>Q20*0.00689</f>
        <v>2.6182000000000003</v>
      </c>
      <c r="S20" t="s">
        <v>48</v>
      </c>
      <c r="T20">
        <v>680</v>
      </c>
      <c r="U20">
        <v>650</v>
      </c>
      <c r="V20" s="1">
        <f t="shared" si="9"/>
        <v>665</v>
      </c>
      <c r="W20" s="2">
        <f t="shared" si="10"/>
        <v>4.5818500000000002</v>
      </c>
      <c r="X20" t="s">
        <v>48</v>
      </c>
    </row>
    <row r="21" spans="1:24">
      <c r="A21" t="s">
        <v>50</v>
      </c>
      <c r="B21" t="s">
        <v>41</v>
      </c>
      <c r="C21">
        <v>620</v>
      </c>
      <c r="D21">
        <v>1000</v>
      </c>
      <c r="G21" s="1">
        <f t="shared" si="0"/>
        <v>810</v>
      </c>
      <c r="H21" s="2">
        <f>G21*0.00689</f>
        <v>5.5809000000000006</v>
      </c>
      <c r="I21" t="s">
        <v>50</v>
      </c>
      <c r="J21" s="2">
        <v>1340</v>
      </c>
      <c r="K21" s="2">
        <v>1300</v>
      </c>
      <c r="L21" s="2">
        <f t="shared" si="7"/>
        <v>1320</v>
      </c>
      <c r="M21" s="2">
        <f t="shared" si="8"/>
        <v>9.0948000000000011</v>
      </c>
      <c r="N21" t="s">
        <v>50</v>
      </c>
      <c r="O21">
        <v>440</v>
      </c>
      <c r="P21">
        <v>460</v>
      </c>
      <c r="Q21" s="1">
        <f t="shared" si="6"/>
        <v>450</v>
      </c>
      <c r="R21" s="2">
        <f>Q21*0.00689</f>
        <v>3.1005000000000003</v>
      </c>
      <c r="S21" t="s">
        <v>50</v>
      </c>
      <c r="T21">
        <v>800</v>
      </c>
      <c r="U21">
        <v>800</v>
      </c>
      <c r="V21" s="1">
        <f t="shared" si="9"/>
        <v>800</v>
      </c>
      <c r="W21" s="2">
        <f t="shared" si="10"/>
        <v>5.5120000000000005</v>
      </c>
      <c r="X21" t="s">
        <v>50</v>
      </c>
    </row>
    <row r="22" spans="1:24">
      <c r="A22" t="s">
        <v>51</v>
      </c>
      <c r="B22" t="s">
        <v>41</v>
      </c>
      <c r="C22" t="s">
        <v>21</v>
      </c>
      <c r="G22" s="1" t="e">
        <f t="shared" si="0"/>
        <v>#DIV/0!</v>
      </c>
      <c r="H22" s="2"/>
      <c r="I22" t="s">
        <v>51</v>
      </c>
      <c r="J22" s="2" t="s">
        <v>16</v>
      </c>
      <c r="K22" s="2"/>
      <c r="L22" s="2"/>
      <c r="M22" s="2"/>
      <c r="N22" t="s">
        <v>51</v>
      </c>
      <c r="O22" t="s">
        <v>16</v>
      </c>
      <c r="Q22" s="1"/>
      <c r="S22" t="s">
        <v>51</v>
      </c>
      <c r="T22">
        <v>680</v>
      </c>
      <c r="U22">
        <v>640</v>
      </c>
      <c r="V22" s="1">
        <f t="shared" si="9"/>
        <v>660</v>
      </c>
      <c r="W22" s="2">
        <f t="shared" si="10"/>
        <v>4.5474000000000006</v>
      </c>
      <c r="X22" t="s">
        <v>51</v>
      </c>
    </row>
    <row r="23" spans="1:24">
      <c r="A23" t="s">
        <v>52</v>
      </c>
      <c r="B23" t="s">
        <v>41</v>
      </c>
      <c r="C23">
        <v>1150</v>
      </c>
      <c r="G23" s="1">
        <f t="shared" si="0"/>
        <v>1150</v>
      </c>
      <c r="H23" s="2">
        <f>G23*0.00689</f>
        <v>7.9235000000000007</v>
      </c>
      <c r="I23" t="s">
        <v>52</v>
      </c>
      <c r="J23" s="2">
        <v>1420</v>
      </c>
      <c r="K23" s="2">
        <v>1470</v>
      </c>
      <c r="L23" s="2">
        <f t="shared" si="7"/>
        <v>1445</v>
      </c>
      <c r="M23" s="2">
        <f t="shared" si="8"/>
        <v>9.9560500000000012</v>
      </c>
      <c r="N23" t="s">
        <v>52</v>
      </c>
      <c r="O23">
        <v>230</v>
      </c>
      <c r="P23">
        <v>230</v>
      </c>
      <c r="Q23" s="1">
        <f t="shared" si="6"/>
        <v>230</v>
      </c>
      <c r="R23" s="2">
        <f>Q23*0.00689</f>
        <v>1.5847</v>
      </c>
      <c r="S23" t="s">
        <v>52</v>
      </c>
      <c r="T23">
        <v>570</v>
      </c>
      <c r="U23">
        <v>600</v>
      </c>
      <c r="V23" s="1">
        <f t="shared" si="9"/>
        <v>585</v>
      </c>
      <c r="W23" s="2">
        <f t="shared" si="10"/>
        <v>4.0306500000000005</v>
      </c>
      <c r="X23" t="s">
        <v>52</v>
      </c>
    </row>
    <row r="24" spans="1:24">
      <c r="A24" t="s">
        <v>53</v>
      </c>
      <c r="B24" t="s">
        <v>41</v>
      </c>
      <c r="C24">
        <v>930</v>
      </c>
      <c r="D24">
        <v>1030</v>
      </c>
      <c r="G24" s="1">
        <f t="shared" si="0"/>
        <v>980</v>
      </c>
      <c r="H24" s="2">
        <f>G24*0.00689</f>
        <v>6.7522000000000002</v>
      </c>
      <c r="I24" t="s">
        <v>53</v>
      </c>
      <c r="J24" s="2">
        <v>1300</v>
      </c>
      <c r="K24" s="2">
        <v>1350</v>
      </c>
      <c r="L24" s="2">
        <f t="shared" si="7"/>
        <v>1325</v>
      </c>
      <c r="M24" s="2">
        <f t="shared" si="8"/>
        <v>9.1292500000000008</v>
      </c>
      <c r="N24" t="s">
        <v>53</v>
      </c>
      <c r="O24" t="s">
        <v>16</v>
      </c>
      <c r="Q24" s="1"/>
      <c r="S24" t="s">
        <v>53</v>
      </c>
      <c r="T24">
        <v>590</v>
      </c>
      <c r="U24">
        <v>550</v>
      </c>
      <c r="V24" s="1">
        <f t="shared" si="9"/>
        <v>570</v>
      </c>
      <c r="W24" s="2">
        <f t="shared" si="10"/>
        <v>3.9273000000000002</v>
      </c>
      <c r="X24" t="s">
        <v>53</v>
      </c>
    </row>
    <row r="25" spans="1:24">
      <c r="A25" t="s">
        <v>54</v>
      </c>
      <c r="B25" t="s">
        <v>41</v>
      </c>
      <c r="C25">
        <v>850</v>
      </c>
      <c r="D25">
        <v>810</v>
      </c>
      <c r="G25" s="1">
        <f t="shared" si="0"/>
        <v>830</v>
      </c>
      <c r="H25" s="2">
        <f>G25*0.00689</f>
        <v>5.7187000000000001</v>
      </c>
      <c r="I25" t="s">
        <v>54</v>
      </c>
      <c r="J25" s="2">
        <v>1080</v>
      </c>
      <c r="K25" s="2">
        <v>990</v>
      </c>
      <c r="L25" s="2">
        <f t="shared" si="7"/>
        <v>1035</v>
      </c>
      <c r="M25" s="2">
        <f t="shared" si="8"/>
        <v>7.1311499999999999</v>
      </c>
      <c r="N25" t="s">
        <v>54</v>
      </c>
      <c r="O25">
        <v>330</v>
      </c>
      <c r="P25">
        <v>300</v>
      </c>
      <c r="Q25" s="1">
        <f t="shared" si="6"/>
        <v>315</v>
      </c>
      <c r="R25" s="2">
        <f>Q25*0.00689</f>
        <v>2.17035</v>
      </c>
      <c r="S25" t="s">
        <v>54</v>
      </c>
      <c r="T25">
        <v>610</v>
      </c>
      <c r="U25">
        <v>630</v>
      </c>
      <c r="V25" s="1">
        <f t="shared" si="9"/>
        <v>620</v>
      </c>
      <c r="W25" s="2">
        <f t="shared" si="10"/>
        <v>4.2717999999999998</v>
      </c>
      <c r="X25" t="s">
        <v>54</v>
      </c>
    </row>
    <row r="26" spans="1:24" ht="16" thickBot="1">
      <c r="A26" t="s">
        <v>55</v>
      </c>
      <c r="B26" t="s">
        <v>41</v>
      </c>
      <c r="C26">
        <v>850</v>
      </c>
      <c r="D26">
        <v>870</v>
      </c>
      <c r="G26" s="1">
        <f t="shared" si="0"/>
        <v>860</v>
      </c>
      <c r="H26" s="2">
        <f>G26*0.00689</f>
        <v>5.9254000000000007</v>
      </c>
      <c r="I26" t="s">
        <v>55</v>
      </c>
      <c r="J26" s="2">
        <v>850</v>
      </c>
      <c r="K26" s="2">
        <v>1050</v>
      </c>
      <c r="L26" s="2">
        <f t="shared" si="7"/>
        <v>950</v>
      </c>
      <c r="M26" s="2">
        <f t="shared" si="8"/>
        <v>6.5455000000000005</v>
      </c>
      <c r="N26" t="s">
        <v>55</v>
      </c>
      <c r="O26">
        <v>450</v>
      </c>
      <c r="P26">
        <v>400</v>
      </c>
      <c r="Q26" s="1">
        <f t="shared" si="6"/>
        <v>425</v>
      </c>
      <c r="R26" s="2">
        <f>Q26*0.00689</f>
        <v>2.9282500000000002</v>
      </c>
      <c r="S26" t="s">
        <v>55</v>
      </c>
      <c r="T26">
        <v>650</v>
      </c>
      <c r="U26">
        <v>840</v>
      </c>
      <c r="V26" s="1">
        <f t="shared" si="9"/>
        <v>745</v>
      </c>
      <c r="W26" s="2">
        <f t="shared" si="10"/>
        <v>5.1330499999999999</v>
      </c>
      <c r="X26" t="s">
        <v>55</v>
      </c>
    </row>
    <row r="27" spans="1:24" ht="18">
      <c r="A27" t="s">
        <v>37</v>
      </c>
      <c r="G27" s="1"/>
      <c r="H27" s="3">
        <f>AVERAGE(H17:H26)</f>
        <v>6.2512395833333336</v>
      </c>
      <c r="I27" t="s">
        <v>37</v>
      </c>
      <c r="J27" s="4"/>
      <c r="K27" s="4"/>
      <c r="L27" s="4"/>
      <c r="M27" s="3">
        <f>AVERAGE(M17:M26)</f>
        <v>7.8761312500000003</v>
      </c>
      <c r="N27" t="s">
        <v>37</v>
      </c>
      <c r="R27" s="3">
        <f>AVERAGE(R17:R26)</f>
        <v>2.5019312500000002</v>
      </c>
      <c r="S27" t="s">
        <v>37</v>
      </c>
      <c r="W27" s="3">
        <f>AVERAGE(W17:W26)</f>
        <v>4.6277833333333334</v>
      </c>
      <c r="X27" t="s">
        <v>37</v>
      </c>
    </row>
    <row r="28" spans="1:24" ht="18">
      <c r="A28" t="s">
        <v>38</v>
      </c>
      <c r="G28" s="1"/>
      <c r="H28" s="5">
        <f>STDEV(H17:H26)</f>
        <v>0.94785335145688909</v>
      </c>
      <c r="I28" t="s">
        <v>38</v>
      </c>
      <c r="J28" s="4"/>
      <c r="K28" s="4"/>
      <c r="L28" s="4"/>
      <c r="M28" s="5">
        <f>STDEV(M17:M26)</f>
        <v>1.4950707489082513</v>
      </c>
      <c r="N28" t="s">
        <v>38</v>
      </c>
      <c r="R28" s="5">
        <f>STDEV(R17:R26)</f>
        <v>0.46727985950414525</v>
      </c>
      <c r="S28" t="s">
        <v>38</v>
      </c>
      <c r="W28" s="5">
        <f>STDEV(W17:W26)</f>
        <v>0.51904158552085156</v>
      </c>
      <c r="X28" t="s">
        <v>38</v>
      </c>
    </row>
    <row r="29" spans="1:24" ht="19" thickBot="1">
      <c r="A29" t="s">
        <v>39</v>
      </c>
      <c r="G29" s="1"/>
      <c r="H29" s="6">
        <f>CONFIDENCE(0.05,H28,8)</f>
        <v>0.65681679235338075</v>
      </c>
      <c r="I29" t="s">
        <v>39</v>
      </c>
      <c r="J29" s="4"/>
      <c r="K29" s="4"/>
      <c r="L29" s="4"/>
      <c r="M29" s="6">
        <f>CONFIDENCE(0.05,M28,6)</f>
        <v>1.19628376923515</v>
      </c>
      <c r="N29" t="s">
        <v>39</v>
      </c>
      <c r="R29" s="6">
        <f>CONFIDENCE(0.05,R28,6)</f>
        <v>0.37389488893651984</v>
      </c>
      <c r="S29" t="s">
        <v>39</v>
      </c>
      <c r="W29" s="6">
        <f>CONFIDENCE(0.05,W28,6)</f>
        <v>0.41531213474017148</v>
      </c>
      <c r="X29" t="s">
        <v>39</v>
      </c>
    </row>
    <row r="30" spans="1:24">
      <c r="G30" s="1"/>
    </row>
    <row r="31" spans="1:24">
      <c r="A31" t="s">
        <v>56</v>
      </c>
      <c r="B31" t="s">
        <v>57</v>
      </c>
      <c r="C31">
        <v>710</v>
      </c>
      <c r="D31">
        <v>720</v>
      </c>
      <c r="E31">
        <v>870</v>
      </c>
      <c r="G31" s="1">
        <f t="shared" ref="G31:G40" si="11">AVERAGE(C31:E31)</f>
        <v>766.66666666666663</v>
      </c>
      <c r="H31" s="2">
        <f t="shared" ref="H31:H40" si="12">G31*0.00689</f>
        <v>5.2823333333333329</v>
      </c>
      <c r="I31" t="s">
        <v>58</v>
      </c>
      <c r="J31" s="2">
        <v>610</v>
      </c>
      <c r="K31" s="2">
        <v>600</v>
      </c>
      <c r="L31" s="2">
        <f t="shared" ref="L31:L40" si="13">AVERAGE(J31:K31)</f>
        <v>605</v>
      </c>
      <c r="M31" s="2">
        <f t="shared" ref="M31:M40" si="14">L31*0.00689</f>
        <v>4.16845</v>
      </c>
      <c r="N31" t="s">
        <v>58</v>
      </c>
      <c r="O31">
        <v>380</v>
      </c>
      <c r="P31">
        <v>400</v>
      </c>
      <c r="Q31" s="1">
        <f t="shared" ref="Q31:Q40" si="15">AVERAGE(O31:P31)</f>
        <v>390</v>
      </c>
      <c r="R31" s="2">
        <f t="shared" ref="R31:R37" si="16">Q31*0.00689</f>
        <v>2.6871</v>
      </c>
      <c r="S31" t="s">
        <v>58</v>
      </c>
      <c r="T31">
        <v>680</v>
      </c>
      <c r="U31">
        <v>720</v>
      </c>
      <c r="V31" s="1">
        <f t="shared" ref="V31:V40" si="17">AVERAGE(T31:U31)</f>
        <v>700</v>
      </c>
      <c r="W31" s="2">
        <f t="shared" ref="W31:W40" si="18">V31*0.00689</f>
        <v>4.8230000000000004</v>
      </c>
      <c r="X31" t="s">
        <v>58</v>
      </c>
    </row>
    <row r="32" spans="1:24">
      <c r="A32" t="s">
        <v>59</v>
      </c>
      <c r="B32" t="s">
        <v>57</v>
      </c>
      <c r="C32" t="s">
        <v>60</v>
      </c>
      <c r="D32">
        <v>850</v>
      </c>
      <c r="E32">
        <v>830</v>
      </c>
      <c r="G32" s="1">
        <f t="shared" si="11"/>
        <v>840</v>
      </c>
      <c r="H32" s="2">
        <f t="shared" si="12"/>
        <v>5.7876000000000003</v>
      </c>
      <c r="I32" t="s">
        <v>61</v>
      </c>
      <c r="J32" s="2">
        <v>1080</v>
      </c>
      <c r="K32" s="2">
        <v>900</v>
      </c>
      <c r="L32" s="2">
        <f t="shared" si="13"/>
        <v>990</v>
      </c>
      <c r="M32" s="2">
        <f t="shared" si="14"/>
        <v>6.8211000000000004</v>
      </c>
      <c r="N32" t="s">
        <v>61</v>
      </c>
      <c r="O32">
        <v>340</v>
      </c>
      <c r="P32">
        <v>360</v>
      </c>
      <c r="Q32" s="1">
        <f t="shared" si="15"/>
        <v>350</v>
      </c>
      <c r="R32" s="2">
        <f t="shared" si="16"/>
        <v>2.4115000000000002</v>
      </c>
      <c r="S32" t="s">
        <v>61</v>
      </c>
      <c r="T32">
        <v>800</v>
      </c>
      <c r="U32">
        <v>900</v>
      </c>
      <c r="V32" s="1">
        <f t="shared" si="17"/>
        <v>850</v>
      </c>
      <c r="W32" s="2">
        <f t="shared" si="18"/>
        <v>5.8565000000000005</v>
      </c>
      <c r="X32" t="s">
        <v>61</v>
      </c>
    </row>
    <row r="33" spans="1:24">
      <c r="A33" t="s">
        <v>62</v>
      </c>
      <c r="B33" t="s">
        <v>57</v>
      </c>
      <c r="C33">
        <v>1020</v>
      </c>
      <c r="G33" s="1">
        <f t="shared" si="11"/>
        <v>1020</v>
      </c>
      <c r="H33" s="2">
        <f t="shared" si="12"/>
        <v>7.0278</v>
      </c>
      <c r="I33" t="s">
        <v>62</v>
      </c>
      <c r="J33" s="2">
        <v>1100</v>
      </c>
      <c r="K33" s="2"/>
      <c r="L33" s="2">
        <f t="shared" si="13"/>
        <v>1100</v>
      </c>
      <c r="M33" s="2">
        <f t="shared" si="14"/>
        <v>7.5790000000000006</v>
      </c>
      <c r="N33" t="s">
        <v>62</v>
      </c>
      <c r="O33">
        <v>360</v>
      </c>
      <c r="Q33" s="1">
        <f t="shared" si="15"/>
        <v>360</v>
      </c>
      <c r="R33" s="2">
        <f t="shared" si="16"/>
        <v>2.4803999999999999</v>
      </c>
      <c r="S33" t="s">
        <v>62</v>
      </c>
      <c r="T33">
        <v>850</v>
      </c>
      <c r="U33">
        <v>850</v>
      </c>
      <c r="V33" s="1">
        <f t="shared" si="17"/>
        <v>850</v>
      </c>
      <c r="W33" s="2">
        <f t="shared" si="18"/>
        <v>5.8565000000000005</v>
      </c>
      <c r="X33" t="s">
        <v>62</v>
      </c>
    </row>
    <row r="34" spans="1:24">
      <c r="A34" t="s">
        <v>63</v>
      </c>
      <c r="B34" t="s">
        <v>57</v>
      </c>
      <c r="C34">
        <v>940</v>
      </c>
      <c r="D34">
        <v>970</v>
      </c>
      <c r="E34">
        <v>1050</v>
      </c>
      <c r="G34" s="1">
        <f t="shared" si="11"/>
        <v>986.66666666666663</v>
      </c>
      <c r="H34" s="2">
        <f t="shared" si="12"/>
        <v>6.7981333333333334</v>
      </c>
      <c r="I34" t="s">
        <v>63</v>
      </c>
      <c r="J34" s="2">
        <v>870</v>
      </c>
      <c r="K34" s="2"/>
      <c r="L34" s="2">
        <f t="shared" si="13"/>
        <v>870</v>
      </c>
      <c r="M34" s="2">
        <f t="shared" si="14"/>
        <v>5.9943</v>
      </c>
      <c r="N34" t="s">
        <v>63</v>
      </c>
      <c r="O34">
        <v>270</v>
      </c>
      <c r="P34">
        <v>300</v>
      </c>
      <c r="Q34" s="1">
        <f t="shared" si="15"/>
        <v>285</v>
      </c>
      <c r="R34" s="2">
        <f t="shared" si="16"/>
        <v>1.9636500000000001</v>
      </c>
      <c r="S34" t="s">
        <v>63</v>
      </c>
      <c r="T34">
        <v>950</v>
      </c>
      <c r="U34">
        <v>980</v>
      </c>
      <c r="V34" s="1">
        <f t="shared" si="17"/>
        <v>965</v>
      </c>
      <c r="W34" s="2">
        <f t="shared" si="18"/>
        <v>6.6488500000000004</v>
      </c>
      <c r="X34" t="s">
        <v>63</v>
      </c>
    </row>
    <row r="35" spans="1:24">
      <c r="A35" t="s">
        <v>64</v>
      </c>
      <c r="B35" t="s">
        <v>57</v>
      </c>
      <c r="C35">
        <v>920</v>
      </c>
      <c r="D35">
        <v>1060</v>
      </c>
      <c r="G35" s="1">
        <f t="shared" si="11"/>
        <v>990</v>
      </c>
      <c r="H35" s="2">
        <f t="shared" si="12"/>
        <v>6.8211000000000004</v>
      </c>
      <c r="I35" t="s">
        <v>64</v>
      </c>
      <c r="J35" s="2">
        <v>1180</v>
      </c>
      <c r="K35" s="2">
        <v>1030</v>
      </c>
      <c r="L35" s="2">
        <f t="shared" si="13"/>
        <v>1105</v>
      </c>
      <c r="M35" s="2">
        <f t="shared" si="14"/>
        <v>7.6134500000000003</v>
      </c>
      <c r="N35" t="s">
        <v>64</v>
      </c>
      <c r="O35">
        <v>450</v>
      </c>
      <c r="P35">
        <v>470</v>
      </c>
      <c r="Q35" s="1">
        <f t="shared" si="15"/>
        <v>460</v>
      </c>
      <c r="R35" s="2">
        <f t="shared" si="16"/>
        <v>3.1694</v>
      </c>
      <c r="S35" t="s">
        <v>64</v>
      </c>
      <c r="T35">
        <v>670</v>
      </c>
      <c r="U35">
        <v>700</v>
      </c>
      <c r="V35" s="1">
        <f t="shared" si="17"/>
        <v>685</v>
      </c>
      <c r="W35" s="2">
        <f t="shared" si="18"/>
        <v>4.7196500000000006</v>
      </c>
      <c r="X35" t="s">
        <v>64</v>
      </c>
    </row>
    <row r="36" spans="1:24">
      <c r="A36" t="s">
        <v>65</v>
      </c>
      <c r="B36" t="s">
        <v>57</v>
      </c>
      <c r="C36" t="s">
        <v>21</v>
      </c>
      <c r="D36">
        <v>1130</v>
      </c>
      <c r="G36" s="1">
        <f t="shared" si="11"/>
        <v>1130</v>
      </c>
      <c r="H36" s="2">
        <f t="shared" si="12"/>
        <v>7.7857000000000003</v>
      </c>
      <c r="I36" t="s">
        <v>65</v>
      </c>
      <c r="J36" s="2">
        <v>1700</v>
      </c>
      <c r="K36" s="2"/>
      <c r="L36" s="2">
        <f t="shared" si="13"/>
        <v>1700</v>
      </c>
      <c r="M36" s="2">
        <f t="shared" si="14"/>
        <v>11.713000000000001</v>
      </c>
      <c r="N36" t="s">
        <v>65</v>
      </c>
      <c r="O36">
        <v>400</v>
      </c>
      <c r="P36">
        <v>350</v>
      </c>
      <c r="Q36" s="1">
        <f t="shared" si="15"/>
        <v>375</v>
      </c>
      <c r="R36" s="2">
        <f t="shared" si="16"/>
        <v>2.5837500000000002</v>
      </c>
      <c r="S36" t="s">
        <v>65</v>
      </c>
      <c r="T36">
        <v>650</v>
      </c>
      <c r="U36">
        <v>640</v>
      </c>
      <c r="V36" s="1">
        <f t="shared" si="17"/>
        <v>645</v>
      </c>
      <c r="W36" s="2">
        <f t="shared" si="18"/>
        <v>4.4440499999999998</v>
      </c>
      <c r="X36" t="s">
        <v>65</v>
      </c>
    </row>
    <row r="37" spans="1:24">
      <c r="A37" t="s">
        <v>66</v>
      </c>
      <c r="B37" t="s">
        <v>57</v>
      </c>
      <c r="C37">
        <v>770</v>
      </c>
      <c r="G37" s="1">
        <f t="shared" si="11"/>
        <v>770</v>
      </c>
      <c r="H37" s="2">
        <f t="shared" si="12"/>
        <v>5.3052999999999999</v>
      </c>
      <c r="I37" t="s">
        <v>66</v>
      </c>
      <c r="J37" s="2">
        <v>1060</v>
      </c>
      <c r="K37" s="2">
        <v>950</v>
      </c>
      <c r="L37" s="2">
        <f t="shared" si="13"/>
        <v>1005</v>
      </c>
      <c r="M37" s="2">
        <f t="shared" si="14"/>
        <v>6.9244500000000002</v>
      </c>
      <c r="N37" t="s">
        <v>66</v>
      </c>
      <c r="O37">
        <v>400</v>
      </c>
      <c r="P37">
        <v>380</v>
      </c>
      <c r="Q37" s="1">
        <f t="shared" si="15"/>
        <v>390</v>
      </c>
      <c r="R37" s="2">
        <f t="shared" si="16"/>
        <v>2.6871</v>
      </c>
      <c r="S37" t="s">
        <v>66</v>
      </c>
      <c r="T37">
        <v>880</v>
      </c>
      <c r="U37">
        <v>830</v>
      </c>
      <c r="V37" s="1">
        <f t="shared" si="17"/>
        <v>855</v>
      </c>
      <c r="W37" s="2">
        <f t="shared" si="18"/>
        <v>5.8909500000000001</v>
      </c>
      <c r="X37" t="s">
        <v>66</v>
      </c>
    </row>
    <row r="38" spans="1:24">
      <c r="A38" t="s">
        <v>67</v>
      </c>
      <c r="B38" t="s">
        <v>57</v>
      </c>
      <c r="C38">
        <v>920</v>
      </c>
      <c r="G38" s="1">
        <f t="shared" si="11"/>
        <v>920</v>
      </c>
      <c r="H38" s="2">
        <f t="shared" si="12"/>
        <v>6.3388</v>
      </c>
      <c r="I38" t="s">
        <v>67</v>
      </c>
      <c r="J38" s="2" t="s">
        <v>16</v>
      </c>
      <c r="K38" s="2"/>
      <c r="L38" s="2"/>
      <c r="M38" s="2"/>
      <c r="N38" t="s">
        <v>67</v>
      </c>
      <c r="O38" t="s">
        <v>16</v>
      </c>
      <c r="Q38" s="1"/>
      <c r="S38" t="s">
        <v>67</v>
      </c>
      <c r="T38" t="s">
        <v>22</v>
      </c>
      <c r="V38" s="1"/>
      <c r="W38" s="2"/>
      <c r="X38" t="s">
        <v>67</v>
      </c>
    </row>
    <row r="39" spans="1:24">
      <c r="A39" t="s">
        <v>68</v>
      </c>
      <c r="B39" t="s">
        <v>57</v>
      </c>
      <c r="C39">
        <v>880</v>
      </c>
      <c r="D39">
        <v>900</v>
      </c>
      <c r="G39" s="1">
        <f t="shared" si="11"/>
        <v>890</v>
      </c>
      <c r="H39" s="2">
        <f t="shared" si="12"/>
        <v>6.1321000000000003</v>
      </c>
      <c r="I39" t="s">
        <v>68</v>
      </c>
      <c r="J39" s="2">
        <v>870</v>
      </c>
      <c r="K39" s="2">
        <v>850</v>
      </c>
      <c r="L39" s="2">
        <f t="shared" si="13"/>
        <v>860</v>
      </c>
      <c r="M39" s="2">
        <f t="shared" si="14"/>
        <v>5.9254000000000007</v>
      </c>
      <c r="N39" t="s">
        <v>68</v>
      </c>
      <c r="O39">
        <v>360</v>
      </c>
      <c r="P39">
        <v>370</v>
      </c>
      <c r="Q39" s="1">
        <f t="shared" si="15"/>
        <v>365</v>
      </c>
      <c r="R39" s="2">
        <f>Q39*0.00689</f>
        <v>2.51485</v>
      </c>
      <c r="S39" t="s">
        <v>68</v>
      </c>
      <c r="T39">
        <v>600</v>
      </c>
      <c r="U39">
        <v>540</v>
      </c>
      <c r="V39" s="1">
        <f t="shared" si="17"/>
        <v>570</v>
      </c>
      <c r="W39" s="2">
        <f t="shared" si="18"/>
        <v>3.9273000000000002</v>
      </c>
      <c r="X39" t="s">
        <v>68</v>
      </c>
    </row>
    <row r="40" spans="1:24" ht="16" thickBot="1">
      <c r="A40" t="s">
        <v>69</v>
      </c>
      <c r="B40" t="s">
        <v>57</v>
      </c>
      <c r="C40">
        <v>900</v>
      </c>
      <c r="D40">
        <v>930</v>
      </c>
      <c r="G40" s="1">
        <f t="shared" si="11"/>
        <v>915</v>
      </c>
      <c r="H40" s="2">
        <f t="shared" si="12"/>
        <v>6.3043500000000003</v>
      </c>
      <c r="I40" t="s">
        <v>69</v>
      </c>
      <c r="J40" s="2">
        <v>750</v>
      </c>
      <c r="K40" s="2"/>
      <c r="L40" s="2">
        <f t="shared" si="13"/>
        <v>750</v>
      </c>
      <c r="M40" s="2">
        <f t="shared" si="14"/>
        <v>5.1675000000000004</v>
      </c>
      <c r="N40" t="s">
        <v>69</v>
      </c>
      <c r="O40">
        <v>220</v>
      </c>
      <c r="P40" t="s">
        <v>70</v>
      </c>
      <c r="Q40" s="1">
        <f t="shared" si="15"/>
        <v>220</v>
      </c>
      <c r="R40" s="2">
        <f>Q40*0.00689</f>
        <v>1.5158</v>
      </c>
      <c r="S40" t="s">
        <v>69</v>
      </c>
      <c r="T40">
        <v>720</v>
      </c>
      <c r="U40">
        <v>860</v>
      </c>
      <c r="V40" s="1">
        <f t="shared" si="17"/>
        <v>790</v>
      </c>
      <c r="W40" s="2">
        <f t="shared" si="18"/>
        <v>5.4431000000000003</v>
      </c>
      <c r="X40" t="s">
        <v>69</v>
      </c>
    </row>
    <row r="41" spans="1:24" ht="18">
      <c r="A41" t="s">
        <v>37</v>
      </c>
      <c r="G41" s="1"/>
      <c r="H41" s="3">
        <f>AVERAGE(H31:H40)</f>
        <v>6.3583216666666669</v>
      </c>
      <c r="I41" t="s">
        <v>37</v>
      </c>
      <c r="J41" s="4"/>
      <c r="K41" s="4"/>
      <c r="L41" s="4"/>
      <c r="M41" s="3">
        <f>AVERAGE(M31:M40)</f>
        <v>6.8785166666666662</v>
      </c>
      <c r="N41" t="s">
        <v>37</v>
      </c>
      <c r="R41" s="3">
        <f>AVERAGE(R31:R40)</f>
        <v>2.4459499999999998</v>
      </c>
      <c r="S41" t="s">
        <v>37</v>
      </c>
      <c r="W41" s="3">
        <f>AVERAGE(W31:W40)</f>
        <v>5.2899888888888897</v>
      </c>
      <c r="X41" t="s">
        <v>37</v>
      </c>
    </row>
    <row r="42" spans="1:24" ht="18">
      <c r="A42" t="s">
        <v>38</v>
      </c>
      <c r="G42" s="1"/>
      <c r="H42" s="5">
        <f>STDEV(H31:H40)</f>
        <v>0.78457400024149548</v>
      </c>
      <c r="I42" t="s">
        <v>38</v>
      </c>
      <c r="J42" s="4"/>
      <c r="K42" s="4"/>
      <c r="L42" s="4"/>
      <c r="M42" s="5">
        <f>STDEV(M31:M40)</f>
        <v>2.1322156731613742</v>
      </c>
      <c r="N42" t="s">
        <v>38</v>
      </c>
      <c r="R42" s="5">
        <f>STDEV(R31:R40)</f>
        <v>0.4695195037216261</v>
      </c>
      <c r="S42" t="s">
        <v>38</v>
      </c>
      <c r="W42" s="5">
        <f>STDEV(W31:W40)</f>
        <v>0.8652217308939365</v>
      </c>
      <c r="X42" t="s">
        <v>38</v>
      </c>
    </row>
    <row r="43" spans="1:24" ht="19" thickBot="1">
      <c r="A43" t="s">
        <v>39</v>
      </c>
      <c r="G43" s="1"/>
      <c r="H43" s="6">
        <f>CONFIDENCE(0.05,H42,10)</f>
        <v>0.48627506782499663</v>
      </c>
      <c r="I43" t="s">
        <v>39</v>
      </c>
      <c r="J43" s="4"/>
      <c r="K43" s="4"/>
      <c r="L43" s="4"/>
      <c r="M43" s="6">
        <f>CONFIDENCE(0.05,M42,6)</f>
        <v>1.7060965202980396</v>
      </c>
      <c r="N43" t="s">
        <v>39</v>
      </c>
      <c r="R43" s="6">
        <f>CONFIDENCE(0.05,R42,6)</f>
        <v>0.37568694461561747</v>
      </c>
      <c r="S43" t="s">
        <v>39</v>
      </c>
      <c r="W43" s="6">
        <f>CONFIDENCE(0.05,W42,6)</f>
        <v>0.69230885174750845</v>
      </c>
      <c r="X43" t="s">
        <v>39</v>
      </c>
    </row>
    <row r="44" spans="1:24">
      <c r="G44" s="1"/>
    </row>
    <row r="45" spans="1:24">
      <c r="A45" t="s">
        <v>71</v>
      </c>
      <c r="B45" t="s">
        <v>72</v>
      </c>
      <c r="C45">
        <v>780</v>
      </c>
      <c r="D45">
        <v>820</v>
      </c>
      <c r="E45">
        <v>750</v>
      </c>
      <c r="G45" s="1">
        <f t="shared" si="0"/>
        <v>783.33333333333337</v>
      </c>
      <c r="H45" s="2">
        <f>G45*0.00689</f>
        <v>5.3971666666666671</v>
      </c>
      <c r="I45" t="s">
        <v>73</v>
      </c>
      <c r="J45" s="2">
        <v>1230</v>
      </c>
      <c r="K45" s="2"/>
      <c r="L45" s="2">
        <f t="shared" ref="L45:L54" si="19">AVERAGE(J45:K45)</f>
        <v>1230</v>
      </c>
      <c r="M45" s="2">
        <f t="shared" ref="M45:M54" si="20">L45*0.00689</f>
        <v>8.4747000000000003</v>
      </c>
      <c r="N45" t="s">
        <v>73</v>
      </c>
      <c r="O45">
        <v>350</v>
      </c>
      <c r="P45">
        <v>430</v>
      </c>
      <c r="Q45" s="1">
        <f t="shared" ref="Q45:Q54" si="21">AVERAGE(O45:P45)</f>
        <v>390</v>
      </c>
      <c r="R45" s="2">
        <f>Q45*0.00689</f>
        <v>2.6871</v>
      </c>
      <c r="S45" t="s">
        <v>73</v>
      </c>
      <c r="T45">
        <v>520</v>
      </c>
      <c r="U45">
        <v>430</v>
      </c>
      <c r="V45" s="1">
        <f t="shared" ref="V45:V54" si="22">AVERAGE(T45:U45)</f>
        <v>475</v>
      </c>
      <c r="W45" s="2">
        <f t="shared" ref="W45:W54" si="23">V45*0.00689</f>
        <v>3.2727500000000003</v>
      </c>
      <c r="X45" t="s">
        <v>73</v>
      </c>
    </row>
    <row r="46" spans="1:24">
      <c r="A46" t="s">
        <v>74</v>
      </c>
      <c r="B46" t="s">
        <v>72</v>
      </c>
      <c r="C46">
        <v>1060</v>
      </c>
      <c r="G46" s="1">
        <f t="shared" si="0"/>
        <v>1060</v>
      </c>
      <c r="H46" s="2">
        <f>G46*0.00689</f>
        <v>7.3033999999999999</v>
      </c>
      <c r="I46" t="s">
        <v>75</v>
      </c>
      <c r="J46" s="2">
        <v>1150</v>
      </c>
      <c r="K46" s="2"/>
      <c r="L46" s="2">
        <f t="shared" si="19"/>
        <v>1150</v>
      </c>
      <c r="M46" s="2">
        <f t="shared" si="20"/>
        <v>7.9235000000000007</v>
      </c>
      <c r="N46" t="s">
        <v>75</v>
      </c>
      <c r="O46">
        <v>300</v>
      </c>
      <c r="P46">
        <v>270</v>
      </c>
      <c r="Q46" s="1">
        <f t="shared" si="21"/>
        <v>285</v>
      </c>
      <c r="R46" s="2">
        <f>Q46*0.00689</f>
        <v>1.9636500000000001</v>
      </c>
      <c r="S46" t="s">
        <v>75</v>
      </c>
      <c r="T46">
        <v>550</v>
      </c>
      <c r="U46">
        <v>500</v>
      </c>
      <c r="V46" s="1">
        <f t="shared" si="22"/>
        <v>525</v>
      </c>
      <c r="W46" s="2">
        <f t="shared" si="23"/>
        <v>3.6172500000000003</v>
      </c>
      <c r="X46" t="s">
        <v>75</v>
      </c>
    </row>
    <row r="47" spans="1:24">
      <c r="A47" t="s">
        <v>76</v>
      </c>
      <c r="B47" t="s">
        <v>72</v>
      </c>
      <c r="C47">
        <v>920</v>
      </c>
      <c r="D47">
        <v>1100</v>
      </c>
      <c r="G47" s="1">
        <f t="shared" si="0"/>
        <v>1010</v>
      </c>
      <c r="H47" s="2">
        <f>G47*0.00689</f>
        <v>6.9588999999999999</v>
      </c>
      <c r="I47" t="s">
        <v>77</v>
      </c>
      <c r="J47" s="2">
        <v>660</v>
      </c>
      <c r="K47" s="2"/>
      <c r="L47" s="2">
        <f t="shared" si="19"/>
        <v>660</v>
      </c>
      <c r="M47" s="2">
        <f t="shared" si="20"/>
        <v>4.5474000000000006</v>
      </c>
      <c r="N47" t="s">
        <v>77</v>
      </c>
      <c r="O47">
        <v>240</v>
      </c>
      <c r="P47">
        <v>230</v>
      </c>
      <c r="Q47" s="1">
        <f t="shared" si="21"/>
        <v>235</v>
      </c>
      <c r="R47" s="2">
        <f>Q47*0.00689</f>
        <v>1.6191500000000001</v>
      </c>
      <c r="S47" t="s">
        <v>77</v>
      </c>
      <c r="T47">
        <v>600</v>
      </c>
      <c r="U47">
        <v>580</v>
      </c>
      <c r="V47" s="1">
        <f t="shared" si="22"/>
        <v>590</v>
      </c>
      <c r="W47" s="2">
        <f t="shared" si="23"/>
        <v>4.0651000000000002</v>
      </c>
      <c r="X47" t="s">
        <v>77</v>
      </c>
    </row>
    <row r="48" spans="1:24">
      <c r="A48" t="s">
        <v>78</v>
      </c>
      <c r="B48" t="s">
        <v>72</v>
      </c>
      <c r="C48">
        <v>870</v>
      </c>
      <c r="G48" s="1">
        <f t="shared" si="0"/>
        <v>870</v>
      </c>
      <c r="H48" s="2">
        <f>G48*0.00689</f>
        <v>5.9943</v>
      </c>
      <c r="I48" t="s">
        <v>79</v>
      </c>
      <c r="J48" s="2">
        <v>560</v>
      </c>
      <c r="K48" s="2">
        <v>690</v>
      </c>
      <c r="L48" s="2">
        <f t="shared" si="19"/>
        <v>625</v>
      </c>
      <c r="M48" s="2">
        <f t="shared" si="20"/>
        <v>4.3062500000000004</v>
      </c>
      <c r="N48" t="s">
        <v>79</v>
      </c>
      <c r="O48">
        <v>300</v>
      </c>
      <c r="Q48" s="1">
        <f t="shared" si="21"/>
        <v>300</v>
      </c>
      <c r="R48" s="2">
        <f>Q48*0.00689</f>
        <v>2.0670000000000002</v>
      </c>
      <c r="S48" t="s">
        <v>79</v>
      </c>
      <c r="T48">
        <v>350</v>
      </c>
      <c r="U48">
        <v>370</v>
      </c>
      <c r="V48" s="1">
        <f t="shared" si="22"/>
        <v>360</v>
      </c>
      <c r="W48" s="2">
        <f t="shared" si="23"/>
        <v>2.4803999999999999</v>
      </c>
      <c r="X48" t="s">
        <v>79</v>
      </c>
    </row>
    <row r="49" spans="1:24">
      <c r="A49" t="s">
        <v>80</v>
      </c>
      <c r="B49" t="s">
        <v>72</v>
      </c>
      <c r="C49" t="s">
        <v>16</v>
      </c>
      <c r="G49" s="1" t="e">
        <f t="shared" si="0"/>
        <v>#DIV/0!</v>
      </c>
      <c r="H49" s="2"/>
      <c r="I49" t="s">
        <v>80</v>
      </c>
      <c r="J49" s="2" t="s">
        <v>16</v>
      </c>
      <c r="K49" s="2"/>
      <c r="L49" s="2"/>
      <c r="M49" s="2"/>
      <c r="N49" t="s">
        <v>80</v>
      </c>
      <c r="O49" t="s">
        <v>16</v>
      </c>
      <c r="Q49" s="1"/>
      <c r="S49" t="s">
        <v>80</v>
      </c>
      <c r="T49">
        <v>500</v>
      </c>
      <c r="V49" s="1">
        <f t="shared" si="22"/>
        <v>500</v>
      </c>
      <c r="W49" s="2">
        <f t="shared" si="23"/>
        <v>3.4450000000000003</v>
      </c>
      <c r="X49" t="s">
        <v>80</v>
      </c>
    </row>
    <row r="50" spans="1:24">
      <c r="A50" t="s">
        <v>81</v>
      </c>
      <c r="B50" t="s">
        <v>72</v>
      </c>
      <c r="C50">
        <v>1070</v>
      </c>
      <c r="D50">
        <v>940</v>
      </c>
      <c r="G50" s="1">
        <f t="shared" si="0"/>
        <v>1005</v>
      </c>
      <c r="H50" s="2">
        <f>G50*0.00689</f>
        <v>6.9244500000000002</v>
      </c>
      <c r="I50" t="s">
        <v>81</v>
      </c>
      <c r="J50" s="2">
        <v>1230</v>
      </c>
      <c r="K50" s="2">
        <v>1010</v>
      </c>
      <c r="L50" s="2">
        <f t="shared" si="19"/>
        <v>1120</v>
      </c>
      <c r="M50" s="2">
        <f t="shared" si="20"/>
        <v>7.7168000000000001</v>
      </c>
      <c r="N50" t="s">
        <v>81</v>
      </c>
      <c r="O50">
        <v>250</v>
      </c>
      <c r="P50">
        <v>240</v>
      </c>
      <c r="Q50" s="1">
        <f t="shared" si="21"/>
        <v>245</v>
      </c>
      <c r="R50" s="2">
        <f>Q50*0.00689</f>
        <v>1.6880500000000001</v>
      </c>
      <c r="S50" t="s">
        <v>81</v>
      </c>
      <c r="T50">
        <v>500</v>
      </c>
      <c r="U50">
        <v>470</v>
      </c>
      <c r="V50" s="1">
        <f t="shared" si="22"/>
        <v>485</v>
      </c>
      <c r="W50" s="2">
        <f t="shared" si="23"/>
        <v>3.34165</v>
      </c>
      <c r="X50" t="s">
        <v>81</v>
      </c>
    </row>
    <row r="51" spans="1:24">
      <c r="A51" t="s">
        <v>82</v>
      </c>
      <c r="B51" t="s">
        <v>72</v>
      </c>
      <c r="C51">
        <v>950</v>
      </c>
      <c r="D51">
        <v>920</v>
      </c>
      <c r="E51">
        <v>930</v>
      </c>
      <c r="G51" s="1">
        <f t="shared" si="0"/>
        <v>933.33333333333337</v>
      </c>
      <c r="H51" s="2">
        <f>G51*0.00689</f>
        <v>6.4306666666666672</v>
      </c>
      <c r="I51" t="s">
        <v>82</v>
      </c>
      <c r="J51" s="2">
        <v>950</v>
      </c>
      <c r="K51" s="2"/>
      <c r="L51" s="2">
        <f t="shared" si="19"/>
        <v>950</v>
      </c>
      <c r="M51" s="2">
        <f t="shared" si="20"/>
        <v>6.5455000000000005</v>
      </c>
      <c r="N51" t="s">
        <v>82</v>
      </c>
      <c r="O51">
        <v>300</v>
      </c>
      <c r="P51">
        <v>330</v>
      </c>
      <c r="Q51" s="1">
        <f t="shared" si="21"/>
        <v>315</v>
      </c>
      <c r="R51" s="2">
        <f>Q51*0.00689</f>
        <v>2.17035</v>
      </c>
      <c r="S51" t="s">
        <v>82</v>
      </c>
      <c r="T51">
        <v>750</v>
      </c>
      <c r="U51">
        <v>650</v>
      </c>
      <c r="V51" s="1">
        <f t="shared" si="22"/>
        <v>700</v>
      </c>
      <c r="W51" s="2">
        <f t="shared" si="23"/>
        <v>4.8230000000000004</v>
      </c>
      <c r="X51" t="s">
        <v>82</v>
      </c>
    </row>
    <row r="52" spans="1:24">
      <c r="A52" t="s">
        <v>83</v>
      </c>
      <c r="B52" t="s">
        <v>72</v>
      </c>
      <c r="C52">
        <v>950</v>
      </c>
      <c r="D52">
        <v>960</v>
      </c>
      <c r="G52" s="1">
        <f t="shared" si="0"/>
        <v>955</v>
      </c>
      <c r="H52" s="2">
        <f>G52*0.00689</f>
        <v>6.5799500000000002</v>
      </c>
      <c r="I52" t="s">
        <v>83</v>
      </c>
      <c r="J52" s="2">
        <v>960</v>
      </c>
      <c r="K52" s="2"/>
      <c r="L52" s="2">
        <f t="shared" si="19"/>
        <v>960</v>
      </c>
      <c r="M52" s="2">
        <f t="shared" si="20"/>
        <v>6.6143999999999998</v>
      </c>
      <c r="N52" t="s">
        <v>83</v>
      </c>
      <c r="O52">
        <v>400</v>
      </c>
      <c r="P52">
        <v>390</v>
      </c>
      <c r="Q52" s="1">
        <f t="shared" si="21"/>
        <v>395</v>
      </c>
      <c r="R52" s="2">
        <f>Q52*0.00689</f>
        <v>2.7215500000000001</v>
      </c>
      <c r="S52" t="s">
        <v>83</v>
      </c>
      <c r="T52">
        <v>400</v>
      </c>
      <c r="U52">
        <v>550</v>
      </c>
      <c r="V52" s="1">
        <f t="shared" si="22"/>
        <v>475</v>
      </c>
      <c r="W52" s="2">
        <f t="shared" si="23"/>
        <v>3.2727500000000003</v>
      </c>
      <c r="X52" t="s">
        <v>83</v>
      </c>
    </row>
    <row r="53" spans="1:24">
      <c r="A53" t="s">
        <v>84</v>
      </c>
      <c r="B53" t="s">
        <v>72</v>
      </c>
      <c r="C53" t="s">
        <v>21</v>
      </c>
      <c r="D53" t="s">
        <v>30</v>
      </c>
      <c r="G53" s="1" t="e">
        <f t="shared" si="0"/>
        <v>#DIV/0!</v>
      </c>
      <c r="H53" s="2"/>
      <c r="I53" t="s">
        <v>84</v>
      </c>
      <c r="J53" s="2">
        <v>1400</v>
      </c>
      <c r="K53" s="2">
        <v>1430</v>
      </c>
      <c r="L53" s="2">
        <f t="shared" si="19"/>
        <v>1415</v>
      </c>
      <c r="M53" s="2">
        <f t="shared" si="20"/>
        <v>9.7493499999999997</v>
      </c>
      <c r="N53" t="s">
        <v>84</v>
      </c>
      <c r="O53">
        <v>480</v>
      </c>
      <c r="P53">
        <v>430</v>
      </c>
      <c r="Q53" s="1">
        <f t="shared" si="21"/>
        <v>455</v>
      </c>
      <c r="R53" s="2">
        <f>Q53*0.00689</f>
        <v>3.1349500000000003</v>
      </c>
      <c r="S53" t="s">
        <v>84</v>
      </c>
      <c r="T53">
        <v>610</v>
      </c>
      <c r="U53">
        <v>590</v>
      </c>
      <c r="V53" s="1">
        <f t="shared" si="22"/>
        <v>600</v>
      </c>
      <c r="W53" s="2">
        <f t="shared" si="23"/>
        <v>4.1340000000000003</v>
      </c>
      <c r="X53" t="s">
        <v>84</v>
      </c>
    </row>
    <row r="54" spans="1:24" ht="16" thickBot="1">
      <c r="A54" t="s">
        <v>85</v>
      </c>
      <c r="B54" t="s">
        <v>72</v>
      </c>
      <c r="C54">
        <v>570</v>
      </c>
      <c r="D54">
        <v>610</v>
      </c>
      <c r="G54" s="1">
        <f t="shared" si="0"/>
        <v>590</v>
      </c>
      <c r="H54" s="2">
        <f>G54*0.00689</f>
        <v>4.0651000000000002</v>
      </c>
      <c r="I54" t="s">
        <v>85</v>
      </c>
      <c r="J54" s="2">
        <v>720</v>
      </c>
      <c r="K54" s="2">
        <v>800</v>
      </c>
      <c r="L54" s="2">
        <f t="shared" si="19"/>
        <v>760</v>
      </c>
      <c r="M54" s="2">
        <f t="shared" si="20"/>
        <v>5.2364000000000006</v>
      </c>
      <c r="N54" t="s">
        <v>85</v>
      </c>
      <c r="O54">
        <v>300</v>
      </c>
      <c r="P54">
        <v>260</v>
      </c>
      <c r="Q54" s="1">
        <f t="shared" si="21"/>
        <v>280</v>
      </c>
      <c r="R54" s="2">
        <f>Q54*0.00689</f>
        <v>1.9292</v>
      </c>
      <c r="S54" t="s">
        <v>85</v>
      </c>
      <c r="T54">
        <v>510</v>
      </c>
      <c r="U54">
        <v>500</v>
      </c>
      <c r="V54" s="1">
        <f t="shared" si="22"/>
        <v>505</v>
      </c>
      <c r="W54" s="2">
        <f t="shared" si="23"/>
        <v>3.4794499999999999</v>
      </c>
      <c r="X54" t="s">
        <v>85</v>
      </c>
    </row>
    <row r="55" spans="1:24" ht="18">
      <c r="A55" t="s">
        <v>37</v>
      </c>
      <c r="H55" s="3">
        <f>AVERAGE(H45:H54)</f>
        <v>6.2067416666666659</v>
      </c>
      <c r="I55" t="s">
        <v>37</v>
      </c>
      <c r="J55" s="4"/>
      <c r="K55" s="4"/>
      <c r="L55" s="4"/>
      <c r="M55" s="3">
        <f>AVERAGE(M45:M54)</f>
        <v>6.7904777777777783</v>
      </c>
      <c r="N55" t="s">
        <v>37</v>
      </c>
      <c r="R55" s="3">
        <f>AVERAGE(R45:R54)</f>
        <v>2.2201111111111111</v>
      </c>
      <c r="S55" t="s">
        <v>37</v>
      </c>
      <c r="W55" s="3">
        <f>AVERAGE(W45:W54)</f>
        <v>3.5931350000000002</v>
      </c>
      <c r="X55" t="s">
        <v>37</v>
      </c>
    </row>
    <row r="56" spans="1:24" ht="18">
      <c r="A56" t="s">
        <v>38</v>
      </c>
      <c r="H56" s="5">
        <f>STDEV(H45:H54)</f>
        <v>1.0528943744790076</v>
      </c>
      <c r="I56" t="s">
        <v>38</v>
      </c>
      <c r="J56" s="4"/>
      <c r="K56" s="4"/>
      <c r="L56" s="4"/>
      <c r="M56" s="5">
        <f>STDEV(M45:M54)</f>
        <v>1.8521036128061079</v>
      </c>
      <c r="N56" t="s">
        <v>38</v>
      </c>
      <c r="R56" s="5">
        <f>STDEV(R45:R54)</f>
        <v>0.5156323561764824</v>
      </c>
      <c r="S56" t="s">
        <v>38</v>
      </c>
      <c r="W56" s="5">
        <f>STDEV(W45:W54)</f>
        <v>0.62981660472183121</v>
      </c>
      <c r="X56" t="s">
        <v>38</v>
      </c>
    </row>
    <row r="57" spans="1:24" ht="19" thickBot="1">
      <c r="A57" t="s">
        <v>39</v>
      </c>
      <c r="H57" s="6">
        <f>CONFIDENCE(0.05,H56,8)</f>
        <v>0.72960517011335901</v>
      </c>
      <c r="I57" t="s">
        <v>39</v>
      </c>
      <c r="J57" s="4"/>
      <c r="K57" s="4"/>
      <c r="L57" s="4"/>
      <c r="M57" s="6">
        <f>CONFIDENCE(0.05,M56,6)</f>
        <v>1.4819643100901161</v>
      </c>
      <c r="N57" t="s">
        <v>39</v>
      </c>
      <c r="R57" s="6">
        <f>CONFIDENCE(0.05,R56,6)</f>
        <v>0.41258423324571231</v>
      </c>
      <c r="S57" t="s">
        <v>39</v>
      </c>
      <c r="W57" s="6">
        <f>CONFIDENCE(0.05,W56,6)</f>
        <v>0.50394898192858262</v>
      </c>
      <c r="X57" t="s">
        <v>39</v>
      </c>
    </row>
    <row r="60" spans="1:24">
      <c r="A60" t="s">
        <v>0</v>
      </c>
      <c r="E60" t="s">
        <v>86</v>
      </c>
    </row>
    <row r="61" spans="1:24">
      <c r="B61" t="s">
        <v>4</v>
      </c>
      <c r="C61" t="s">
        <v>5</v>
      </c>
      <c r="D61" t="s">
        <v>6</v>
      </c>
      <c r="E61" t="s">
        <v>7</v>
      </c>
      <c r="G61" t="s">
        <v>8</v>
      </c>
      <c r="H61" t="s">
        <v>9</v>
      </c>
    </row>
    <row r="62" spans="1:24">
      <c r="A62" t="s">
        <v>11</v>
      </c>
      <c r="B62" t="s">
        <v>12</v>
      </c>
      <c r="C62">
        <v>980</v>
      </c>
      <c r="G62" s="1">
        <f t="shared" ref="G62:G66" si="24">AVERAGE(C62:E62)</f>
        <v>980</v>
      </c>
      <c r="H62" s="2">
        <f>G62*0.00689</f>
        <v>6.7522000000000002</v>
      </c>
    </row>
    <row r="63" spans="1:24">
      <c r="A63" t="s">
        <v>15</v>
      </c>
      <c r="B63" t="s">
        <v>12</v>
      </c>
      <c r="C63" t="s">
        <v>16</v>
      </c>
      <c r="G63" s="1" t="e">
        <f t="shared" si="24"/>
        <v>#DIV/0!</v>
      </c>
      <c r="H63" s="2"/>
    </row>
    <row r="64" spans="1:24">
      <c r="A64" t="s">
        <v>18</v>
      </c>
      <c r="B64" t="s">
        <v>12</v>
      </c>
      <c r="C64">
        <v>1200</v>
      </c>
      <c r="G64" s="1">
        <f t="shared" si="24"/>
        <v>1200</v>
      </c>
      <c r="H64" s="2">
        <f>G64*0.00689</f>
        <v>8.2680000000000007</v>
      </c>
    </row>
    <row r="65" spans="1:8">
      <c r="A65" t="s">
        <v>20</v>
      </c>
      <c r="B65" t="s">
        <v>12</v>
      </c>
      <c r="C65">
        <v>1200</v>
      </c>
      <c r="G65" s="1">
        <f t="shared" si="24"/>
        <v>1200</v>
      </c>
      <c r="H65" s="2">
        <f>G65*0.00689</f>
        <v>8.2680000000000007</v>
      </c>
    </row>
    <row r="66" spans="1:8">
      <c r="A66" t="s">
        <v>24</v>
      </c>
      <c r="B66" t="s">
        <v>12</v>
      </c>
      <c r="C66">
        <v>1250</v>
      </c>
      <c r="D66">
        <v>990</v>
      </c>
      <c r="G66" s="1">
        <f t="shared" si="24"/>
        <v>1120</v>
      </c>
      <c r="H66" s="2">
        <f>G66*0.00689</f>
        <v>7.7168000000000001</v>
      </c>
    </row>
    <row r="67" spans="1:8">
      <c r="A67" t="s">
        <v>27</v>
      </c>
      <c r="B67" t="s">
        <v>12</v>
      </c>
      <c r="C67" t="s">
        <v>16</v>
      </c>
      <c r="G67" s="1"/>
      <c r="H67" s="2"/>
    </row>
    <row r="68" spans="1:8">
      <c r="A68" t="s">
        <v>29</v>
      </c>
      <c r="B68" t="s">
        <v>12</v>
      </c>
      <c r="C68">
        <v>950</v>
      </c>
      <c r="D68">
        <v>1070</v>
      </c>
      <c r="G68" s="1">
        <f t="shared" ref="G68:G69" si="25">AVERAGE(C68:E68)</f>
        <v>1010</v>
      </c>
      <c r="H68" s="2">
        <f>G68*0.00689</f>
        <v>6.9588999999999999</v>
      </c>
    </row>
    <row r="69" spans="1:8">
      <c r="A69" t="s">
        <v>32</v>
      </c>
      <c r="B69" t="s">
        <v>12</v>
      </c>
      <c r="C69">
        <v>900</v>
      </c>
      <c r="D69">
        <v>890</v>
      </c>
      <c r="G69" s="1">
        <f t="shared" si="25"/>
        <v>895</v>
      </c>
      <c r="H69" s="2">
        <f>G69*0.00689</f>
        <v>6.16655</v>
      </c>
    </row>
    <row r="70" spans="1:8">
      <c r="A70" t="s">
        <v>35</v>
      </c>
      <c r="B70" t="s">
        <v>12</v>
      </c>
      <c r="C70" t="s">
        <v>16</v>
      </c>
      <c r="G70" s="1"/>
      <c r="H70" s="2"/>
    </row>
    <row r="71" spans="1:8" ht="16" thickBot="1">
      <c r="A71" t="s">
        <v>36</v>
      </c>
      <c r="B71" t="s">
        <v>12</v>
      </c>
      <c r="C71">
        <v>550</v>
      </c>
      <c r="D71">
        <v>870</v>
      </c>
      <c r="G71" s="1">
        <f t="shared" ref="G71" si="26">AVERAGE(C71:E71)</f>
        <v>710</v>
      </c>
      <c r="H71" s="2">
        <f>G71*0.00689</f>
        <v>4.8919000000000006</v>
      </c>
    </row>
    <row r="72" spans="1:8" ht="18">
      <c r="A72" t="s">
        <v>37</v>
      </c>
      <c r="G72" s="1"/>
      <c r="H72" s="3">
        <f>AVERAGE(H62:H71)</f>
        <v>7.0031928571428574</v>
      </c>
    </row>
    <row r="73" spans="1:8" ht="18">
      <c r="A73" t="s">
        <v>38</v>
      </c>
      <c r="G73" s="1"/>
      <c r="H73" s="5">
        <f>STDEV(H62:H71)</f>
        <v>1.2200544688758017</v>
      </c>
    </row>
    <row r="74" spans="1:8" ht="19" thickBot="1">
      <c r="A74" t="s">
        <v>39</v>
      </c>
      <c r="G74" s="1"/>
      <c r="H74" s="6">
        <f>CONFIDENCE(0.05,H73,7)</f>
        <v>0.9038123908975878</v>
      </c>
    </row>
    <row r="75" spans="1:8">
      <c r="G75" s="1"/>
    </row>
    <row r="76" spans="1:8">
      <c r="A76" t="s">
        <v>40</v>
      </c>
      <c r="B76" t="s">
        <v>41</v>
      </c>
      <c r="C76" t="s">
        <v>42</v>
      </c>
    </row>
    <row r="77" spans="1:8">
      <c r="A77" t="s">
        <v>44</v>
      </c>
      <c r="B77" t="s">
        <v>41</v>
      </c>
      <c r="C77">
        <v>910</v>
      </c>
      <c r="D77">
        <v>620</v>
      </c>
      <c r="E77">
        <v>940</v>
      </c>
      <c r="G77" s="1">
        <f t="shared" ref="G77:G85" si="27">AVERAGE(C77:E77)</f>
        <v>823.33333333333337</v>
      </c>
      <c r="H77" s="2">
        <f t="shared" ref="H77:H85" si="28">G77*0.00689</f>
        <v>5.672766666666667</v>
      </c>
    </row>
    <row r="78" spans="1:8">
      <c r="A78" t="s">
        <v>46</v>
      </c>
      <c r="B78" t="s">
        <v>41</v>
      </c>
      <c r="C78">
        <v>820</v>
      </c>
      <c r="D78">
        <v>690</v>
      </c>
      <c r="G78" s="1">
        <f t="shared" si="27"/>
        <v>755</v>
      </c>
      <c r="H78" s="2">
        <f t="shared" si="28"/>
        <v>5.2019500000000001</v>
      </c>
    </row>
    <row r="79" spans="1:8">
      <c r="A79" t="s">
        <v>48</v>
      </c>
      <c r="B79" t="s">
        <v>41</v>
      </c>
      <c r="C79">
        <v>1600</v>
      </c>
      <c r="D79">
        <v>1050</v>
      </c>
      <c r="G79" s="1">
        <f t="shared" si="27"/>
        <v>1325</v>
      </c>
      <c r="H79" s="2">
        <f t="shared" si="28"/>
        <v>9.1292500000000008</v>
      </c>
    </row>
    <row r="80" spans="1:8">
      <c r="A80" t="s">
        <v>50</v>
      </c>
      <c r="B80" t="s">
        <v>41</v>
      </c>
      <c r="C80">
        <v>620</v>
      </c>
      <c r="D80">
        <v>1000</v>
      </c>
      <c r="G80" s="1">
        <f t="shared" si="27"/>
        <v>810</v>
      </c>
      <c r="H80" s="2">
        <f t="shared" si="28"/>
        <v>5.5809000000000006</v>
      </c>
    </row>
    <row r="81" spans="1:8">
      <c r="A81" t="s">
        <v>51</v>
      </c>
      <c r="B81" t="s">
        <v>41</v>
      </c>
      <c r="C81">
        <v>1200</v>
      </c>
      <c r="G81" s="1">
        <f t="shared" si="27"/>
        <v>1200</v>
      </c>
      <c r="H81" s="2">
        <f t="shared" si="28"/>
        <v>8.2680000000000007</v>
      </c>
    </row>
    <row r="82" spans="1:8">
      <c r="A82" t="s">
        <v>52</v>
      </c>
      <c r="B82" t="s">
        <v>41</v>
      </c>
      <c r="C82">
        <v>1150</v>
      </c>
      <c r="G82" s="1">
        <f t="shared" si="27"/>
        <v>1150</v>
      </c>
      <c r="H82" s="2">
        <f t="shared" si="28"/>
        <v>7.9235000000000007</v>
      </c>
    </row>
    <row r="83" spans="1:8">
      <c r="A83" t="s">
        <v>53</v>
      </c>
      <c r="B83" t="s">
        <v>41</v>
      </c>
      <c r="C83">
        <v>930</v>
      </c>
      <c r="D83">
        <v>1030</v>
      </c>
      <c r="G83" s="1">
        <f t="shared" si="27"/>
        <v>980</v>
      </c>
      <c r="H83" s="2">
        <f t="shared" si="28"/>
        <v>6.7522000000000002</v>
      </c>
    </row>
    <row r="84" spans="1:8">
      <c r="A84" t="s">
        <v>54</v>
      </c>
      <c r="B84" t="s">
        <v>41</v>
      </c>
      <c r="C84">
        <v>850</v>
      </c>
      <c r="D84">
        <v>810</v>
      </c>
      <c r="G84" s="1">
        <f t="shared" si="27"/>
        <v>830</v>
      </c>
      <c r="H84" s="2">
        <f t="shared" si="28"/>
        <v>5.7187000000000001</v>
      </c>
    </row>
    <row r="85" spans="1:8" ht="16" thickBot="1">
      <c r="A85" t="s">
        <v>55</v>
      </c>
      <c r="B85" t="s">
        <v>41</v>
      </c>
      <c r="C85">
        <v>850</v>
      </c>
      <c r="D85">
        <v>870</v>
      </c>
      <c r="G85" s="1">
        <f t="shared" si="27"/>
        <v>860</v>
      </c>
      <c r="H85" s="2">
        <f t="shared" si="28"/>
        <v>5.9254000000000007</v>
      </c>
    </row>
    <row r="86" spans="1:8" ht="18">
      <c r="A86" t="s">
        <v>37</v>
      </c>
      <c r="G86" s="1"/>
      <c r="H86" s="3">
        <f>AVERAGE(H76:H85)</f>
        <v>6.6858518518518535</v>
      </c>
    </row>
    <row r="87" spans="1:8" ht="18">
      <c r="A87" t="s">
        <v>38</v>
      </c>
      <c r="G87" s="1"/>
      <c r="H87" s="5">
        <f>STDEV(H76:H85)</f>
        <v>1.4129957937502333</v>
      </c>
    </row>
    <row r="88" spans="1:8" ht="19" thickBot="1">
      <c r="A88" t="s">
        <v>39</v>
      </c>
      <c r="G88" s="1"/>
      <c r="H88" s="6">
        <f>CONFIDENCE(0.05,H87,9)</f>
        <v>0.92314028868568099</v>
      </c>
    </row>
    <row r="89" spans="1:8">
      <c r="G89" s="1"/>
    </row>
    <row r="90" spans="1:8">
      <c r="A90" t="s">
        <v>56</v>
      </c>
      <c r="B90" t="s">
        <v>57</v>
      </c>
      <c r="C90">
        <v>710</v>
      </c>
      <c r="D90">
        <v>720</v>
      </c>
      <c r="E90">
        <v>870</v>
      </c>
      <c r="G90" s="1">
        <f t="shared" ref="G90:G99" si="29">AVERAGE(C90:E90)</f>
        <v>766.66666666666663</v>
      </c>
      <c r="H90" s="2">
        <f t="shared" ref="H90:H99" si="30">G90*0.00689</f>
        <v>5.2823333333333329</v>
      </c>
    </row>
    <row r="91" spans="1:8">
      <c r="A91" t="s">
        <v>59</v>
      </c>
      <c r="B91" t="s">
        <v>57</v>
      </c>
      <c r="C91">
        <v>1000</v>
      </c>
      <c r="D91">
        <v>850</v>
      </c>
      <c r="E91">
        <v>830</v>
      </c>
      <c r="G91" s="1">
        <f t="shared" si="29"/>
        <v>893.33333333333337</v>
      </c>
      <c r="H91" s="2">
        <f t="shared" si="30"/>
        <v>6.1550666666666674</v>
      </c>
    </row>
    <row r="92" spans="1:8">
      <c r="A92" t="s">
        <v>62</v>
      </c>
      <c r="B92" t="s">
        <v>57</v>
      </c>
      <c r="C92">
        <v>1020</v>
      </c>
      <c r="G92" s="1">
        <f t="shared" si="29"/>
        <v>1020</v>
      </c>
      <c r="H92" s="2">
        <f t="shared" si="30"/>
        <v>7.0278</v>
      </c>
    </row>
    <row r="93" spans="1:8">
      <c r="A93" t="s">
        <v>63</v>
      </c>
      <c r="B93" t="s">
        <v>57</v>
      </c>
      <c r="C93">
        <v>940</v>
      </c>
      <c r="D93">
        <v>970</v>
      </c>
      <c r="E93">
        <v>1050</v>
      </c>
      <c r="G93" s="1">
        <f t="shared" si="29"/>
        <v>986.66666666666663</v>
      </c>
      <c r="H93" s="2">
        <f t="shared" si="30"/>
        <v>6.7981333333333334</v>
      </c>
    </row>
    <row r="94" spans="1:8">
      <c r="A94" t="s">
        <v>64</v>
      </c>
      <c r="B94" t="s">
        <v>57</v>
      </c>
      <c r="C94">
        <v>920</v>
      </c>
      <c r="D94">
        <v>1060</v>
      </c>
      <c r="G94" s="1">
        <f t="shared" si="29"/>
        <v>990</v>
      </c>
      <c r="H94" s="2">
        <f t="shared" si="30"/>
        <v>6.8211000000000004</v>
      </c>
    </row>
    <row r="95" spans="1:8">
      <c r="A95" t="s">
        <v>65</v>
      </c>
      <c r="B95" t="s">
        <v>57</v>
      </c>
      <c r="C95">
        <v>1200</v>
      </c>
      <c r="D95">
        <v>1130</v>
      </c>
      <c r="G95" s="1">
        <f t="shared" si="29"/>
        <v>1165</v>
      </c>
      <c r="H95" s="2">
        <f t="shared" si="30"/>
        <v>8.0268499999999996</v>
      </c>
    </row>
    <row r="96" spans="1:8">
      <c r="A96" t="s">
        <v>66</v>
      </c>
      <c r="B96" t="s">
        <v>57</v>
      </c>
      <c r="C96">
        <v>770</v>
      </c>
      <c r="G96" s="1">
        <f t="shared" si="29"/>
        <v>770</v>
      </c>
      <c r="H96" s="2">
        <f t="shared" si="30"/>
        <v>5.3052999999999999</v>
      </c>
    </row>
    <row r="97" spans="1:8">
      <c r="A97" t="s">
        <v>67</v>
      </c>
      <c r="B97" t="s">
        <v>57</v>
      </c>
      <c r="C97">
        <v>920</v>
      </c>
      <c r="G97" s="1">
        <f t="shared" si="29"/>
        <v>920</v>
      </c>
      <c r="H97" s="2">
        <f t="shared" si="30"/>
        <v>6.3388</v>
      </c>
    </row>
    <row r="98" spans="1:8">
      <c r="A98" t="s">
        <v>68</v>
      </c>
      <c r="B98" t="s">
        <v>57</v>
      </c>
      <c r="C98">
        <v>880</v>
      </c>
      <c r="D98">
        <v>900</v>
      </c>
      <c r="G98" s="1">
        <f t="shared" si="29"/>
        <v>890</v>
      </c>
      <c r="H98" s="2">
        <f t="shared" si="30"/>
        <v>6.1321000000000003</v>
      </c>
    </row>
    <row r="99" spans="1:8" ht="16" thickBot="1">
      <c r="A99" t="s">
        <v>69</v>
      </c>
      <c r="B99" t="s">
        <v>57</v>
      </c>
      <c r="C99">
        <v>900</v>
      </c>
      <c r="D99">
        <v>930</v>
      </c>
      <c r="G99" s="1">
        <f t="shared" si="29"/>
        <v>915</v>
      </c>
      <c r="H99" s="2">
        <f t="shared" si="30"/>
        <v>6.3043500000000003</v>
      </c>
    </row>
    <row r="100" spans="1:8" ht="18">
      <c r="A100" t="s">
        <v>37</v>
      </c>
      <c r="G100" s="1"/>
      <c r="H100" s="3">
        <f>AVERAGE(H90:H99)</f>
        <v>6.4191833333333337</v>
      </c>
    </row>
    <row r="101" spans="1:8" ht="18">
      <c r="A101" t="s">
        <v>38</v>
      </c>
      <c r="G101" s="1"/>
      <c r="H101" s="5">
        <f>STDEV(H90:H99)</f>
        <v>0.8141207321664411</v>
      </c>
    </row>
    <row r="102" spans="1:8" ht="19" thickBot="1">
      <c r="A102" t="s">
        <v>39</v>
      </c>
      <c r="G102" s="1"/>
      <c r="H102" s="6">
        <f>CONFIDENCE(0.05,H101,10)</f>
        <v>0.50458798549291251</v>
      </c>
    </row>
    <row r="103" spans="1:8">
      <c r="G103" s="1"/>
    </row>
    <row r="104" spans="1:8">
      <c r="A104" t="s">
        <v>71</v>
      </c>
      <c r="B104" t="s">
        <v>72</v>
      </c>
      <c r="C104">
        <v>780</v>
      </c>
      <c r="D104">
        <v>820</v>
      </c>
      <c r="E104">
        <v>750</v>
      </c>
      <c r="G104" s="1">
        <f t="shared" ref="G104:G113" si="31">AVERAGE(C104:E104)</f>
        <v>783.33333333333337</v>
      </c>
      <c r="H104" s="2">
        <f>G104*0.00689</f>
        <v>5.3971666666666671</v>
      </c>
    </row>
    <row r="105" spans="1:8">
      <c r="A105" t="s">
        <v>74</v>
      </c>
      <c r="B105" t="s">
        <v>72</v>
      </c>
      <c r="C105">
        <v>1060</v>
      </c>
      <c r="G105" s="1">
        <f t="shared" si="31"/>
        <v>1060</v>
      </c>
      <c r="H105" s="2">
        <f>G105*0.00689</f>
        <v>7.3033999999999999</v>
      </c>
    </row>
    <row r="106" spans="1:8">
      <c r="A106" t="s">
        <v>76</v>
      </c>
      <c r="B106" t="s">
        <v>72</v>
      </c>
      <c r="C106">
        <v>920</v>
      </c>
      <c r="D106">
        <v>1100</v>
      </c>
      <c r="G106" s="1">
        <f t="shared" si="31"/>
        <v>1010</v>
      </c>
      <c r="H106" s="2">
        <f>G106*0.00689</f>
        <v>6.9588999999999999</v>
      </c>
    </row>
    <row r="107" spans="1:8">
      <c r="A107" t="s">
        <v>78</v>
      </c>
      <c r="B107" t="s">
        <v>72</v>
      </c>
      <c r="C107">
        <v>870</v>
      </c>
      <c r="G107" s="1">
        <f t="shared" si="31"/>
        <v>870</v>
      </c>
      <c r="H107" s="2">
        <f>G107*0.00689</f>
        <v>5.9943</v>
      </c>
    </row>
    <row r="108" spans="1:8">
      <c r="A108" t="s">
        <v>80</v>
      </c>
      <c r="B108" t="s">
        <v>72</v>
      </c>
      <c r="C108" t="s">
        <v>16</v>
      </c>
      <c r="G108" s="1" t="e">
        <f t="shared" si="31"/>
        <v>#DIV/0!</v>
      </c>
      <c r="H108" s="2"/>
    </row>
    <row r="109" spans="1:8">
      <c r="A109" t="s">
        <v>81</v>
      </c>
      <c r="B109" t="s">
        <v>72</v>
      </c>
      <c r="C109">
        <v>1070</v>
      </c>
      <c r="D109">
        <v>940</v>
      </c>
      <c r="G109" s="1">
        <f t="shared" si="31"/>
        <v>1005</v>
      </c>
      <c r="H109" s="2">
        <f>G109*0.00689</f>
        <v>6.9244500000000002</v>
      </c>
    </row>
    <row r="110" spans="1:8">
      <c r="A110" t="s">
        <v>82</v>
      </c>
      <c r="B110" t="s">
        <v>72</v>
      </c>
      <c r="C110">
        <v>950</v>
      </c>
      <c r="D110">
        <v>920</v>
      </c>
      <c r="E110">
        <v>930</v>
      </c>
      <c r="G110" s="1">
        <f t="shared" si="31"/>
        <v>933.33333333333337</v>
      </c>
      <c r="H110" s="2">
        <f>G110*0.00689</f>
        <v>6.4306666666666672</v>
      </c>
    </row>
    <row r="111" spans="1:8">
      <c r="A111" t="s">
        <v>83</v>
      </c>
      <c r="B111" t="s">
        <v>72</v>
      </c>
      <c r="C111">
        <v>950</v>
      </c>
      <c r="D111">
        <v>960</v>
      </c>
      <c r="G111" s="1">
        <f t="shared" si="31"/>
        <v>955</v>
      </c>
      <c r="H111" s="2">
        <f>G111*0.00689</f>
        <v>6.5799500000000002</v>
      </c>
    </row>
    <row r="112" spans="1:8">
      <c r="A112" t="s">
        <v>84</v>
      </c>
      <c r="B112" t="s">
        <v>72</v>
      </c>
      <c r="C112">
        <v>1200</v>
      </c>
      <c r="D112">
        <v>1050</v>
      </c>
      <c r="G112" s="1">
        <f t="shared" si="31"/>
        <v>1125</v>
      </c>
      <c r="H112" s="2">
        <f>G112*0.00689</f>
        <v>7.7512500000000006</v>
      </c>
    </row>
    <row r="113" spans="1:8" ht="16" thickBot="1">
      <c r="A113" t="s">
        <v>85</v>
      </c>
      <c r="B113" t="s">
        <v>72</v>
      </c>
      <c r="C113">
        <v>570</v>
      </c>
      <c r="D113">
        <v>610</v>
      </c>
      <c r="G113" s="1">
        <f t="shared" si="31"/>
        <v>590</v>
      </c>
      <c r="H113" s="2">
        <f>G113*0.00689</f>
        <v>4.0651000000000002</v>
      </c>
    </row>
    <row r="114" spans="1:8" ht="18">
      <c r="A114" t="s">
        <v>37</v>
      </c>
      <c r="H114" s="3">
        <f>AVERAGE(H104:H113)</f>
        <v>6.378353703703703</v>
      </c>
    </row>
    <row r="115" spans="1:8" ht="18">
      <c r="A115" t="s">
        <v>38</v>
      </c>
      <c r="H115" s="5">
        <f>STDEV(H104:H113)</f>
        <v>1.1113367917230832</v>
      </c>
    </row>
    <row r="116" spans="1:8" ht="19" thickBot="1">
      <c r="A116" t="s">
        <v>39</v>
      </c>
      <c r="H116" s="6">
        <f>CONFIDENCE(0.05,H115,9)</f>
        <v>0.72606002882384457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Mahall</dc:creator>
  <cp:lastModifiedBy>Bruce Mahall</cp:lastModifiedBy>
  <dcterms:created xsi:type="dcterms:W3CDTF">2017-10-25T21:23:22Z</dcterms:created>
  <dcterms:modified xsi:type="dcterms:W3CDTF">2017-10-25T22:35:26Z</dcterms:modified>
</cp:coreProperties>
</file>