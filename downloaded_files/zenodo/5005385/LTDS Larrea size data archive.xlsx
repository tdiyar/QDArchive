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F45" i="1" l="1"/>
  <c r="CG45" i="1"/>
  <c r="CK45" i="1"/>
  <c r="CF46" i="1"/>
  <c r="CG46" i="1"/>
  <c r="CK46" i="1"/>
  <c r="CF47" i="1"/>
  <c r="CG47" i="1"/>
  <c r="CK47" i="1"/>
  <c r="CF48" i="1"/>
  <c r="CG48" i="1"/>
  <c r="CK48" i="1"/>
  <c r="CF49" i="1"/>
  <c r="CG49" i="1"/>
  <c r="CK49" i="1"/>
  <c r="CF50" i="1"/>
  <c r="CG50" i="1"/>
  <c r="CK50" i="1"/>
  <c r="CF51" i="1"/>
  <c r="CG51" i="1"/>
  <c r="CK51" i="1"/>
  <c r="CF52" i="1"/>
  <c r="CG52" i="1"/>
  <c r="CK52" i="1"/>
  <c r="CF53" i="1"/>
  <c r="CG53" i="1"/>
  <c r="CK53" i="1"/>
  <c r="CF54" i="1"/>
  <c r="CG54" i="1"/>
  <c r="CK54" i="1"/>
  <c r="CK56" i="1"/>
  <c r="CK57" i="1"/>
  <c r="CJ45" i="1"/>
  <c r="CJ46" i="1"/>
  <c r="CJ47" i="1"/>
  <c r="CJ48" i="1"/>
  <c r="CJ49" i="1"/>
  <c r="CJ50" i="1"/>
  <c r="CJ51" i="1"/>
  <c r="CJ52" i="1"/>
  <c r="CJ53" i="1"/>
  <c r="CJ54" i="1"/>
  <c r="CJ56" i="1"/>
  <c r="CJ57" i="1"/>
  <c r="CI45" i="1"/>
  <c r="CI46" i="1"/>
  <c r="CI47" i="1"/>
  <c r="CI48" i="1"/>
  <c r="CI49" i="1"/>
  <c r="CI50" i="1"/>
  <c r="CI51" i="1"/>
  <c r="CI52" i="1"/>
  <c r="CI53" i="1"/>
  <c r="CI54" i="1"/>
  <c r="CI56" i="1"/>
  <c r="CI57" i="1"/>
  <c r="CH45" i="1"/>
  <c r="CH46" i="1"/>
  <c r="CH47" i="1"/>
  <c r="CH48" i="1"/>
  <c r="CH49" i="1"/>
  <c r="CH50" i="1"/>
  <c r="CH51" i="1"/>
  <c r="CH52" i="1"/>
  <c r="CH53" i="1"/>
  <c r="CH54" i="1"/>
  <c r="CH56" i="1"/>
  <c r="CH57" i="1"/>
  <c r="CG56" i="1"/>
  <c r="CG57" i="1"/>
  <c r="CF56" i="1"/>
  <c r="CF57" i="1"/>
  <c r="CE56" i="1"/>
  <c r="CE57" i="1"/>
  <c r="CD56" i="1"/>
  <c r="CD57" i="1"/>
  <c r="CC56" i="1"/>
  <c r="CC57" i="1"/>
  <c r="CB56" i="1"/>
  <c r="CB57" i="1"/>
  <c r="BY45" i="1"/>
  <c r="BZ45" i="1"/>
  <c r="BY46" i="1"/>
  <c r="BZ46" i="1"/>
  <c r="BY47" i="1"/>
  <c r="BZ47" i="1"/>
  <c r="BY48" i="1"/>
  <c r="BZ48" i="1"/>
  <c r="BY49" i="1"/>
  <c r="BZ49" i="1"/>
  <c r="BY50" i="1"/>
  <c r="BZ50" i="1"/>
  <c r="BY51" i="1"/>
  <c r="BZ51" i="1"/>
  <c r="BY52" i="1"/>
  <c r="BZ52" i="1"/>
  <c r="BY53" i="1"/>
  <c r="BZ53" i="1"/>
  <c r="BY54" i="1"/>
  <c r="BZ54" i="1"/>
  <c r="BZ56" i="1"/>
  <c r="BZ57" i="1"/>
  <c r="BY56" i="1"/>
  <c r="BY57" i="1"/>
  <c r="BX56" i="1"/>
  <c r="BX57" i="1"/>
  <c r="BW56" i="1"/>
  <c r="BW57" i="1"/>
  <c r="BV56" i="1"/>
  <c r="BV57" i="1"/>
  <c r="BU56" i="1"/>
  <c r="BU57" i="1"/>
  <c r="BN45" i="1"/>
  <c r="BO45" i="1"/>
  <c r="BS45" i="1"/>
  <c r="BN46" i="1"/>
  <c r="BO46" i="1"/>
  <c r="BS46" i="1"/>
  <c r="BN47" i="1"/>
  <c r="BO47" i="1"/>
  <c r="BS47" i="1"/>
  <c r="BN48" i="1"/>
  <c r="BO48" i="1"/>
  <c r="BS48" i="1"/>
  <c r="BN49" i="1"/>
  <c r="BO49" i="1"/>
  <c r="BS49" i="1"/>
  <c r="BN50" i="1"/>
  <c r="BO50" i="1"/>
  <c r="BS50" i="1"/>
  <c r="BN51" i="1"/>
  <c r="BO51" i="1"/>
  <c r="BS51" i="1"/>
  <c r="BN52" i="1"/>
  <c r="BO52" i="1"/>
  <c r="BS52" i="1"/>
  <c r="BN53" i="1"/>
  <c r="BO53" i="1"/>
  <c r="BS53" i="1"/>
  <c r="BN54" i="1"/>
  <c r="BO54" i="1"/>
  <c r="BS54" i="1"/>
  <c r="BS56" i="1"/>
  <c r="BS57" i="1"/>
  <c r="BR45" i="1"/>
  <c r="BR46" i="1"/>
  <c r="BR47" i="1"/>
  <c r="BR48" i="1"/>
  <c r="BR49" i="1"/>
  <c r="BR50" i="1"/>
  <c r="BR51" i="1"/>
  <c r="BR52" i="1"/>
  <c r="BR53" i="1"/>
  <c r="BR54" i="1"/>
  <c r="BR56" i="1"/>
  <c r="BR57" i="1"/>
  <c r="BQ45" i="1"/>
  <c r="BQ46" i="1"/>
  <c r="BQ47" i="1"/>
  <c r="BQ48" i="1"/>
  <c r="BQ49" i="1"/>
  <c r="BQ50" i="1"/>
  <c r="BQ51" i="1"/>
  <c r="BQ52" i="1"/>
  <c r="BQ53" i="1"/>
  <c r="BQ54" i="1"/>
  <c r="BQ56" i="1"/>
  <c r="BQ57" i="1"/>
  <c r="BP45" i="1"/>
  <c r="BP46" i="1"/>
  <c r="BP47" i="1"/>
  <c r="BP48" i="1"/>
  <c r="BP49" i="1"/>
  <c r="BP50" i="1"/>
  <c r="BP51" i="1"/>
  <c r="BP52" i="1"/>
  <c r="BP53" i="1"/>
  <c r="BP54" i="1"/>
  <c r="BP56" i="1"/>
  <c r="BP57" i="1"/>
  <c r="BO56" i="1"/>
  <c r="BO57" i="1"/>
  <c r="BN56" i="1"/>
  <c r="BN57" i="1"/>
  <c r="BM56" i="1"/>
  <c r="BM57" i="1"/>
  <c r="BL56" i="1"/>
  <c r="BL57" i="1"/>
  <c r="BK56" i="1"/>
  <c r="BK57" i="1"/>
  <c r="BJ56" i="1"/>
  <c r="BJ57" i="1"/>
  <c r="BA45" i="1"/>
  <c r="BD45" i="1"/>
  <c r="BH45" i="1"/>
  <c r="BA46" i="1"/>
  <c r="BD46" i="1"/>
  <c r="BH46" i="1"/>
  <c r="BA47" i="1"/>
  <c r="BD47" i="1"/>
  <c r="BH47" i="1"/>
  <c r="BA48" i="1"/>
  <c r="BD48" i="1"/>
  <c r="BH48" i="1"/>
  <c r="BA49" i="1"/>
  <c r="BD49" i="1"/>
  <c r="BH49" i="1"/>
  <c r="BA50" i="1"/>
  <c r="BD50" i="1"/>
  <c r="BH50" i="1"/>
  <c r="BA51" i="1"/>
  <c r="BD51" i="1"/>
  <c r="BH51" i="1"/>
  <c r="BA52" i="1"/>
  <c r="BD52" i="1"/>
  <c r="BH52" i="1"/>
  <c r="BA53" i="1"/>
  <c r="BD53" i="1"/>
  <c r="BH53" i="1"/>
  <c r="BA54" i="1"/>
  <c r="BD54" i="1"/>
  <c r="BH54" i="1"/>
  <c r="BH56" i="1"/>
  <c r="BH57" i="1"/>
  <c r="BG45" i="1"/>
  <c r="BG46" i="1"/>
  <c r="BG47" i="1"/>
  <c r="BG48" i="1"/>
  <c r="BG49" i="1"/>
  <c r="BG50" i="1"/>
  <c r="BG51" i="1"/>
  <c r="BG52" i="1"/>
  <c r="BG53" i="1"/>
  <c r="BG54" i="1"/>
  <c r="BG56" i="1"/>
  <c r="BG57" i="1"/>
  <c r="BF45" i="1"/>
  <c r="BF46" i="1"/>
  <c r="BF47" i="1"/>
  <c r="BF48" i="1"/>
  <c r="BF49" i="1"/>
  <c r="BF50" i="1"/>
  <c r="BF51" i="1"/>
  <c r="BF52" i="1"/>
  <c r="BF53" i="1"/>
  <c r="BF54" i="1"/>
  <c r="BF56" i="1"/>
  <c r="BF57" i="1"/>
  <c r="BE45" i="1"/>
  <c r="BE46" i="1"/>
  <c r="BE47" i="1"/>
  <c r="BE48" i="1"/>
  <c r="BE49" i="1"/>
  <c r="BE50" i="1"/>
  <c r="BE51" i="1"/>
  <c r="BE52" i="1"/>
  <c r="BE53" i="1"/>
  <c r="BE54" i="1"/>
  <c r="BE56" i="1"/>
  <c r="BE57" i="1"/>
  <c r="BD56" i="1"/>
  <c r="BD57" i="1"/>
  <c r="Q45" i="1"/>
  <c r="BC45" i="1"/>
  <c r="Q46" i="1"/>
  <c r="BC46" i="1"/>
  <c r="Q47" i="1"/>
  <c r="BC47" i="1"/>
  <c r="Q48" i="1"/>
  <c r="BC48" i="1"/>
  <c r="Q49" i="1"/>
  <c r="BC49" i="1"/>
  <c r="Q50" i="1"/>
  <c r="BC50" i="1"/>
  <c r="Q51" i="1"/>
  <c r="BC51" i="1"/>
  <c r="Q52" i="1"/>
  <c r="BC52" i="1"/>
  <c r="Q53" i="1"/>
  <c r="BC53" i="1"/>
  <c r="Q54" i="1"/>
  <c r="BC54" i="1"/>
  <c r="BC56" i="1"/>
  <c r="BC57" i="1"/>
  <c r="AO45" i="1"/>
  <c r="BB45" i="1"/>
  <c r="AO46" i="1"/>
  <c r="BB46" i="1"/>
  <c r="AO47" i="1"/>
  <c r="BB47" i="1"/>
  <c r="AO48" i="1"/>
  <c r="BB48" i="1"/>
  <c r="AO49" i="1"/>
  <c r="BB49" i="1"/>
  <c r="AO50" i="1"/>
  <c r="BB50" i="1"/>
  <c r="AO51" i="1"/>
  <c r="BB51" i="1"/>
  <c r="AO52" i="1"/>
  <c r="BB52" i="1"/>
  <c r="AO53" i="1"/>
  <c r="BB53" i="1"/>
  <c r="AO54" i="1"/>
  <c r="BB54" i="1"/>
  <c r="BB56" i="1"/>
  <c r="BB57" i="1"/>
  <c r="BA56" i="1"/>
  <c r="BA57" i="1"/>
  <c r="AZ56" i="1"/>
  <c r="AZ57" i="1"/>
  <c r="AY56" i="1"/>
  <c r="AY57" i="1"/>
  <c r="AX56" i="1"/>
  <c r="AX57" i="1"/>
  <c r="AW56" i="1"/>
  <c r="AW57" i="1"/>
  <c r="AQ45" i="1"/>
  <c r="AU45" i="1"/>
  <c r="AQ46" i="1"/>
  <c r="AU46" i="1"/>
  <c r="AQ47" i="1"/>
  <c r="AU47" i="1"/>
  <c r="AQ48" i="1"/>
  <c r="AU48" i="1"/>
  <c r="AQ49" i="1"/>
  <c r="AU49" i="1"/>
  <c r="AQ50" i="1"/>
  <c r="AU50" i="1"/>
  <c r="AQ51" i="1"/>
  <c r="AU51" i="1"/>
  <c r="AQ52" i="1"/>
  <c r="AU52" i="1"/>
  <c r="AQ53" i="1"/>
  <c r="AU53" i="1"/>
  <c r="AQ54" i="1"/>
  <c r="AU54" i="1"/>
  <c r="AU56" i="1"/>
  <c r="AU57" i="1"/>
  <c r="AT45" i="1"/>
  <c r="AT46" i="1"/>
  <c r="AT47" i="1"/>
  <c r="AT48" i="1"/>
  <c r="AT49" i="1"/>
  <c r="AT50" i="1"/>
  <c r="AT51" i="1"/>
  <c r="AT52" i="1"/>
  <c r="AT53" i="1"/>
  <c r="AT54" i="1"/>
  <c r="AT56" i="1"/>
  <c r="AT57" i="1"/>
  <c r="AS45" i="1"/>
  <c r="AS46" i="1"/>
  <c r="AS47" i="1"/>
  <c r="AS48" i="1"/>
  <c r="AS49" i="1"/>
  <c r="AS50" i="1"/>
  <c r="AS51" i="1"/>
  <c r="AS52" i="1"/>
  <c r="AS53" i="1"/>
  <c r="AS54" i="1"/>
  <c r="AS56" i="1"/>
  <c r="AS57" i="1"/>
  <c r="AR45" i="1"/>
  <c r="AR46" i="1"/>
  <c r="AR47" i="1"/>
  <c r="AR48" i="1"/>
  <c r="AR49" i="1"/>
  <c r="AR50" i="1"/>
  <c r="AR51" i="1"/>
  <c r="AR52" i="1"/>
  <c r="AR53" i="1"/>
  <c r="AR54" i="1"/>
  <c r="AR56" i="1"/>
  <c r="AR57" i="1"/>
  <c r="AQ56" i="1"/>
  <c r="AQ57" i="1"/>
  <c r="AC45" i="1"/>
  <c r="AP45" i="1"/>
  <c r="AC46" i="1"/>
  <c r="AP46" i="1"/>
  <c r="AC47" i="1"/>
  <c r="AP47" i="1"/>
  <c r="AC48" i="1"/>
  <c r="AP48" i="1"/>
  <c r="AC49" i="1"/>
  <c r="AP49" i="1"/>
  <c r="AC50" i="1"/>
  <c r="AP50" i="1"/>
  <c r="AC51" i="1"/>
  <c r="AP51" i="1"/>
  <c r="AC52" i="1"/>
  <c r="AP52" i="1"/>
  <c r="AC53" i="1"/>
  <c r="AP53" i="1"/>
  <c r="AC54" i="1"/>
  <c r="AP54" i="1"/>
  <c r="AP56" i="1"/>
  <c r="AP57" i="1"/>
  <c r="AO56" i="1"/>
  <c r="AO57" i="1"/>
  <c r="AN56" i="1"/>
  <c r="AN57" i="1"/>
  <c r="AM56" i="1"/>
  <c r="AM57" i="1"/>
  <c r="AL56" i="1"/>
  <c r="AL57" i="1"/>
  <c r="AK56" i="1"/>
  <c r="AK57" i="1"/>
  <c r="AE45" i="1"/>
  <c r="AI45" i="1"/>
  <c r="AE46" i="1"/>
  <c r="AI46" i="1"/>
  <c r="AE47" i="1"/>
  <c r="AI47" i="1"/>
  <c r="AE48" i="1"/>
  <c r="AI48" i="1"/>
  <c r="AE49" i="1"/>
  <c r="AI49" i="1"/>
  <c r="AE50" i="1"/>
  <c r="AI50" i="1"/>
  <c r="AE51" i="1"/>
  <c r="AI51" i="1"/>
  <c r="AE52" i="1"/>
  <c r="AI52" i="1"/>
  <c r="AE53" i="1"/>
  <c r="AI53" i="1"/>
  <c r="AE54" i="1"/>
  <c r="AI54" i="1"/>
  <c r="AI56" i="1"/>
  <c r="AI57" i="1"/>
  <c r="AH45" i="1"/>
  <c r="AH46" i="1"/>
  <c r="AH47" i="1"/>
  <c r="AH48" i="1"/>
  <c r="AH49" i="1"/>
  <c r="AH50" i="1"/>
  <c r="AH51" i="1"/>
  <c r="AH52" i="1"/>
  <c r="AH53" i="1"/>
  <c r="AH54" i="1"/>
  <c r="AH56" i="1"/>
  <c r="AH57" i="1"/>
  <c r="AG45" i="1"/>
  <c r="AG46" i="1"/>
  <c r="AG47" i="1"/>
  <c r="AG48" i="1"/>
  <c r="AG49" i="1"/>
  <c r="AG50" i="1"/>
  <c r="AG51" i="1"/>
  <c r="AG52" i="1"/>
  <c r="AG53" i="1"/>
  <c r="AG54" i="1"/>
  <c r="AG56" i="1"/>
  <c r="AG57" i="1"/>
  <c r="AF45" i="1"/>
  <c r="AF46" i="1"/>
  <c r="AF47" i="1"/>
  <c r="AF48" i="1"/>
  <c r="AF49" i="1"/>
  <c r="AF50" i="1"/>
  <c r="AF51" i="1"/>
  <c r="AF52" i="1"/>
  <c r="AF53" i="1"/>
  <c r="AF54" i="1"/>
  <c r="AF56" i="1"/>
  <c r="AF57" i="1"/>
  <c r="AE56" i="1"/>
  <c r="AE57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C56" i="1"/>
  <c r="AC57" i="1"/>
  <c r="AB56" i="1"/>
  <c r="AB57" i="1"/>
  <c r="AA56" i="1"/>
  <c r="AA57" i="1"/>
  <c r="Z56" i="1"/>
  <c r="Z57" i="1"/>
  <c r="Y56" i="1"/>
  <c r="Y57" i="1"/>
  <c r="S45" i="1"/>
  <c r="W45" i="1"/>
  <c r="S46" i="1"/>
  <c r="W46" i="1"/>
  <c r="S47" i="1"/>
  <c r="W47" i="1"/>
  <c r="S48" i="1"/>
  <c r="W48" i="1"/>
  <c r="S49" i="1"/>
  <c r="W49" i="1"/>
  <c r="S50" i="1"/>
  <c r="W50" i="1"/>
  <c r="S51" i="1"/>
  <c r="W51" i="1"/>
  <c r="S52" i="1"/>
  <c r="W52" i="1"/>
  <c r="S53" i="1"/>
  <c r="W53" i="1"/>
  <c r="S54" i="1"/>
  <c r="W54" i="1"/>
  <c r="W56" i="1"/>
  <c r="W57" i="1"/>
  <c r="V45" i="1"/>
  <c r="V46" i="1"/>
  <c r="V47" i="1"/>
  <c r="V48" i="1"/>
  <c r="V49" i="1"/>
  <c r="V50" i="1"/>
  <c r="V51" i="1"/>
  <c r="V52" i="1"/>
  <c r="V53" i="1"/>
  <c r="V54" i="1"/>
  <c r="V56" i="1"/>
  <c r="V57" i="1"/>
  <c r="U45" i="1"/>
  <c r="U46" i="1"/>
  <c r="U47" i="1"/>
  <c r="U48" i="1"/>
  <c r="U49" i="1"/>
  <c r="U50" i="1"/>
  <c r="U51" i="1"/>
  <c r="U52" i="1"/>
  <c r="U53" i="1"/>
  <c r="U54" i="1"/>
  <c r="U56" i="1"/>
  <c r="U57" i="1"/>
  <c r="T45" i="1"/>
  <c r="T46" i="1"/>
  <c r="T47" i="1"/>
  <c r="T48" i="1"/>
  <c r="T49" i="1"/>
  <c r="T50" i="1"/>
  <c r="T51" i="1"/>
  <c r="T52" i="1"/>
  <c r="T53" i="1"/>
  <c r="T54" i="1"/>
  <c r="T56" i="1"/>
  <c r="T57" i="1"/>
  <c r="S56" i="1"/>
  <c r="S57" i="1"/>
  <c r="F45" i="1"/>
  <c r="R45" i="1"/>
  <c r="F46" i="1"/>
  <c r="R46" i="1"/>
  <c r="F47" i="1"/>
  <c r="R47" i="1"/>
  <c r="F48" i="1"/>
  <c r="R48" i="1"/>
  <c r="F49" i="1"/>
  <c r="R49" i="1"/>
  <c r="F50" i="1"/>
  <c r="R50" i="1"/>
  <c r="F51" i="1"/>
  <c r="R51" i="1"/>
  <c r="F52" i="1"/>
  <c r="R52" i="1"/>
  <c r="F53" i="1"/>
  <c r="R53" i="1"/>
  <c r="F54" i="1"/>
  <c r="R54" i="1"/>
  <c r="R56" i="1"/>
  <c r="R57" i="1"/>
  <c r="Q56" i="1"/>
  <c r="Q57" i="1"/>
  <c r="P56" i="1"/>
  <c r="P57" i="1"/>
  <c r="O56" i="1"/>
  <c r="O57" i="1"/>
  <c r="N56" i="1"/>
  <c r="N57" i="1"/>
  <c r="M56" i="1"/>
  <c r="M57" i="1"/>
  <c r="G45" i="1"/>
  <c r="K45" i="1"/>
  <c r="G46" i="1"/>
  <c r="K46" i="1"/>
  <c r="G47" i="1"/>
  <c r="K47" i="1"/>
  <c r="G48" i="1"/>
  <c r="K48" i="1"/>
  <c r="G49" i="1"/>
  <c r="K49" i="1"/>
  <c r="G50" i="1"/>
  <c r="K50" i="1"/>
  <c r="G51" i="1"/>
  <c r="K51" i="1"/>
  <c r="G52" i="1"/>
  <c r="K52" i="1"/>
  <c r="G53" i="1"/>
  <c r="K53" i="1"/>
  <c r="G54" i="1"/>
  <c r="K54" i="1"/>
  <c r="K56" i="1"/>
  <c r="K57" i="1"/>
  <c r="J45" i="1"/>
  <c r="J46" i="1"/>
  <c r="J47" i="1"/>
  <c r="J48" i="1"/>
  <c r="J49" i="1"/>
  <c r="J50" i="1"/>
  <c r="J51" i="1"/>
  <c r="J52" i="1"/>
  <c r="J53" i="1"/>
  <c r="J54" i="1"/>
  <c r="J56" i="1"/>
  <c r="J57" i="1"/>
  <c r="I45" i="1"/>
  <c r="I46" i="1"/>
  <c r="I47" i="1"/>
  <c r="I48" i="1"/>
  <c r="I49" i="1"/>
  <c r="I50" i="1"/>
  <c r="I51" i="1"/>
  <c r="I52" i="1"/>
  <c r="I53" i="1"/>
  <c r="I54" i="1"/>
  <c r="I56" i="1"/>
  <c r="I57" i="1"/>
  <c r="H45" i="1"/>
  <c r="H46" i="1"/>
  <c r="H47" i="1"/>
  <c r="H48" i="1"/>
  <c r="H49" i="1"/>
  <c r="H50" i="1"/>
  <c r="H51" i="1"/>
  <c r="H52" i="1"/>
  <c r="H53" i="1"/>
  <c r="H54" i="1"/>
  <c r="H56" i="1"/>
  <c r="H57" i="1"/>
  <c r="G56" i="1"/>
  <c r="G57" i="1"/>
  <c r="F56" i="1"/>
  <c r="F57" i="1"/>
  <c r="E56" i="1"/>
  <c r="E57" i="1"/>
  <c r="D56" i="1"/>
  <c r="D57" i="1"/>
  <c r="C56" i="1"/>
  <c r="C57" i="1"/>
  <c r="B56" i="1"/>
  <c r="B57" i="1"/>
  <c r="CK55" i="1"/>
  <c r="CJ55" i="1"/>
  <c r="CI55" i="1"/>
  <c r="CH55" i="1"/>
  <c r="CG55" i="1"/>
  <c r="CF55" i="1"/>
  <c r="CE55" i="1"/>
  <c r="CD55" i="1"/>
  <c r="CC55" i="1"/>
  <c r="CB55" i="1"/>
  <c r="BZ55" i="1"/>
  <c r="BY55" i="1"/>
  <c r="BX55" i="1"/>
  <c r="BW55" i="1"/>
  <c r="BV55" i="1"/>
  <c r="BU55" i="1"/>
  <c r="BS55" i="1"/>
  <c r="BR55" i="1"/>
  <c r="BQ55" i="1"/>
  <c r="BP55" i="1"/>
  <c r="BO55" i="1"/>
  <c r="BN55" i="1"/>
  <c r="BM55" i="1"/>
  <c r="BL55" i="1"/>
  <c r="BK55" i="1"/>
  <c r="BJ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U55" i="1"/>
  <c r="AT55" i="1"/>
  <c r="AS55" i="1"/>
  <c r="AR55" i="1"/>
  <c r="AQ55" i="1"/>
  <c r="AP55" i="1"/>
  <c r="AO55" i="1"/>
  <c r="AN55" i="1"/>
  <c r="AM55" i="1"/>
  <c r="AL55" i="1"/>
  <c r="AK55" i="1"/>
  <c r="AI55" i="1"/>
  <c r="AH55" i="1"/>
  <c r="AG55" i="1"/>
  <c r="AF55" i="1"/>
  <c r="AE55" i="1"/>
  <c r="AD55" i="1"/>
  <c r="AC55" i="1"/>
  <c r="AB55" i="1"/>
  <c r="AA55" i="1"/>
  <c r="Z55" i="1"/>
  <c r="Y55" i="1"/>
  <c r="W55" i="1"/>
  <c r="V55" i="1"/>
  <c r="U55" i="1"/>
  <c r="T55" i="1"/>
  <c r="S55" i="1"/>
  <c r="R55" i="1"/>
  <c r="Q55" i="1"/>
  <c r="P55" i="1"/>
  <c r="O55" i="1"/>
  <c r="N55" i="1"/>
  <c r="M55" i="1"/>
  <c r="K55" i="1"/>
  <c r="J55" i="1"/>
  <c r="I55" i="1"/>
  <c r="H55" i="1"/>
  <c r="G55" i="1"/>
  <c r="F55" i="1"/>
  <c r="E55" i="1"/>
  <c r="D55" i="1"/>
  <c r="C55" i="1"/>
  <c r="B55" i="1"/>
  <c r="CF31" i="1"/>
  <c r="CG31" i="1"/>
  <c r="CK31" i="1"/>
  <c r="CF32" i="1"/>
  <c r="CG32" i="1"/>
  <c r="CK32" i="1"/>
  <c r="CF33" i="1"/>
  <c r="CG33" i="1"/>
  <c r="CK33" i="1"/>
  <c r="CF34" i="1"/>
  <c r="CG34" i="1"/>
  <c r="CK34" i="1"/>
  <c r="CF35" i="1"/>
  <c r="CG35" i="1"/>
  <c r="CK35" i="1"/>
  <c r="CF36" i="1"/>
  <c r="CG36" i="1"/>
  <c r="CK36" i="1"/>
  <c r="CF37" i="1"/>
  <c r="CG37" i="1"/>
  <c r="CK37" i="1"/>
  <c r="CF38" i="1"/>
  <c r="CG38" i="1"/>
  <c r="CK38" i="1"/>
  <c r="CF39" i="1"/>
  <c r="CG39" i="1"/>
  <c r="CK39" i="1"/>
  <c r="CF40" i="1"/>
  <c r="CG40" i="1"/>
  <c r="CK40" i="1"/>
  <c r="CK42" i="1"/>
  <c r="CK43" i="1"/>
  <c r="CJ31" i="1"/>
  <c r="CJ32" i="1"/>
  <c r="CJ33" i="1"/>
  <c r="CJ34" i="1"/>
  <c r="CJ35" i="1"/>
  <c r="CJ36" i="1"/>
  <c r="CJ37" i="1"/>
  <c r="CJ38" i="1"/>
  <c r="CJ39" i="1"/>
  <c r="CJ40" i="1"/>
  <c r="CJ42" i="1"/>
  <c r="CJ43" i="1"/>
  <c r="CI31" i="1"/>
  <c r="CI32" i="1"/>
  <c r="CI33" i="1"/>
  <c r="CI34" i="1"/>
  <c r="CI35" i="1"/>
  <c r="CI36" i="1"/>
  <c r="CI37" i="1"/>
  <c r="CI38" i="1"/>
  <c r="CI39" i="1"/>
  <c r="CI40" i="1"/>
  <c r="CI42" i="1"/>
  <c r="CI43" i="1"/>
  <c r="CH31" i="1"/>
  <c r="CH32" i="1"/>
  <c r="CH33" i="1"/>
  <c r="CH34" i="1"/>
  <c r="CH35" i="1"/>
  <c r="CH36" i="1"/>
  <c r="CH37" i="1"/>
  <c r="CH38" i="1"/>
  <c r="CH39" i="1"/>
  <c r="CH40" i="1"/>
  <c r="CH42" i="1"/>
  <c r="CH43" i="1"/>
  <c r="CG42" i="1"/>
  <c r="CG43" i="1"/>
  <c r="CF42" i="1"/>
  <c r="CF43" i="1"/>
  <c r="CE42" i="1"/>
  <c r="CE43" i="1"/>
  <c r="CD42" i="1"/>
  <c r="CD43" i="1"/>
  <c r="CC42" i="1"/>
  <c r="CC43" i="1"/>
  <c r="CB42" i="1"/>
  <c r="CB43" i="1"/>
  <c r="BY31" i="1"/>
  <c r="BZ31" i="1"/>
  <c r="BY32" i="1"/>
  <c r="BZ32" i="1"/>
  <c r="BY33" i="1"/>
  <c r="BZ33" i="1"/>
  <c r="BY34" i="1"/>
  <c r="BZ34" i="1"/>
  <c r="BY35" i="1"/>
  <c r="BZ35" i="1"/>
  <c r="BY36" i="1"/>
  <c r="BZ36" i="1"/>
  <c r="BY37" i="1"/>
  <c r="BZ37" i="1"/>
  <c r="BY38" i="1"/>
  <c r="BZ38" i="1"/>
  <c r="BY39" i="1"/>
  <c r="BZ39" i="1"/>
  <c r="BY40" i="1"/>
  <c r="BZ40" i="1"/>
  <c r="BZ42" i="1"/>
  <c r="BZ43" i="1"/>
  <c r="BY42" i="1"/>
  <c r="BY43" i="1"/>
  <c r="BX42" i="1"/>
  <c r="BX43" i="1"/>
  <c r="BW42" i="1"/>
  <c r="BW43" i="1"/>
  <c r="BV42" i="1"/>
  <c r="BV43" i="1"/>
  <c r="BU42" i="1"/>
  <c r="BU43" i="1"/>
  <c r="BN31" i="1"/>
  <c r="BO31" i="1"/>
  <c r="BS31" i="1"/>
  <c r="BN32" i="1"/>
  <c r="BO32" i="1"/>
  <c r="BS32" i="1"/>
  <c r="BN33" i="1"/>
  <c r="BO33" i="1"/>
  <c r="BS33" i="1"/>
  <c r="BN34" i="1"/>
  <c r="BO34" i="1"/>
  <c r="BS34" i="1"/>
  <c r="BN35" i="1"/>
  <c r="BO35" i="1"/>
  <c r="BS35" i="1"/>
  <c r="BN36" i="1"/>
  <c r="BO36" i="1"/>
  <c r="BS36" i="1"/>
  <c r="BN37" i="1"/>
  <c r="BO37" i="1"/>
  <c r="BS37" i="1"/>
  <c r="BN38" i="1"/>
  <c r="BO38" i="1"/>
  <c r="BS38" i="1"/>
  <c r="BN39" i="1"/>
  <c r="BO39" i="1"/>
  <c r="BS39" i="1"/>
  <c r="BN40" i="1"/>
  <c r="BO40" i="1"/>
  <c r="BS40" i="1"/>
  <c r="BS42" i="1"/>
  <c r="BS43" i="1"/>
  <c r="BR31" i="1"/>
  <c r="BR32" i="1"/>
  <c r="BR33" i="1"/>
  <c r="BR34" i="1"/>
  <c r="BR35" i="1"/>
  <c r="BR36" i="1"/>
  <c r="BR37" i="1"/>
  <c r="BR38" i="1"/>
  <c r="BR39" i="1"/>
  <c r="BR40" i="1"/>
  <c r="BR42" i="1"/>
  <c r="BR43" i="1"/>
  <c r="BQ31" i="1"/>
  <c r="BQ32" i="1"/>
  <c r="BQ33" i="1"/>
  <c r="BQ34" i="1"/>
  <c r="BQ35" i="1"/>
  <c r="BQ36" i="1"/>
  <c r="BQ37" i="1"/>
  <c r="BQ38" i="1"/>
  <c r="BQ39" i="1"/>
  <c r="BQ40" i="1"/>
  <c r="BQ42" i="1"/>
  <c r="BQ43" i="1"/>
  <c r="BP31" i="1"/>
  <c r="BP32" i="1"/>
  <c r="BP33" i="1"/>
  <c r="BP34" i="1"/>
  <c r="BP35" i="1"/>
  <c r="BP36" i="1"/>
  <c r="BP37" i="1"/>
  <c r="BP38" i="1"/>
  <c r="BP39" i="1"/>
  <c r="BP40" i="1"/>
  <c r="BP42" i="1"/>
  <c r="BP43" i="1"/>
  <c r="BO42" i="1"/>
  <c r="BO43" i="1"/>
  <c r="BN42" i="1"/>
  <c r="BN43" i="1"/>
  <c r="BM42" i="1"/>
  <c r="BM43" i="1"/>
  <c r="BL42" i="1"/>
  <c r="BL43" i="1"/>
  <c r="BK42" i="1"/>
  <c r="BK43" i="1"/>
  <c r="BJ42" i="1"/>
  <c r="BJ43" i="1"/>
  <c r="BA31" i="1"/>
  <c r="BD31" i="1"/>
  <c r="BH31" i="1"/>
  <c r="BA32" i="1"/>
  <c r="BD32" i="1"/>
  <c r="BH32" i="1"/>
  <c r="BA33" i="1"/>
  <c r="BD33" i="1"/>
  <c r="BH33" i="1"/>
  <c r="BA34" i="1"/>
  <c r="BD34" i="1"/>
  <c r="BH34" i="1"/>
  <c r="BA35" i="1"/>
  <c r="BD35" i="1"/>
  <c r="BH35" i="1"/>
  <c r="BA36" i="1"/>
  <c r="BD36" i="1"/>
  <c r="BH36" i="1"/>
  <c r="BA37" i="1"/>
  <c r="BD37" i="1"/>
  <c r="BH37" i="1"/>
  <c r="BA38" i="1"/>
  <c r="BD38" i="1"/>
  <c r="BH38" i="1"/>
  <c r="BA39" i="1"/>
  <c r="BD39" i="1"/>
  <c r="BH39" i="1"/>
  <c r="BA40" i="1"/>
  <c r="BD40" i="1"/>
  <c r="BH40" i="1"/>
  <c r="BH42" i="1"/>
  <c r="BH43" i="1"/>
  <c r="BG31" i="1"/>
  <c r="BG32" i="1"/>
  <c r="BG33" i="1"/>
  <c r="BG34" i="1"/>
  <c r="BG35" i="1"/>
  <c r="BG36" i="1"/>
  <c r="BG37" i="1"/>
  <c r="BG38" i="1"/>
  <c r="BG39" i="1"/>
  <c r="BG40" i="1"/>
  <c r="BG42" i="1"/>
  <c r="BG43" i="1"/>
  <c r="BF31" i="1"/>
  <c r="BF32" i="1"/>
  <c r="BF33" i="1"/>
  <c r="BF34" i="1"/>
  <c r="BF35" i="1"/>
  <c r="BF36" i="1"/>
  <c r="BF37" i="1"/>
  <c r="BF38" i="1"/>
  <c r="BF39" i="1"/>
  <c r="BF40" i="1"/>
  <c r="BF42" i="1"/>
  <c r="BF43" i="1"/>
  <c r="BE31" i="1"/>
  <c r="BE32" i="1"/>
  <c r="BE33" i="1"/>
  <c r="BE34" i="1"/>
  <c r="BE35" i="1"/>
  <c r="BE36" i="1"/>
  <c r="BE37" i="1"/>
  <c r="BE38" i="1"/>
  <c r="BE39" i="1"/>
  <c r="BE40" i="1"/>
  <c r="BE42" i="1"/>
  <c r="BE43" i="1"/>
  <c r="BD42" i="1"/>
  <c r="BD43" i="1"/>
  <c r="Q31" i="1"/>
  <c r="BC31" i="1"/>
  <c r="Q32" i="1"/>
  <c r="BC32" i="1"/>
  <c r="Q33" i="1"/>
  <c r="BC33" i="1"/>
  <c r="Q34" i="1"/>
  <c r="BC34" i="1"/>
  <c r="Q35" i="1"/>
  <c r="BC35" i="1"/>
  <c r="Q36" i="1"/>
  <c r="BC36" i="1"/>
  <c r="Q37" i="1"/>
  <c r="BC37" i="1"/>
  <c r="Q38" i="1"/>
  <c r="BC38" i="1"/>
  <c r="Q39" i="1"/>
  <c r="BC39" i="1"/>
  <c r="Q40" i="1"/>
  <c r="BC40" i="1"/>
  <c r="BC42" i="1"/>
  <c r="BC43" i="1"/>
  <c r="AO31" i="1"/>
  <c r="BB31" i="1"/>
  <c r="AO32" i="1"/>
  <c r="BB32" i="1"/>
  <c r="AO33" i="1"/>
  <c r="BB33" i="1"/>
  <c r="AO34" i="1"/>
  <c r="BB34" i="1"/>
  <c r="AO35" i="1"/>
  <c r="BB35" i="1"/>
  <c r="AO36" i="1"/>
  <c r="BB36" i="1"/>
  <c r="AO37" i="1"/>
  <c r="BB37" i="1"/>
  <c r="AO38" i="1"/>
  <c r="BB38" i="1"/>
  <c r="AO39" i="1"/>
  <c r="BB39" i="1"/>
  <c r="AO40" i="1"/>
  <c r="BB40" i="1"/>
  <c r="BB42" i="1"/>
  <c r="BB43" i="1"/>
  <c r="BA42" i="1"/>
  <c r="BA43" i="1"/>
  <c r="AZ42" i="1"/>
  <c r="AZ43" i="1"/>
  <c r="AY42" i="1"/>
  <c r="AY43" i="1"/>
  <c r="AX42" i="1"/>
  <c r="AX43" i="1"/>
  <c r="AW42" i="1"/>
  <c r="AW43" i="1"/>
  <c r="AQ31" i="1"/>
  <c r="AU31" i="1"/>
  <c r="AQ32" i="1"/>
  <c r="AU32" i="1"/>
  <c r="AQ33" i="1"/>
  <c r="AU33" i="1"/>
  <c r="AQ34" i="1"/>
  <c r="AU34" i="1"/>
  <c r="AQ35" i="1"/>
  <c r="AU35" i="1"/>
  <c r="AQ36" i="1"/>
  <c r="AU36" i="1"/>
  <c r="AQ37" i="1"/>
  <c r="AU37" i="1"/>
  <c r="AQ38" i="1"/>
  <c r="AU38" i="1"/>
  <c r="AQ39" i="1"/>
  <c r="AU39" i="1"/>
  <c r="AQ40" i="1"/>
  <c r="AU40" i="1"/>
  <c r="AU42" i="1"/>
  <c r="AU43" i="1"/>
  <c r="AT31" i="1"/>
  <c r="AT32" i="1"/>
  <c r="AT33" i="1"/>
  <c r="AT34" i="1"/>
  <c r="AT35" i="1"/>
  <c r="AT36" i="1"/>
  <c r="AT37" i="1"/>
  <c r="AT38" i="1"/>
  <c r="AT39" i="1"/>
  <c r="AT40" i="1"/>
  <c r="AT42" i="1"/>
  <c r="AT43" i="1"/>
  <c r="AS31" i="1"/>
  <c r="AS32" i="1"/>
  <c r="AS33" i="1"/>
  <c r="AS34" i="1"/>
  <c r="AS35" i="1"/>
  <c r="AS36" i="1"/>
  <c r="AS37" i="1"/>
  <c r="AS38" i="1"/>
  <c r="AS39" i="1"/>
  <c r="AS40" i="1"/>
  <c r="AS42" i="1"/>
  <c r="AS43" i="1"/>
  <c r="AR31" i="1"/>
  <c r="AR32" i="1"/>
  <c r="AR33" i="1"/>
  <c r="AR34" i="1"/>
  <c r="AR35" i="1"/>
  <c r="AR36" i="1"/>
  <c r="AR37" i="1"/>
  <c r="AR38" i="1"/>
  <c r="AR39" i="1"/>
  <c r="AR40" i="1"/>
  <c r="AR42" i="1"/>
  <c r="AR43" i="1"/>
  <c r="AQ42" i="1"/>
  <c r="AQ43" i="1"/>
  <c r="AC31" i="1"/>
  <c r="AP31" i="1"/>
  <c r="AC32" i="1"/>
  <c r="AP32" i="1"/>
  <c r="AC33" i="1"/>
  <c r="AP33" i="1"/>
  <c r="AC34" i="1"/>
  <c r="AP34" i="1"/>
  <c r="AC35" i="1"/>
  <c r="AP35" i="1"/>
  <c r="AC36" i="1"/>
  <c r="AP36" i="1"/>
  <c r="AC37" i="1"/>
  <c r="AP37" i="1"/>
  <c r="AC38" i="1"/>
  <c r="AP38" i="1"/>
  <c r="AC39" i="1"/>
  <c r="AP39" i="1"/>
  <c r="AC40" i="1"/>
  <c r="AP40" i="1"/>
  <c r="AP42" i="1"/>
  <c r="AP43" i="1"/>
  <c r="AO42" i="1"/>
  <c r="AO43" i="1"/>
  <c r="AN42" i="1"/>
  <c r="AN43" i="1"/>
  <c r="AM42" i="1"/>
  <c r="AM43" i="1"/>
  <c r="AL42" i="1"/>
  <c r="AL43" i="1"/>
  <c r="AK42" i="1"/>
  <c r="AK43" i="1"/>
  <c r="AE31" i="1"/>
  <c r="AI31" i="1"/>
  <c r="AE32" i="1"/>
  <c r="AI32" i="1"/>
  <c r="AE33" i="1"/>
  <c r="AI33" i="1"/>
  <c r="AE34" i="1"/>
  <c r="AI34" i="1"/>
  <c r="AE35" i="1"/>
  <c r="AI35" i="1"/>
  <c r="AE36" i="1"/>
  <c r="AI36" i="1"/>
  <c r="AE37" i="1"/>
  <c r="AI37" i="1"/>
  <c r="AE38" i="1"/>
  <c r="AI38" i="1"/>
  <c r="AE39" i="1"/>
  <c r="AI39" i="1"/>
  <c r="AE40" i="1"/>
  <c r="AI40" i="1"/>
  <c r="AI42" i="1"/>
  <c r="AI43" i="1"/>
  <c r="AH31" i="1"/>
  <c r="AH32" i="1"/>
  <c r="AH33" i="1"/>
  <c r="AH34" i="1"/>
  <c r="AH35" i="1"/>
  <c r="AH36" i="1"/>
  <c r="AH37" i="1"/>
  <c r="AH38" i="1"/>
  <c r="AH39" i="1"/>
  <c r="AH40" i="1"/>
  <c r="AH42" i="1"/>
  <c r="AH43" i="1"/>
  <c r="AG31" i="1"/>
  <c r="AG32" i="1"/>
  <c r="AG33" i="1"/>
  <c r="AG34" i="1"/>
  <c r="AG35" i="1"/>
  <c r="AG36" i="1"/>
  <c r="AG37" i="1"/>
  <c r="AG38" i="1"/>
  <c r="AG39" i="1"/>
  <c r="AG40" i="1"/>
  <c r="AG42" i="1"/>
  <c r="AG43" i="1"/>
  <c r="AF31" i="1"/>
  <c r="AF32" i="1"/>
  <c r="AF33" i="1"/>
  <c r="AF34" i="1"/>
  <c r="AF35" i="1"/>
  <c r="AF36" i="1"/>
  <c r="AF37" i="1"/>
  <c r="AF38" i="1"/>
  <c r="AF39" i="1"/>
  <c r="AF40" i="1"/>
  <c r="AF42" i="1"/>
  <c r="AF43" i="1"/>
  <c r="AE42" i="1"/>
  <c r="AE43" i="1"/>
  <c r="AD31" i="1"/>
  <c r="AD32" i="1"/>
  <c r="AD33" i="1"/>
  <c r="AD34" i="1"/>
  <c r="AD35" i="1"/>
  <c r="AD36" i="1"/>
  <c r="AD37" i="1"/>
  <c r="AD38" i="1"/>
  <c r="AD39" i="1"/>
  <c r="AD40" i="1"/>
  <c r="AD42" i="1"/>
  <c r="AD43" i="1"/>
  <c r="AC42" i="1"/>
  <c r="AC43" i="1"/>
  <c r="AB42" i="1"/>
  <c r="AB43" i="1"/>
  <c r="AA42" i="1"/>
  <c r="AA43" i="1"/>
  <c r="Z42" i="1"/>
  <c r="Z43" i="1"/>
  <c r="Y42" i="1"/>
  <c r="Y43" i="1"/>
  <c r="S31" i="1"/>
  <c r="W31" i="1"/>
  <c r="S32" i="1"/>
  <c r="W32" i="1"/>
  <c r="S33" i="1"/>
  <c r="W33" i="1"/>
  <c r="S34" i="1"/>
  <c r="W34" i="1"/>
  <c r="S35" i="1"/>
  <c r="W35" i="1"/>
  <c r="S36" i="1"/>
  <c r="W36" i="1"/>
  <c r="S37" i="1"/>
  <c r="W37" i="1"/>
  <c r="S38" i="1"/>
  <c r="W38" i="1"/>
  <c r="S39" i="1"/>
  <c r="W39" i="1"/>
  <c r="S40" i="1"/>
  <c r="W40" i="1"/>
  <c r="W42" i="1"/>
  <c r="W43" i="1"/>
  <c r="V31" i="1"/>
  <c r="V32" i="1"/>
  <c r="V33" i="1"/>
  <c r="V34" i="1"/>
  <c r="V35" i="1"/>
  <c r="V36" i="1"/>
  <c r="V37" i="1"/>
  <c r="V38" i="1"/>
  <c r="V39" i="1"/>
  <c r="V40" i="1"/>
  <c r="V42" i="1"/>
  <c r="V43" i="1"/>
  <c r="U31" i="1"/>
  <c r="U32" i="1"/>
  <c r="U33" i="1"/>
  <c r="U34" i="1"/>
  <c r="U35" i="1"/>
  <c r="U36" i="1"/>
  <c r="U37" i="1"/>
  <c r="U38" i="1"/>
  <c r="U39" i="1"/>
  <c r="U40" i="1"/>
  <c r="U42" i="1"/>
  <c r="U43" i="1"/>
  <c r="T31" i="1"/>
  <c r="T32" i="1"/>
  <c r="T33" i="1"/>
  <c r="T34" i="1"/>
  <c r="T35" i="1"/>
  <c r="T36" i="1"/>
  <c r="T37" i="1"/>
  <c r="T38" i="1"/>
  <c r="T39" i="1"/>
  <c r="T40" i="1"/>
  <c r="T42" i="1"/>
  <c r="T43" i="1"/>
  <c r="S42" i="1"/>
  <c r="S43" i="1"/>
  <c r="F31" i="1"/>
  <c r="R31" i="1"/>
  <c r="F32" i="1"/>
  <c r="R32" i="1"/>
  <c r="F33" i="1"/>
  <c r="R33" i="1"/>
  <c r="F34" i="1"/>
  <c r="R34" i="1"/>
  <c r="F35" i="1"/>
  <c r="R35" i="1"/>
  <c r="F36" i="1"/>
  <c r="R36" i="1"/>
  <c r="F37" i="1"/>
  <c r="R37" i="1"/>
  <c r="F38" i="1"/>
  <c r="R38" i="1"/>
  <c r="F39" i="1"/>
  <c r="R39" i="1"/>
  <c r="F40" i="1"/>
  <c r="R40" i="1"/>
  <c r="R42" i="1"/>
  <c r="R43" i="1"/>
  <c r="Q42" i="1"/>
  <c r="Q43" i="1"/>
  <c r="P42" i="1"/>
  <c r="P43" i="1"/>
  <c r="O42" i="1"/>
  <c r="O43" i="1"/>
  <c r="N42" i="1"/>
  <c r="N43" i="1"/>
  <c r="M42" i="1"/>
  <c r="M43" i="1"/>
  <c r="G31" i="1"/>
  <c r="K31" i="1"/>
  <c r="G32" i="1"/>
  <c r="K32" i="1"/>
  <c r="G33" i="1"/>
  <c r="K33" i="1"/>
  <c r="G34" i="1"/>
  <c r="K34" i="1"/>
  <c r="G35" i="1"/>
  <c r="K35" i="1"/>
  <c r="G36" i="1"/>
  <c r="K36" i="1"/>
  <c r="G37" i="1"/>
  <c r="K37" i="1"/>
  <c r="G38" i="1"/>
  <c r="K38" i="1"/>
  <c r="G39" i="1"/>
  <c r="K39" i="1"/>
  <c r="G40" i="1"/>
  <c r="K40" i="1"/>
  <c r="K42" i="1"/>
  <c r="K43" i="1"/>
  <c r="J31" i="1"/>
  <c r="J32" i="1"/>
  <c r="J33" i="1"/>
  <c r="J34" i="1"/>
  <c r="J35" i="1"/>
  <c r="J36" i="1"/>
  <c r="J37" i="1"/>
  <c r="J38" i="1"/>
  <c r="J39" i="1"/>
  <c r="J40" i="1"/>
  <c r="J42" i="1"/>
  <c r="J43" i="1"/>
  <c r="I31" i="1"/>
  <c r="I32" i="1"/>
  <c r="I33" i="1"/>
  <c r="I34" i="1"/>
  <c r="I35" i="1"/>
  <c r="I36" i="1"/>
  <c r="I37" i="1"/>
  <c r="I38" i="1"/>
  <c r="I39" i="1"/>
  <c r="I40" i="1"/>
  <c r="I42" i="1"/>
  <c r="I43" i="1"/>
  <c r="H31" i="1"/>
  <c r="H32" i="1"/>
  <c r="H33" i="1"/>
  <c r="H34" i="1"/>
  <c r="H35" i="1"/>
  <c r="H36" i="1"/>
  <c r="H37" i="1"/>
  <c r="H38" i="1"/>
  <c r="H39" i="1"/>
  <c r="H40" i="1"/>
  <c r="H42" i="1"/>
  <c r="H43" i="1"/>
  <c r="G42" i="1"/>
  <c r="G43" i="1"/>
  <c r="F42" i="1"/>
  <c r="F43" i="1"/>
  <c r="E42" i="1"/>
  <c r="E43" i="1"/>
  <c r="D42" i="1"/>
  <c r="D43" i="1"/>
  <c r="C42" i="1"/>
  <c r="C43" i="1"/>
  <c r="B42" i="1"/>
  <c r="B43" i="1"/>
  <c r="CK41" i="1"/>
  <c r="CJ41" i="1"/>
  <c r="CI41" i="1"/>
  <c r="CH41" i="1"/>
  <c r="CG41" i="1"/>
  <c r="CF41" i="1"/>
  <c r="CE41" i="1"/>
  <c r="CD41" i="1"/>
  <c r="CC41" i="1"/>
  <c r="CB41" i="1"/>
  <c r="BZ41" i="1"/>
  <c r="BY41" i="1"/>
  <c r="BX41" i="1"/>
  <c r="BW41" i="1"/>
  <c r="BV41" i="1"/>
  <c r="BU41" i="1"/>
  <c r="BS41" i="1"/>
  <c r="BR41" i="1"/>
  <c r="BQ41" i="1"/>
  <c r="BP41" i="1"/>
  <c r="BO41" i="1"/>
  <c r="BN41" i="1"/>
  <c r="BM41" i="1"/>
  <c r="BL41" i="1"/>
  <c r="BK41" i="1"/>
  <c r="BJ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U41" i="1"/>
  <c r="AT41" i="1"/>
  <c r="AS41" i="1"/>
  <c r="AR41" i="1"/>
  <c r="AQ41" i="1"/>
  <c r="AP41" i="1"/>
  <c r="AO41" i="1"/>
  <c r="AN41" i="1"/>
  <c r="AM41" i="1"/>
  <c r="AL41" i="1"/>
  <c r="AK41" i="1"/>
  <c r="AI41" i="1"/>
  <c r="AH41" i="1"/>
  <c r="AG41" i="1"/>
  <c r="AF41" i="1"/>
  <c r="AE41" i="1"/>
  <c r="AD41" i="1"/>
  <c r="AC41" i="1"/>
  <c r="AB41" i="1"/>
  <c r="AA41" i="1"/>
  <c r="Z41" i="1"/>
  <c r="Y41" i="1"/>
  <c r="W41" i="1"/>
  <c r="V41" i="1"/>
  <c r="U41" i="1"/>
  <c r="T41" i="1"/>
  <c r="S41" i="1"/>
  <c r="R41" i="1"/>
  <c r="Q41" i="1"/>
  <c r="P41" i="1"/>
  <c r="O41" i="1"/>
  <c r="N41" i="1"/>
  <c r="M41" i="1"/>
  <c r="K41" i="1"/>
  <c r="J41" i="1"/>
  <c r="I41" i="1"/>
  <c r="H41" i="1"/>
  <c r="G41" i="1"/>
  <c r="F41" i="1"/>
  <c r="E41" i="1"/>
  <c r="D41" i="1"/>
  <c r="C41" i="1"/>
  <c r="B41" i="1"/>
  <c r="CF17" i="1"/>
  <c r="CG17" i="1"/>
  <c r="CK17" i="1"/>
  <c r="CF18" i="1"/>
  <c r="CG18" i="1"/>
  <c r="CK18" i="1"/>
  <c r="CF19" i="1"/>
  <c r="CG19" i="1"/>
  <c r="CK19" i="1"/>
  <c r="CF20" i="1"/>
  <c r="CG20" i="1"/>
  <c r="CK20" i="1"/>
  <c r="CF21" i="1"/>
  <c r="CG21" i="1"/>
  <c r="CK21" i="1"/>
  <c r="CF22" i="1"/>
  <c r="CG22" i="1"/>
  <c r="CK22" i="1"/>
  <c r="CF23" i="1"/>
  <c r="CG23" i="1"/>
  <c r="CK23" i="1"/>
  <c r="CF24" i="1"/>
  <c r="CG24" i="1"/>
  <c r="CK24" i="1"/>
  <c r="CF25" i="1"/>
  <c r="CG25" i="1"/>
  <c r="CK25" i="1"/>
  <c r="CF26" i="1"/>
  <c r="CG26" i="1"/>
  <c r="CK26" i="1"/>
  <c r="CK28" i="1"/>
  <c r="CK29" i="1"/>
  <c r="CJ17" i="1"/>
  <c r="CJ18" i="1"/>
  <c r="CJ19" i="1"/>
  <c r="CJ20" i="1"/>
  <c r="CJ21" i="1"/>
  <c r="CJ22" i="1"/>
  <c r="CJ23" i="1"/>
  <c r="CJ24" i="1"/>
  <c r="CJ25" i="1"/>
  <c r="CJ26" i="1"/>
  <c r="CJ28" i="1"/>
  <c r="CJ29" i="1"/>
  <c r="CI17" i="1"/>
  <c r="CI18" i="1"/>
  <c r="CI19" i="1"/>
  <c r="CI20" i="1"/>
  <c r="CI21" i="1"/>
  <c r="CI22" i="1"/>
  <c r="CI23" i="1"/>
  <c r="CI24" i="1"/>
  <c r="CI25" i="1"/>
  <c r="CI26" i="1"/>
  <c r="CI28" i="1"/>
  <c r="CI29" i="1"/>
  <c r="CH17" i="1"/>
  <c r="CH18" i="1"/>
  <c r="CH19" i="1"/>
  <c r="CH20" i="1"/>
  <c r="CH21" i="1"/>
  <c r="CH22" i="1"/>
  <c r="CH23" i="1"/>
  <c r="CH24" i="1"/>
  <c r="CH25" i="1"/>
  <c r="CH26" i="1"/>
  <c r="CH28" i="1"/>
  <c r="CH29" i="1"/>
  <c r="CG28" i="1"/>
  <c r="CG29" i="1"/>
  <c r="CF28" i="1"/>
  <c r="CF29" i="1"/>
  <c r="CE28" i="1"/>
  <c r="CE29" i="1"/>
  <c r="CD28" i="1"/>
  <c r="CD29" i="1"/>
  <c r="CC28" i="1"/>
  <c r="CC29" i="1"/>
  <c r="CB28" i="1"/>
  <c r="CB29" i="1"/>
  <c r="BY17" i="1"/>
  <c r="BZ17" i="1"/>
  <c r="BY18" i="1"/>
  <c r="BZ18" i="1"/>
  <c r="BY19" i="1"/>
  <c r="BZ19" i="1"/>
  <c r="BY20" i="1"/>
  <c r="BZ20" i="1"/>
  <c r="BY21" i="1"/>
  <c r="BZ21" i="1"/>
  <c r="BY22" i="1"/>
  <c r="BZ22" i="1"/>
  <c r="BY23" i="1"/>
  <c r="BZ23" i="1"/>
  <c r="BY24" i="1"/>
  <c r="BZ24" i="1"/>
  <c r="BY25" i="1"/>
  <c r="BZ25" i="1"/>
  <c r="BY26" i="1"/>
  <c r="BZ26" i="1"/>
  <c r="BZ28" i="1"/>
  <c r="BZ29" i="1"/>
  <c r="BY28" i="1"/>
  <c r="BY29" i="1"/>
  <c r="BX28" i="1"/>
  <c r="BX29" i="1"/>
  <c r="BW28" i="1"/>
  <c r="BW29" i="1"/>
  <c r="BV28" i="1"/>
  <c r="BV29" i="1"/>
  <c r="BU28" i="1"/>
  <c r="BU29" i="1"/>
  <c r="BN17" i="1"/>
  <c r="BO17" i="1"/>
  <c r="BS17" i="1"/>
  <c r="BN18" i="1"/>
  <c r="BO18" i="1"/>
  <c r="BS18" i="1"/>
  <c r="BN19" i="1"/>
  <c r="BO19" i="1"/>
  <c r="BS19" i="1"/>
  <c r="BN20" i="1"/>
  <c r="BO20" i="1"/>
  <c r="BS20" i="1"/>
  <c r="BN21" i="1"/>
  <c r="BO21" i="1"/>
  <c r="BS21" i="1"/>
  <c r="BN22" i="1"/>
  <c r="BO22" i="1"/>
  <c r="BS22" i="1"/>
  <c r="BN23" i="1"/>
  <c r="BO23" i="1"/>
  <c r="BS23" i="1"/>
  <c r="BN24" i="1"/>
  <c r="BO24" i="1"/>
  <c r="BS24" i="1"/>
  <c r="BN25" i="1"/>
  <c r="BO25" i="1"/>
  <c r="BS25" i="1"/>
  <c r="BN26" i="1"/>
  <c r="BO26" i="1"/>
  <c r="BS26" i="1"/>
  <c r="BS28" i="1"/>
  <c r="BS29" i="1"/>
  <c r="BR17" i="1"/>
  <c r="BR18" i="1"/>
  <c r="BR19" i="1"/>
  <c r="BR20" i="1"/>
  <c r="BR21" i="1"/>
  <c r="BR22" i="1"/>
  <c r="BR23" i="1"/>
  <c r="BR24" i="1"/>
  <c r="BR25" i="1"/>
  <c r="BR26" i="1"/>
  <c r="BR28" i="1"/>
  <c r="BR29" i="1"/>
  <c r="BQ17" i="1"/>
  <c r="BQ18" i="1"/>
  <c r="BQ19" i="1"/>
  <c r="BQ20" i="1"/>
  <c r="BQ21" i="1"/>
  <c r="BQ22" i="1"/>
  <c r="BQ23" i="1"/>
  <c r="BQ24" i="1"/>
  <c r="BQ25" i="1"/>
  <c r="BQ26" i="1"/>
  <c r="BQ28" i="1"/>
  <c r="BQ29" i="1"/>
  <c r="BP17" i="1"/>
  <c r="BP18" i="1"/>
  <c r="BP19" i="1"/>
  <c r="BP20" i="1"/>
  <c r="BP21" i="1"/>
  <c r="BP22" i="1"/>
  <c r="BP23" i="1"/>
  <c r="BP24" i="1"/>
  <c r="BP25" i="1"/>
  <c r="BP26" i="1"/>
  <c r="BP28" i="1"/>
  <c r="BP29" i="1"/>
  <c r="BO28" i="1"/>
  <c r="BO29" i="1"/>
  <c r="BN28" i="1"/>
  <c r="BN29" i="1"/>
  <c r="BM28" i="1"/>
  <c r="BM29" i="1"/>
  <c r="BL28" i="1"/>
  <c r="BL29" i="1"/>
  <c r="BK28" i="1"/>
  <c r="BK29" i="1"/>
  <c r="BJ28" i="1"/>
  <c r="BJ29" i="1"/>
  <c r="BA17" i="1"/>
  <c r="BD17" i="1"/>
  <c r="BH17" i="1"/>
  <c r="BA18" i="1"/>
  <c r="BD18" i="1"/>
  <c r="BH18" i="1"/>
  <c r="BA19" i="1"/>
  <c r="BD19" i="1"/>
  <c r="BH19" i="1"/>
  <c r="BA20" i="1"/>
  <c r="BD20" i="1"/>
  <c r="BH20" i="1"/>
  <c r="BA21" i="1"/>
  <c r="BD21" i="1"/>
  <c r="BH21" i="1"/>
  <c r="BA22" i="1"/>
  <c r="BD22" i="1"/>
  <c r="BH22" i="1"/>
  <c r="BA23" i="1"/>
  <c r="BD23" i="1"/>
  <c r="BH23" i="1"/>
  <c r="BA24" i="1"/>
  <c r="BD24" i="1"/>
  <c r="BH24" i="1"/>
  <c r="BA25" i="1"/>
  <c r="BD25" i="1"/>
  <c r="BH25" i="1"/>
  <c r="BA26" i="1"/>
  <c r="BD26" i="1"/>
  <c r="BH26" i="1"/>
  <c r="BH28" i="1"/>
  <c r="BH29" i="1"/>
  <c r="BG17" i="1"/>
  <c r="BG18" i="1"/>
  <c r="BG19" i="1"/>
  <c r="BG20" i="1"/>
  <c r="BG21" i="1"/>
  <c r="BG22" i="1"/>
  <c r="BG23" i="1"/>
  <c r="BG24" i="1"/>
  <c r="BG25" i="1"/>
  <c r="BG26" i="1"/>
  <c r="BG28" i="1"/>
  <c r="BG29" i="1"/>
  <c r="BF17" i="1"/>
  <c r="BF18" i="1"/>
  <c r="BF19" i="1"/>
  <c r="BF20" i="1"/>
  <c r="BF21" i="1"/>
  <c r="BF22" i="1"/>
  <c r="BF23" i="1"/>
  <c r="BF24" i="1"/>
  <c r="BF25" i="1"/>
  <c r="BF26" i="1"/>
  <c r="BF28" i="1"/>
  <c r="BF29" i="1"/>
  <c r="BE17" i="1"/>
  <c r="BE18" i="1"/>
  <c r="BE19" i="1"/>
  <c r="BE20" i="1"/>
  <c r="BE21" i="1"/>
  <c r="BE22" i="1"/>
  <c r="BE23" i="1"/>
  <c r="BE24" i="1"/>
  <c r="BE25" i="1"/>
  <c r="BE26" i="1"/>
  <c r="BE28" i="1"/>
  <c r="BE29" i="1"/>
  <c r="BD28" i="1"/>
  <c r="BD29" i="1"/>
  <c r="Q17" i="1"/>
  <c r="BC17" i="1"/>
  <c r="Q18" i="1"/>
  <c r="BC18" i="1"/>
  <c r="Q19" i="1"/>
  <c r="BC19" i="1"/>
  <c r="Q20" i="1"/>
  <c r="BC20" i="1"/>
  <c r="Q21" i="1"/>
  <c r="BC21" i="1"/>
  <c r="Q22" i="1"/>
  <c r="BC22" i="1"/>
  <c r="Q23" i="1"/>
  <c r="BC23" i="1"/>
  <c r="Q24" i="1"/>
  <c r="BC24" i="1"/>
  <c r="Q25" i="1"/>
  <c r="BC25" i="1"/>
  <c r="Q26" i="1"/>
  <c r="BC26" i="1"/>
  <c r="BC28" i="1"/>
  <c r="BC29" i="1"/>
  <c r="AO17" i="1"/>
  <c r="BB17" i="1"/>
  <c r="AO18" i="1"/>
  <c r="BB18" i="1"/>
  <c r="AO19" i="1"/>
  <c r="BB19" i="1"/>
  <c r="AO20" i="1"/>
  <c r="BB20" i="1"/>
  <c r="AO21" i="1"/>
  <c r="BB21" i="1"/>
  <c r="AO22" i="1"/>
  <c r="BB22" i="1"/>
  <c r="AO23" i="1"/>
  <c r="BB23" i="1"/>
  <c r="AO24" i="1"/>
  <c r="BB24" i="1"/>
  <c r="AO25" i="1"/>
  <c r="BB25" i="1"/>
  <c r="AO26" i="1"/>
  <c r="BB26" i="1"/>
  <c r="BB28" i="1"/>
  <c r="BB29" i="1"/>
  <c r="BA28" i="1"/>
  <c r="BA29" i="1"/>
  <c r="AZ28" i="1"/>
  <c r="AZ29" i="1"/>
  <c r="AY28" i="1"/>
  <c r="AY29" i="1"/>
  <c r="AX28" i="1"/>
  <c r="AX29" i="1"/>
  <c r="AW28" i="1"/>
  <c r="AW29" i="1"/>
  <c r="AQ17" i="1"/>
  <c r="AU17" i="1"/>
  <c r="AQ18" i="1"/>
  <c r="AU18" i="1"/>
  <c r="AQ19" i="1"/>
  <c r="AU19" i="1"/>
  <c r="AQ20" i="1"/>
  <c r="AU20" i="1"/>
  <c r="AQ21" i="1"/>
  <c r="AU21" i="1"/>
  <c r="AQ22" i="1"/>
  <c r="AU22" i="1"/>
  <c r="AQ23" i="1"/>
  <c r="AU23" i="1"/>
  <c r="AQ24" i="1"/>
  <c r="AU24" i="1"/>
  <c r="AQ25" i="1"/>
  <c r="AU25" i="1"/>
  <c r="AQ26" i="1"/>
  <c r="AU26" i="1"/>
  <c r="AU28" i="1"/>
  <c r="AU29" i="1"/>
  <c r="AT17" i="1"/>
  <c r="AT18" i="1"/>
  <c r="AT19" i="1"/>
  <c r="AT20" i="1"/>
  <c r="AT21" i="1"/>
  <c r="AT22" i="1"/>
  <c r="AT23" i="1"/>
  <c r="AT24" i="1"/>
  <c r="AT25" i="1"/>
  <c r="AT26" i="1"/>
  <c r="AT28" i="1"/>
  <c r="AT29" i="1"/>
  <c r="AS17" i="1"/>
  <c r="AS18" i="1"/>
  <c r="AS19" i="1"/>
  <c r="AS20" i="1"/>
  <c r="AS21" i="1"/>
  <c r="AS22" i="1"/>
  <c r="AS23" i="1"/>
  <c r="AS24" i="1"/>
  <c r="AS25" i="1"/>
  <c r="AS26" i="1"/>
  <c r="AS28" i="1"/>
  <c r="AS29" i="1"/>
  <c r="AR17" i="1"/>
  <c r="AR18" i="1"/>
  <c r="AR19" i="1"/>
  <c r="AR20" i="1"/>
  <c r="AR21" i="1"/>
  <c r="AR22" i="1"/>
  <c r="AR23" i="1"/>
  <c r="AR24" i="1"/>
  <c r="AR25" i="1"/>
  <c r="AR26" i="1"/>
  <c r="AR28" i="1"/>
  <c r="AR29" i="1"/>
  <c r="AQ28" i="1"/>
  <c r="AQ29" i="1"/>
  <c r="AC17" i="1"/>
  <c r="AP17" i="1"/>
  <c r="AC18" i="1"/>
  <c r="AP18" i="1"/>
  <c r="AC19" i="1"/>
  <c r="AP19" i="1"/>
  <c r="AC20" i="1"/>
  <c r="AP20" i="1"/>
  <c r="AC21" i="1"/>
  <c r="AP21" i="1"/>
  <c r="AC22" i="1"/>
  <c r="AP22" i="1"/>
  <c r="AC23" i="1"/>
  <c r="AP23" i="1"/>
  <c r="AC24" i="1"/>
  <c r="AP24" i="1"/>
  <c r="AC25" i="1"/>
  <c r="AP25" i="1"/>
  <c r="AC26" i="1"/>
  <c r="AP26" i="1"/>
  <c r="AP28" i="1"/>
  <c r="AP29" i="1"/>
  <c r="AO28" i="1"/>
  <c r="AO29" i="1"/>
  <c r="AN28" i="1"/>
  <c r="AN29" i="1"/>
  <c r="AM28" i="1"/>
  <c r="AM29" i="1"/>
  <c r="AL28" i="1"/>
  <c r="AL29" i="1"/>
  <c r="AK28" i="1"/>
  <c r="AK29" i="1"/>
  <c r="AE17" i="1"/>
  <c r="AI17" i="1"/>
  <c r="AE18" i="1"/>
  <c r="AI18" i="1"/>
  <c r="AE19" i="1"/>
  <c r="AI19" i="1"/>
  <c r="AE20" i="1"/>
  <c r="AI20" i="1"/>
  <c r="AE21" i="1"/>
  <c r="AI21" i="1"/>
  <c r="AE22" i="1"/>
  <c r="AI22" i="1"/>
  <c r="AE23" i="1"/>
  <c r="AI23" i="1"/>
  <c r="AE24" i="1"/>
  <c r="AI24" i="1"/>
  <c r="AE25" i="1"/>
  <c r="AI25" i="1"/>
  <c r="AE26" i="1"/>
  <c r="AI26" i="1"/>
  <c r="AI28" i="1"/>
  <c r="AI29" i="1"/>
  <c r="AH17" i="1"/>
  <c r="AH18" i="1"/>
  <c r="AH19" i="1"/>
  <c r="AH20" i="1"/>
  <c r="AH21" i="1"/>
  <c r="AH22" i="1"/>
  <c r="AH23" i="1"/>
  <c r="AH24" i="1"/>
  <c r="AH25" i="1"/>
  <c r="AH26" i="1"/>
  <c r="AH28" i="1"/>
  <c r="AH29" i="1"/>
  <c r="AG17" i="1"/>
  <c r="AG18" i="1"/>
  <c r="AG19" i="1"/>
  <c r="AG20" i="1"/>
  <c r="AG21" i="1"/>
  <c r="AG22" i="1"/>
  <c r="AG23" i="1"/>
  <c r="AG24" i="1"/>
  <c r="AG25" i="1"/>
  <c r="AG26" i="1"/>
  <c r="AG28" i="1"/>
  <c r="AG29" i="1"/>
  <c r="AF17" i="1"/>
  <c r="AF18" i="1"/>
  <c r="AF19" i="1"/>
  <c r="AF20" i="1"/>
  <c r="AF21" i="1"/>
  <c r="AF22" i="1"/>
  <c r="AF23" i="1"/>
  <c r="AF24" i="1"/>
  <c r="AF25" i="1"/>
  <c r="AF26" i="1"/>
  <c r="AF28" i="1"/>
  <c r="AF29" i="1"/>
  <c r="AE28" i="1"/>
  <c r="AE29" i="1"/>
  <c r="AD17" i="1"/>
  <c r="AD18" i="1"/>
  <c r="AD19" i="1"/>
  <c r="AD20" i="1"/>
  <c r="AD21" i="1"/>
  <c r="AD22" i="1"/>
  <c r="AD23" i="1"/>
  <c r="AD24" i="1"/>
  <c r="AD25" i="1"/>
  <c r="AD26" i="1"/>
  <c r="AD28" i="1"/>
  <c r="AD29" i="1"/>
  <c r="AC28" i="1"/>
  <c r="AC29" i="1"/>
  <c r="AB28" i="1"/>
  <c r="AB29" i="1"/>
  <c r="AA28" i="1"/>
  <c r="AA29" i="1"/>
  <c r="Z28" i="1"/>
  <c r="Z29" i="1"/>
  <c r="Y28" i="1"/>
  <c r="Y29" i="1"/>
  <c r="S17" i="1"/>
  <c r="W17" i="1"/>
  <c r="S18" i="1"/>
  <c r="W18" i="1"/>
  <c r="S19" i="1"/>
  <c r="W19" i="1"/>
  <c r="S20" i="1"/>
  <c r="W20" i="1"/>
  <c r="S21" i="1"/>
  <c r="W21" i="1"/>
  <c r="S22" i="1"/>
  <c r="W22" i="1"/>
  <c r="S23" i="1"/>
  <c r="W23" i="1"/>
  <c r="S24" i="1"/>
  <c r="W24" i="1"/>
  <c r="S25" i="1"/>
  <c r="W25" i="1"/>
  <c r="S26" i="1"/>
  <c r="W26" i="1"/>
  <c r="W28" i="1"/>
  <c r="W29" i="1"/>
  <c r="V17" i="1"/>
  <c r="V18" i="1"/>
  <c r="V19" i="1"/>
  <c r="V20" i="1"/>
  <c r="V21" i="1"/>
  <c r="V22" i="1"/>
  <c r="V23" i="1"/>
  <c r="V24" i="1"/>
  <c r="V25" i="1"/>
  <c r="V26" i="1"/>
  <c r="V28" i="1"/>
  <c r="V29" i="1"/>
  <c r="U17" i="1"/>
  <c r="U18" i="1"/>
  <c r="U19" i="1"/>
  <c r="U20" i="1"/>
  <c r="U21" i="1"/>
  <c r="U22" i="1"/>
  <c r="U23" i="1"/>
  <c r="U24" i="1"/>
  <c r="U25" i="1"/>
  <c r="U26" i="1"/>
  <c r="U28" i="1"/>
  <c r="U29" i="1"/>
  <c r="T17" i="1"/>
  <c r="T18" i="1"/>
  <c r="T19" i="1"/>
  <c r="T20" i="1"/>
  <c r="T21" i="1"/>
  <c r="T22" i="1"/>
  <c r="T23" i="1"/>
  <c r="T24" i="1"/>
  <c r="T25" i="1"/>
  <c r="T26" i="1"/>
  <c r="T28" i="1"/>
  <c r="T29" i="1"/>
  <c r="S28" i="1"/>
  <c r="S29" i="1"/>
  <c r="F17" i="1"/>
  <c r="R17" i="1"/>
  <c r="F18" i="1"/>
  <c r="R18" i="1"/>
  <c r="F19" i="1"/>
  <c r="R19" i="1"/>
  <c r="F20" i="1"/>
  <c r="R20" i="1"/>
  <c r="F21" i="1"/>
  <c r="R21" i="1"/>
  <c r="F22" i="1"/>
  <c r="R22" i="1"/>
  <c r="F23" i="1"/>
  <c r="R23" i="1"/>
  <c r="F24" i="1"/>
  <c r="R24" i="1"/>
  <c r="F25" i="1"/>
  <c r="R25" i="1"/>
  <c r="F26" i="1"/>
  <c r="R26" i="1"/>
  <c r="R28" i="1"/>
  <c r="R29" i="1"/>
  <c r="Q28" i="1"/>
  <c r="Q29" i="1"/>
  <c r="P28" i="1"/>
  <c r="P29" i="1"/>
  <c r="O28" i="1"/>
  <c r="O29" i="1"/>
  <c r="N28" i="1"/>
  <c r="N29" i="1"/>
  <c r="M28" i="1"/>
  <c r="M29" i="1"/>
  <c r="G17" i="1"/>
  <c r="K17" i="1"/>
  <c r="G18" i="1"/>
  <c r="K18" i="1"/>
  <c r="G19" i="1"/>
  <c r="K19" i="1"/>
  <c r="G20" i="1"/>
  <c r="K20" i="1"/>
  <c r="G21" i="1"/>
  <c r="K21" i="1"/>
  <c r="G22" i="1"/>
  <c r="K22" i="1"/>
  <c r="G23" i="1"/>
  <c r="K23" i="1"/>
  <c r="G24" i="1"/>
  <c r="K24" i="1"/>
  <c r="G25" i="1"/>
  <c r="K25" i="1"/>
  <c r="G26" i="1"/>
  <c r="K26" i="1"/>
  <c r="K28" i="1"/>
  <c r="K29" i="1"/>
  <c r="J17" i="1"/>
  <c r="J18" i="1"/>
  <c r="J19" i="1"/>
  <c r="J20" i="1"/>
  <c r="J21" i="1"/>
  <c r="J22" i="1"/>
  <c r="J23" i="1"/>
  <c r="J24" i="1"/>
  <c r="J25" i="1"/>
  <c r="J26" i="1"/>
  <c r="J28" i="1"/>
  <c r="J29" i="1"/>
  <c r="I17" i="1"/>
  <c r="I18" i="1"/>
  <c r="I19" i="1"/>
  <c r="I20" i="1"/>
  <c r="I21" i="1"/>
  <c r="I22" i="1"/>
  <c r="I23" i="1"/>
  <c r="I24" i="1"/>
  <c r="I25" i="1"/>
  <c r="I26" i="1"/>
  <c r="I28" i="1"/>
  <c r="I29" i="1"/>
  <c r="H17" i="1"/>
  <c r="H18" i="1"/>
  <c r="H19" i="1"/>
  <c r="H20" i="1"/>
  <c r="H21" i="1"/>
  <c r="H22" i="1"/>
  <c r="H23" i="1"/>
  <c r="H24" i="1"/>
  <c r="H25" i="1"/>
  <c r="H26" i="1"/>
  <c r="H28" i="1"/>
  <c r="H29" i="1"/>
  <c r="G28" i="1"/>
  <c r="G29" i="1"/>
  <c r="F28" i="1"/>
  <c r="F29" i="1"/>
  <c r="E28" i="1"/>
  <c r="E29" i="1"/>
  <c r="D28" i="1"/>
  <c r="D29" i="1"/>
  <c r="C28" i="1"/>
  <c r="C29" i="1"/>
  <c r="B28" i="1"/>
  <c r="B29" i="1"/>
  <c r="CK27" i="1"/>
  <c r="CJ27" i="1"/>
  <c r="CI27" i="1"/>
  <c r="CH27" i="1"/>
  <c r="CG27" i="1"/>
  <c r="CF27" i="1"/>
  <c r="CE27" i="1"/>
  <c r="CD27" i="1"/>
  <c r="CC27" i="1"/>
  <c r="CB27" i="1"/>
  <c r="BZ27" i="1"/>
  <c r="BY27" i="1"/>
  <c r="BX27" i="1"/>
  <c r="BW27" i="1"/>
  <c r="BV27" i="1"/>
  <c r="BU27" i="1"/>
  <c r="BS27" i="1"/>
  <c r="BR27" i="1"/>
  <c r="BQ27" i="1"/>
  <c r="BP27" i="1"/>
  <c r="BO27" i="1"/>
  <c r="BN27" i="1"/>
  <c r="BM27" i="1"/>
  <c r="BL27" i="1"/>
  <c r="BK27" i="1"/>
  <c r="BJ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U27" i="1"/>
  <c r="AT27" i="1"/>
  <c r="AS27" i="1"/>
  <c r="AR27" i="1"/>
  <c r="AQ27" i="1"/>
  <c r="AP27" i="1"/>
  <c r="AO27" i="1"/>
  <c r="AN27" i="1"/>
  <c r="AM27" i="1"/>
  <c r="AL27" i="1"/>
  <c r="AK27" i="1"/>
  <c r="AI27" i="1"/>
  <c r="AH27" i="1"/>
  <c r="AG27" i="1"/>
  <c r="AF27" i="1"/>
  <c r="AE27" i="1"/>
  <c r="AD27" i="1"/>
  <c r="AC27" i="1"/>
  <c r="AB27" i="1"/>
  <c r="AA27" i="1"/>
  <c r="Z27" i="1"/>
  <c r="Y27" i="1"/>
  <c r="W27" i="1"/>
  <c r="V27" i="1"/>
  <c r="U27" i="1"/>
  <c r="T27" i="1"/>
  <c r="S27" i="1"/>
  <c r="R27" i="1"/>
  <c r="Q27" i="1"/>
  <c r="P27" i="1"/>
  <c r="O27" i="1"/>
  <c r="N27" i="1"/>
  <c r="M27" i="1"/>
  <c r="K27" i="1"/>
  <c r="J27" i="1"/>
  <c r="I27" i="1"/>
  <c r="H27" i="1"/>
  <c r="G27" i="1"/>
  <c r="F27" i="1"/>
  <c r="E27" i="1"/>
  <c r="D27" i="1"/>
  <c r="C27" i="1"/>
  <c r="B27" i="1"/>
  <c r="CF3" i="1"/>
  <c r="CG3" i="1"/>
  <c r="CK3" i="1"/>
  <c r="CF4" i="1"/>
  <c r="CG4" i="1"/>
  <c r="CK4" i="1"/>
  <c r="CF5" i="1"/>
  <c r="CG5" i="1"/>
  <c r="CK5" i="1"/>
  <c r="CF6" i="1"/>
  <c r="CG6" i="1"/>
  <c r="CK6" i="1"/>
  <c r="CF7" i="1"/>
  <c r="CG7" i="1"/>
  <c r="CK7" i="1"/>
  <c r="CF8" i="1"/>
  <c r="CG8" i="1"/>
  <c r="CK8" i="1"/>
  <c r="CF9" i="1"/>
  <c r="CG9" i="1"/>
  <c r="CK9" i="1"/>
  <c r="CF10" i="1"/>
  <c r="CG10" i="1"/>
  <c r="CK10" i="1"/>
  <c r="CF11" i="1"/>
  <c r="CG11" i="1"/>
  <c r="CK11" i="1"/>
  <c r="CF12" i="1"/>
  <c r="CG12" i="1"/>
  <c r="CK12" i="1"/>
  <c r="CK14" i="1"/>
  <c r="CK15" i="1"/>
  <c r="CJ3" i="1"/>
  <c r="CJ4" i="1"/>
  <c r="CJ5" i="1"/>
  <c r="CJ6" i="1"/>
  <c r="CJ7" i="1"/>
  <c r="CJ8" i="1"/>
  <c r="CJ9" i="1"/>
  <c r="CJ10" i="1"/>
  <c r="CJ11" i="1"/>
  <c r="CJ12" i="1"/>
  <c r="CJ14" i="1"/>
  <c r="CJ15" i="1"/>
  <c r="CI3" i="1"/>
  <c r="CI4" i="1"/>
  <c r="CI5" i="1"/>
  <c r="CI6" i="1"/>
  <c r="CI7" i="1"/>
  <c r="CI8" i="1"/>
  <c r="CI9" i="1"/>
  <c r="CI10" i="1"/>
  <c r="CI11" i="1"/>
  <c r="CI12" i="1"/>
  <c r="CI14" i="1"/>
  <c r="CI15" i="1"/>
  <c r="CH3" i="1"/>
  <c r="CH4" i="1"/>
  <c r="CH5" i="1"/>
  <c r="CH6" i="1"/>
  <c r="CH7" i="1"/>
  <c r="CH8" i="1"/>
  <c r="CH9" i="1"/>
  <c r="CH10" i="1"/>
  <c r="CH11" i="1"/>
  <c r="CH12" i="1"/>
  <c r="CH14" i="1"/>
  <c r="CH15" i="1"/>
  <c r="CG14" i="1"/>
  <c r="CG15" i="1"/>
  <c r="CF14" i="1"/>
  <c r="CF15" i="1"/>
  <c r="CE14" i="1"/>
  <c r="CE15" i="1"/>
  <c r="CD14" i="1"/>
  <c r="CD15" i="1"/>
  <c r="CC14" i="1"/>
  <c r="CC15" i="1"/>
  <c r="CB14" i="1"/>
  <c r="CB15" i="1"/>
  <c r="BY3" i="1"/>
  <c r="BZ3" i="1"/>
  <c r="BY4" i="1"/>
  <c r="BZ4" i="1"/>
  <c r="BY5" i="1"/>
  <c r="BZ5" i="1"/>
  <c r="BY6" i="1"/>
  <c r="BZ6" i="1"/>
  <c r="BY7" i="1"/>
  <c r="BZ7" i="1"/>
  <c r="BY8" i="1"/>
  <c r="BZ8" i="1"/>
  <c r="BY9" i="1"/>
  <c r="BZ9" i="1"/>
  <c r="BY10" i="1"/>
  <c r="BZ10" i="1"/>
  <c r="BY11" i="1"/>
  <c r="BZ11" i="1"/>
  <c r="BY12" i="1"/>
  <c r="BZ12" i="1"/>
  <c r="BZ14" i="1"/>
  <c r="BZ15" i="1"/>
  <c r="BY14" i="1"/>
  <c r="BY15" i="1"/>
  <c r="BX14" i="1"/>
  <c r="BX15" i="1"/>
  <c r="BW14" i="1"/>
  <c r="BW15" i="1"/>
  <c r="BV14" i="1"/>
  <c r="BV15" i="1"/>
  <c r="BU14" i="1"/>
  <c r="BU15" i="1"/>
  <c r="BN3" i="1"/>
  <c r="BO3" i="1"/>
  <c r="BS3" i="1"/>
  <c r="BN4" i="1"/>
  <c r="BO4" i="1"/>
  <c r="BS4" i="1"/>
  <c r="BN5" i="1"/>
  <c r="BO5" i="1"/>
  <c r="BS5" i="1"/>
  <c r="BN6" i="1"/>
  <c r="BO6" i="1"/>
  <c r="BS6" i="1"/>
  <c r="BN7" i="1"/>
  <c r="BO7" i="1"/>
  <c r="BS7" i="1"/>
  <c r="BN8" i="1"/>
  <c r="BO8" i="1"/>
  <c r="BS8" i="1"/>
  <c r="BN9" i="1"/>
  <c r="BO9" i="1"/>
  <c r="BS9" i="1"/>
  <c r="BN10" i="1"/>
  <c r="BO10" i="1"/>
  <c r="BS10" i="1"/>
  <c r="BN11" i="1"/>
  <c r="BO11" i="1"/>
  <c r="BS11" i="1"/>
  <c r="BN12" i="1"/>
  <c r="BO12" i="1"/>
  <c r="BS12" i="1"/>
  <c r="BS14" i="1"/>
  <c r="BS15" i="1"/>
  <c r="BR3" i="1"/>
  <c r="BR4" i="1"/>
  <c r="BR5" i="1"/>
  <c r="BR6" i="1"/>
  <c r="BR7" i="1"/>
  <c r="BR8" i="1"/>
  <c r="BR9" i="1"/>
  <c r="BR10" i="1"/>
  <c r="BR11" i="1"/>
  <c r="BR12" i="1"/>
  <c r="BR14" i="1"/>
  <c r="BR15" i="1"/>
  <c r="BQ3" i="1"/>
  <c r="BQ4" i="1"/>
  <c r="BQ5" i="1"/>
  <c r="BQ6" i="1"/>
  <c r="BQ7" i="1"/>
  <c r="BQ8" i="1"/>
  <c r="BQ9" i="1"/>
  <c r="BQ10" i="1"/>
  <c r="BQ11" i="1"/>
  <c r="BQ12" i="1"/>
  <c r="BQ14" i="1"/>
  <c r="BQ15" i="1"/>
  <c r="BP3" i="1"/>
  <c r="BP4" i="1"/>
  <c r="BP5" i="1"/>
  <c r="BP6" i="1"/>
  <c r="BP7" i="1"/>
  <c r="BP8" i="1"/>
  <c r="BP9" i="1"/>
  <c r="BP10" i="1"/>
  <c r="BP11" i="1"/>
  <c r="BP12" i="1"/>
  <c r="BP14" i="1"/>
  <c r="BP15" i="1"/>
  <c r="BO14" i="1"/>
  <c r="BO15" i="1"/>
  <c r="BN14" i="1"/>
  <c r="BN15" i="1"/>
  <c r="BM14" i="1"/>
  <c r="BM15" i="1"/>
  <c r="BL14" i="1"/>
  <c r="BL15" i="1"/>
  <c r="BK14" i="1"/>
  <c r="BK15" i="1"/>
  <c r="BJ14" i="1"/>
  <c r="BJ15" i="1"/>
  <c r="BA3" i="1"/>
  <c r="BD3" i="1"/>
  <c r="BH3" i="1"/>
  <c r="BA4" i="1"/>
  <c r="BD4" i="1"/>
  <c r="BH4" i="1"/>
  <c r="BA5" i="1"/>
  <c r="BD5" i="1"/>
  <c r="BH5" i="1"/>
  <c r="BA6" i="1"/>
  <c r="BD6" i="1"/>
  <c r="BH6" i="1"/>
  <c r="BA7" i="1"/>
  <c r="BD7" i="1"/>
  <c r="BH7" i="1"/>
  <c r="BA8" i="1"/>
  <c r="BD8" i="1"/>
  <c r="BH8" i="1"/>
  <c r="BH9" i="1"/>
  <c r="BA10" i="1"/>
  <c r="BD10" i="1"/>
  <c r="BH10" i="1"/>
  <c r="BA11" i="1"/>
  <c r="BD11" i="1"/>
  <c r="BH11" i="1"/>
  <c r="BA12" i="1"/>
  <c r="BD12" i="1"/>
  <c r="BH12" i="1"/>
  <c r="BH14" i="1"/>
  <c r="BH15" i="1"/>
  <c r="BG3" i="1"/>
  <c r="BG4" i="1"/>
  <c r="BG5" i="1"/>
  <c r="BG6" i="1"/>
  <c r="BG7" i="1"/>
  <c r="BG8" i="1"/>
  <c r="BA9" i="1"/>
  <c r="BG9" i="1"/>
  <c r="BG10" i="1"/>
  <c r="BG11" i="1"/>
  <c r="BG12" i="1"/>
  <c r="BG14" i="1"/>
  <c r="BG15" i="1"/>
  <c r="BF3" i="1"/>
  <c r="BF4" i="1"/>
  <c r="BF5" i="1"/>
  <c r="BF6" i="1"/>
  <c r="BF7" i="1"/>
  <c r="BF8" i="1"/>
  <c r="BF9" i="1"/>
  <c r="BF10" i="1"/>
  <c r="BF11" i="1"/>
  <c r="BF12" i="1"/>
  <c r="BF14" i="1"/>
  <c r="BF15" i="1"/>
  <c r="BE3" i="1"/>
  <c r="BE4" i="1"/>
  <c r="BE5" i="1"/>
  <c r="BE6" i="1"/>
  <c r="BE7" i="1"/>
  <c r="BE8" i="1"/>
  <c r="BE9" i="1"/>
  <c r="BE10" i="1"/>
  <c r="BE11" i="1"/>
  <c r="BE12" i="1"/>
  <c r="BE14" i="1"/>
  <c r="BE15" i="1"/>
  <c r="BD14" i="1"/>
  <c r="BD15" i="1"/>
  <c r="Q3" i="1"/>
  <c r="BC3" i="1"/>
  <c r="Q4" i="1"/>
  <c r="BC4" i="1"/>
  <c r="Q5" i="1"/>
  <c r="BC5" i="1"/>
  <c r="Q6" i="1"/>
  <c r="BC6" i="1"/>
  <c r="Q7" i="1"/>
  <c r="BC7" i="1"/>
  <c r="Q8" i="1"/>
  <c r="BC8" i="1"/>
  <c r="Q9" i="1"/>
  <c r="BC9" i="1"/>
  <c r="Q10" i="1"/>
  <c r="BC10" i="1"/>
  <c r="Q11" i="1"/>
  <c r="BC11" i="1"/>
  <c r="Q12" i="1"/>
  <c r="BC12" i="1"/>
  <c r="BC14" i="1"/>
  <c r="BC15" i="1"/>
  <c r="AO3" i="1"/>
  <c r="BB3" i="1"/>
  <c r="AO4" i="1"/>
  <c r="BB4" i="1"/>
  <c r="AO5" i="1"/>
  <c r="BB5" i="1"/>
  <c r="AO6" i="1"/>
  <c r="BB6" i="1"/>
  <c r="AO7" i="1"/>
  <c r="BB7" i="1"/>
  <c r="AO8" i="1"/>
  <c r="BB8" i="1"/>
  <c r="AO9" i="1"/>
  <c r="BB9" i="1"/>
  <c r="AO10" i="1"/>
  <c r="BB10" i="1"/>
  <c r="AO11" i="1"/>
  <c r="BB11" i="1"/>
  <c r="AO12" i="1"/>
  <c r="BB12" i="1"/>
  <c r="BB14" i="1"/>
  <c r="BB15" i="1"/>
  <c r="BA14" i="1"/>
  <c r="BA15" i="1"/>
  <c r="AZ14" i="1"/>
  <c r="AZ15" i="1"/>
  <c r="AY14" i="1"/>
  <c r="AY15" i="1"/>
  <c r="AX14" i="1"/>
  <c r="AX15" i="1"/>
  <c r="AW14" i="1"/>
  <c r="AW15" i="1"/>
  <c r="AQ3" i="1"/>
  <c r="AU3" i="1"/>
  <c r="AQ4" i="1"/>
  <c r="AU4" i="1"/>
  <c r="AQ5" i="1"/>
  <c r="AU5" i="1"/>
  <c r="AQ6" i="1"/>
  <c r="AU6" i="1"/>
  <c r="AQ7" i="1"/>
  <c r="AU7" i="1"/>
  <c r="AQ8" i="1"/>
  <c r="AU8" i="1"/>
  <c r="AQ9" i="1"/>
  <c r="AU9" i="1"/>
  <c r="AQ10" i="1"/>
  <c r="AU10" i="1"/>
  <c r="AQ11" i="1"/>
  <c r="AU11" i="1"/>
  <c r="AQ12" i="1"/>
  <c r="AU12" i="1"/>
  <c r="AU14" i="1"/>
  <c r="AU15" i="1"/>
  <c r="AT3" i="1"/>
  <c r="AT4" i="1"/>
  <c r="AT5" i="1"/>
  <c r="AT6" i="1"/>
  <c r="AT7" i="1"/>
  <c r="AT8" i="1"/>
  <c r="AT9" i="1"/>
  <c r="AT10" i="1"/>
  <c r="AT11" i="1"/>
  <c r="AT12" i="1"/>
  <c r="AT14" i="1"/>
  <c r="AT15" i="1"/>
  <c r="AS3" i="1"/>
  <c r="AS4" i="1"/>
  <c r="AS5" i="1"/>
  <c r="AS6" i="1"/>
  <c r="AS7" i="1"/>
  <c r="AS8" i="1"/>
  <c r="AS9" i="1"/>
  <c r="AS10" i="1"/>
  <c r="AS11" i="1"/>
  <c r="AS12" i="1"/>
  <c r="AS14" i="1"/>
  <c r="AS15" i="1"/>
  <c r="AR3" i="1"/>
  <c r="AR4" i="1"/>
  <c r="AR5" i="1"/>
  <c r="AR6" i="1"/>
  <c r="AR7" i="1"/>
  <c r="AR8" i="1"/>
  <c r="AR9" i="1"/>
  <c r="AR10" i="1"/>
  <c r="AR11" i="1"/>
  <c r="AR12" i="1"/>
  <c r="AR14" i="1"/>
  <c r="AR15" i="1"/>
  <c r="AQ14" i="1"/>
  <c r="AQ15" i="1"/>
  <c r="AC3" i="1"/>
  <c r="AP3" i="1"/>
  <c r="AC4" i="1"/>
  <c r="AP4" i="1"/>
  <c r="AC5" i="1"/>
  <c r="AP5" i="1"/>
  <c r="AC6" i="1"/>
  <c r="AP6" i="1"/>
  <c r="AC7" i="1"/>
  <c r="AP7" i="1"/>
  <c r="AC8" i="1"/>
  <c r="AP8" i="1"/>
  <c r="AC9" i="1"/>
  <c r="AP9" i="1"/>
  <c r="AC10" i="1"/>
  <c r="AP10" i="1"/>
  <c r="AC11" i="1"/>
  <c r="AP11" i="1"/>
  <c r="AC12" i="1"/>
  <c r="AP12" i="1"/>
  <c r="AP14" i="1"/>
  <c r="AP15" i="1"/>
  <c r="AO14" i="1"/>
  <c r="AO15" i="1"/>
  <c r="AN14" i="1"/>
  <c r="AN15" i="1"/>
  <c r="AM14" i="1"/>
  <c r="AM15" i="1"/>
  <c r="AL14" i="1"/>
  <c r="AL15" i="1"/>
  <c r="AK14" i="1"/>
  <c r="AK15" i="1"/>
  <c r="AE3" i="1"/>
  <c r="AI3" i="1"/>
  <c r="AE4" i="1"/>
  <c r="AI4" i="1"/>
  <c r="AE5" i="1"/>
  <c r="AI5" i="1"/>
  <c r="AE6" i="1"/>
  <c r="AI6" i="1"/>
  <c r="AE7" i="1"/>
  <c r="AI7" i="1"/>
  <c r="AE8" i="1"/>
  <c r="AI8" i="1"/>
  <c r="AE9" i="1"/>
  <c r="AI9" i="1"/>
  <c r="AE10" i="1"/>
  <c r="AI10" i="1"/>
  <c r="AE11" i="1"/>
  <c r="AI11" i="1"/>
  <c r="AE12" i="1"/>
  <c r="AI12" i="1"/>
  <c r="AI14" i="1"/>
  <c r="AI15" i="1"/>
  <c r="AH3" i="1"/>
  <c r="AH4" i="1"/>
  <c r="AH5" i="1"/>
  <c r="AH6" i="1"/>
  <c r="AH7" i="1"/>
  <c r="AH8" i="1"/>
  <c r="AH9" i="1"/>
  <c r="AH10" i="1"/>
  <c r="AH11" i="1"/>
  <c r="AH12" i="1"/>
  <c r="AH14" i="1"/>
  <c r="AH15" i="1"/>
  <c r="AG3" i="1"/>
  <c r="AG4" i="1"/>
  <c r="AG5" i="1"/>
  <c r="AG6" i="1"/>
  <c r="AG7" i="1"/>
  <c r="AG8" i="1"/>
  <c r="AG9" i="1"/>
  <c r="AG10" i="1"/>
  <c r="AG11" i="1"/>
  <c r="AG12" i="1"/>
  <c r="AG14" i="1"/>
  <c r="AG15" i="1"/>
  <c r="AF3" i="1"/>
  <c r="AF4" i="1"/>
  <c r="AF5" i="1"/>
  <c r="AF6" i="1"/>
  <c r="AF7" i="1"/>
  <c r="AF8" i="1"/>
  <c r="AF9" i="1"/>
  <c r="AF10" i="1"/>
  <c r="AF11" i="1"/>
  <c r="AF12" i="1"/>
  <c r="AF14" i="1"/>
  <c r="AF15" i="1"/>
  <c r="AE14" i="1"/>
  <c r="AE15" i="1"/>
  <c r="AD3" i="1"/>
  <c r="AD4" i="1"/>
  <c r="AD5" i="1"/>
  <c r="AD6" i="1"/>
  <c r="AD7" i="1"/>
  <c r="AD8" i="1"/>
  <c r="AD9" i="1"/>
  <c r="AD10" i="1"/>
  <c r="AD11" i="1"/>
  <c r="AD12" i="1"/>
  <c r="AD14" i="1"/>
  <c r="AD15" i="1"/>
  <c r="AC14" i="1"/>
  <c r="AC15" i="1"/>
  <c r="AB14" i="1"/>
  <c r="AB15" i="1"/>
  <c r="AA14" i="1"/>
  <c r="AA15" i="1"/>
  <c r="Z14" i="1"/>
  <c r="Z15" i="1"/>
  <c r="Y14" i="1"/>
  <c r="Y15" i="1"/>
  <c r="S3" i="1"/>
  <c r="W3" i="1"/>
  <c r="S4" i="1"/>
  <c r="W4" i="1"/>
  <c r="S5" i="1"/>
  <c r="W5" i="1"/>
  <c r="S6" i="1"/>
  <c r="W6" i="1"/>
  <c r="S7" i="1"/>
  <c r="W7" i="1"/>
  <c r="S8" i="1"/>
  <c r="W8" i="1"/>
  <c r="S9" i="1"/>
  <c r="W9" i="1"/>
  <c r="S10" i="1"/>
  <c r="W10" i="1"/>
  <c r="S11" i="1"/>
  <c r="W11" i="1"/>
  <c r="S12" i="1"/>
  <c r="W12" i="1"/>
  <c r="W14" i="1"/>
  <c r="W15" i="1"/>
  <c r="V3" i="1"/>
  <c r="V4" i="1"/>
  <c r="V5" i="1"/>
  <c r="V6" i="1"/>
  <c r="V7" i="1"/>
  <c r="V8" i="1"/>
  <c r="V9" i="1"/>
  <c r="V10" i="1"/>
  <c r="V11" i="1"/>
  <c r="V12" i="1"/>
  <c r="V14" i="1"/>
  <c r="V15" i="1"/>
  <c r="U3" i="1"/>
  <c r="U4" i="1"/>
  <c r="U5" i="1"/>
  <c r="U6" i="1"/>
  <c r="U7" i="1"/>
  <c r="U8" i="1"/>
  <c r="U9" i="1"/>
  <c r="U10" i="1"/>
  <c r="U11" i="1"/>
  <c r="U12" i="1"/>
  <c r="U14" i="1"/>
  <c r="U15" i="1"/>
  <c r="T3" i="1"/>
  <c r="T4" i="1"/>
  <c r="T5" i="1"/>
  <c r="T6" i="1"/>
  <c r="T7" i="1"/>
  <c r="T8" i="1"/>
  <c r="T9" i="1"/>
  <c r="T10" i="1"/>
  <c r="T11" i="1"/>
  <c r="T12" i="1"/>
  <c r="T14" i="1"/>
  <c r="T15" i="1"/>
  <c r="S14" i="1"/>
  <c r="S15" i="1"/>
  <c r="F3" i="1"/>
  <c r="R3" i="1"/>
  <c r="F4" i="1"/>
  <c r="R4" i="1"/>
  <c r="F5" i="1"/>
  <c r="R5" i="1"/>
  <c r="F6" i="1"/>
  <c r="R6" i="1"/>
  <c r="F7" i="1"/>
  <c r="R7" i="1"/>
  <c r="F8" i="1"/>
  <c r="R8" i="1"/>
  <c r="F9" i="1"/>
  <c r="R9" i="1"/>
  <c r="F10" i="1"/>
  <c r="R10" i="1"/>
  <c r="F11" i="1"/>
  <c r="R11" i="1"/>
  <c r="F12" i="1"/>
  <c r="R12" i="1"/>
  <c r="R14" i="1"/>
  <c r="R15" i="1"/>
  <c r="Q14" i="1"/>
  <c r="Q15" i="1"/>
  <c r="P14" i="1"/>
  <c r="P15" i="1"/>
  <c r="O14" i="1"/>
  <c r="O15" i="1"/>
  <c r="N14" i="1"/>
  <c r="N15" i="1"/>
  <c r="M14" i="1"/>
  <c r="M15" i="1"/>
  <c r="G3" i="1"/>
  <c r="K3" i="1"/>
  <c r="G4" i="1"/>
  <c r="K4" i="1"/>
  <c r="G5" i="1"/>
  <c r="K5" i="1"/>
  <c r="G6" i="1"/>
  <c r="K6" i="1"/>
  <c r="G7" i="1"/>
  <c r="K7" i="1"/>
  <c r="G8" i="1"/>
  <c r="K8" i="1"/>
  <c r="G9" i="1"/>
  <c r="K9" i="1"/>
  <c r="G10" i="1"/>
  <c r="K10" i="1"/>
  <c r="G11" i="1"/>
  <c r="K11" i="1"/>
  <c r="G12" i="1"/>
  <c r="K12" i="1"/>
  <c r="K14" i="1"/>
  <c r="K15" i="1"/>
  <c r="J3" i="1"/>
  <c r="J4" i="1"/>
  <c r="J5" i="1"/>
  <c r="J6" i="1"/>
  <c r="J7" i="1"/>
  <c r="J8" i="1"/>
  <c r="J9" i="1"/>
  <c r="J10" i="1"/>
  <c r="J11" i="1"/>
  <c r="J12" i="1"/>
  <c r="J14" i="1"/>
  <c r="J15" i="1"/>
  <c r="I3" i="1"/>
  <c r="I4" i="1"/>
  <c r="I5" i="1"/>
  <c r="I6" i="1"/>
  <c r="I7" i="1"/>
  <c r="I8" i="1"/>
  <c r="I9" i="1"/>
  <c r="I10" i="1"/>
  <c r="I11" i="1"/>
  <c r="I12" i="1"/>
  <c r="I14" i="1"/>
  <c r="I15" i="1"/>
  <c r="H3" i="1"/>
  <c r="H4" i="1"/>
  <c r="H5" i="1"/>
  <c r="H6" i="1"/>
  <c r="H7" i="1"/>
  <c r="H8" i="1"/>
  <c r="H9" i="1"/>
  <c r="H10" i="1"/>
  <c r="H11" i="1"/>
  <c r="H12" i="1"/>
  <c r="H14" i="1"/>
  <c r="H15" i="1"/>
  <c r="G14" i="1"/>
  <c r="G15" i="1"/>
  <c r="F14" i="1"/>
  <c r="F15" i="1"/>
  <c r="E14" i="1"/>
  <c r="E15" i="1"/>
  <c r="D14" i="1"/>
  <c r="D15" i="1"/>
  <c r="C14" i="1"/>
  <c r="C15" i="1"/>
  <c r="B14" i="1"/>
  <c r="B15" i="1"/>
  <c r="CK13" i="1"/>
  <c r="CJ13" i="1"/>
  <c r="CI13" i="1"/>
  <c r="CH13" i="1"/>
  <c r="CG13" i="1"/>
  <c r="CF13" i="1"/>
  <c r="CE13" i="1"/>
  <c r="CD13" i="1"/>
  <c r="CC13" i="1"/>
  <c r="CB13" i="1"/>
  <c r="BZ13" i="1"/>
  <c r="BY13" i="1"/>
  <c r="BX13" i="1"/>
  <c r="BW13" i="1"/>
  <c r="BV13" i="1"/>
  <c r="BU13" i="1"/>
  <c r="BS13" i="1"/>
  <c r="BR13" i="1"/>
  <c r="BQ13" i="1"/>
  <c r="BP13" i="1"/>
  <c r="BO13" i="1"/>
  <c r="BN13" i="1"/>
  <c r="BM13" i="1"/>
  <c r="BL13" i="1"/>
  <c r="BK13" i="1"/>
  <c r="BJ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U13" i="1"/>
  <c r="AT13" i="1"/>
  <c r="AS13" i="1"/>
  <c r="AR13" i="1"/>
  <c r="AQ13" i="1"/>
  <c r="AP13" i="1"/>
  <c r="AO13" i="1"/>
  <c r="AN13" i="1"/>
  <c r="AM13" i="1"/>
  <c r="AL13" i="1"/>
  <c r="AK13" i="1"/>
  <c r="AI13" i="1"/>
  <c r="AH13" i="1"/>
  <c r="AG13" i="1"/>
  <c r="AF13" i="1"/>
  <c r="AE13" i="1"/>
  <c r="AD13" i="1"/>
  <c r="AC13" i="1"/>
  <c r="AB13" i="1"/>
  <c r="AA13" i="1"/>
  <c r="Z13" i="1"/>
  <c r="Y13" i="1"/>
  <c r="W13" i="1"/>
  <c r="V13" i="1"/>
  <c r="U13" i="1"/>
  <c r="T13" i="1"/>
  <c r="S13" i="1"/>
  <c r="R13" i="1"/>
  <c r="Q13" i="1"/>
  <c r="P13" i="1"/>
  <c r="O13" i="1"/>
  <c r="N13" i="1"/>
  <c r="M13" i="1"/>
  <c r="K13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<sst xmlns="http://schemas.openxmlformats.org/spreadsheetml/2006/main" count="460" uniqueCount="70">
  <si>
    <t>Above ground sizes, 19 June 03</t>
  </si>
  <si>
    <t>dimensions refer to live plus dead</t>
  </si>
  <si>
    <t>Above ground sizes, 30 May - 1 June,04</t>
  </si>
  <si>
    <t>Above ground sizes, 20-23 June 2005, dimensions refer to live only</t>
  </si>
  <si>
    <t>June 2005, dimensions of live only</t>
  </si>
  <si>
    <t>Above ground dimensions, living only, 24-25 June 2006</t>
  </si>
  <si>
    <t>Above ground dimensions, including dead, 24-25 April 2010</t>
    <phoneticPr fontId="0"/>
  </si>
  <si>
    <t>Above ground dimensions, including dead, 19 May. 2011</t>
    <phoneticPr fontId="0"/>
  </si>
  <si>
    <t>Above ground dimensions, Alive only, 19 May, 2011</t>
    <phoneticPr fontId="0"/>
  </si>
  <si>
    <t>Above ground dimensions, including dead, 16 &amp; 17 June 2014</t>
  </si>
  <si>
    <t>w1</t>
  </si>
  <si>
    <t>w2</t>
  </si>
  <si>
    <t>h1</t>
  </si>
  <si>
    <t>% dead</t>
  </si>
  <si>
    <t>Tot Vol, m3</t>
  </si>
  <si>
    <t>Tot mass, g</t>
  </si>
  <si>
    <t>Live Vol,m3</t>
  </si>
  <si>
    <t>Live mass,g</t>
  </si>
  <si>
    <t>Dead Vol,m3</t>
  </si>
  <si>
    <t>Dead mass,g</t>
  </si>
  <si>
    <t>h</t>
  </si>
  <si>
    <t>04-'03</t>
    <phoneticPr fontId="0"/>
  </si>
  <si>
    <t>05-'04</t>
    <phoneticPr fontId="0"/>
  </si>
  <si>
    <t>06-'05</t>
    <phoneticPr fontId="0"/>
  </si>
  <si>
    <t>10-'06</t>
    <phoneticPr fontId="0"/>
  </si>
  <si>
    <t>10-'04</t>
    <phoneticPr fontId="0"/>
  </si>
  <si>
    <t>LC1</t>
  </si>
  <si>
    <t>LC2</t>
  </si>
  <si>
    <t>LC3</t>
  </si>
  <si>
    <t>LC4</t>
  </si>
  <si>
    <t>LC5</t>
  </si>
  <si>
    <t>LC6</t>
  </si>
  <si>
    <t>LC7</t>
  </si>
  <si>
    <t>LC8</t>
  </si>
  <si>
    <t>LC9</t>
  </si>
  <si>
    <t>LC10</t>
  </si>
  <si>
    <t>AVE</t>
  </si>
  <si>
    <t>s.d.</t>
  </si>
  <si>
    <t>95%conf</t>
  </si>
  <si>
    <t>L02</t>
  </si>
  <si>
    <t>L03</t>
  </si>
  <si>
    <t>L05</t>
  </si>
  <si>
    <t>L07</t>
  </si>
  <si>
    <t>L13</t>
  </si>
  <si>
    <t>L14</t>
  </si>
  <si>
    <t>L21</t>
  </si>
  <si>
    <t>L24</t>
  </si>
  <si>
    <t>L25</t>
  </si>
  <si>
    <t>L29</t>
  </si>
  <si>
    <t>95% conf</t>
  </si>
  <si>
    <t>L01</t>
  </si>
  <si>
    <t>L06</t>
  </si>
  <si>
    <t>L09</t>
  </si>
  <si>
    <t>L12</t>
  </si>
  <si>
    <t>L18</t>
  </si>
  <si>
    <t>L19</t>
  </si>
  <si>
    <t>L22</t>
  </si>
  <si>
    <t>L26</t>
  </si>
  <si>
    <t>L27</t>
  </si>
  <si>
    <t>L28</t>
  </si>
  <si>
    <t>L04</t>
  </si>
  <si>
    <t>L08</t>
  </si>
  <si>
    <t>L10</t>
  </si>
  <si>
    <t>L11</t>
  </si>
  <si>
    <t>L15</t>
  </si>
  <si>
    <t>L16</t>
  </si>
  <si>
    <t>L17</t>
  </si>
  <si>
    <t>L20</t>
  </si>
  <si>
    <t>L23</t>
  </si>
  <si>
    <t>L30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</si>
</sst>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3" x14ac:knownFonts="1">
    <font>
      <sz val="12"/>
      <color theme="1"/>
      <name val="Calibri"/>
      <family val="2"/>
      <scheme val="minor"/>
    </font>
    <font>
      <sz val="14"/>
      <name val="Verdana"/>
    </font>
    <font>
      <sz val="1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/>
    <xf numFmtId="0" fontId="0" fillId="0" borderId="0" xfId="0" quotePrefix="1"/>
    <xf numFmtId="16" fontId="0" fillId="0" borderId="0" xfId="0" quotePrefix="1" applyNumberFormat="1"/>
    <xf numFmtId="164" fontId="0" fillId="0" borderId="0" xfId="0" applyNumberFormat="1"/>
    <xf numFmtId="165" fontId="0" fillId="0" borderId="0" xfId="0" applyNumberFormat="1"/>
    <xf numFmtId="2" fontId="1" fillId="0" borderId="1" xfId="0" applyNumberFormat="1" applyFont="1" applyBorder="1"/>
    <xf numFmtId="2" fontId="2" fillId="0" borderId="1" xfId="0" applyNumberFormat="1" applyFont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59"/>
  <sheetViews>
    <sheetView tabSelected="1" showRuler="0" workbookViewId="0">
      <selection sqref="A1:CL59"/>
    </sheetView>
  </sheetViews>
  <sheetFormatPr baseColWidth="10" defaultRowHeight="15" x14ac:dyDescent="0"/>
  <sheetData>
    <row r="1" spans="1:89">
      <c r="B1" t="s">
        <v>0</v>
      </c>
      <c r="E1" t="s">
        <v>1</v>
      </c>
      <c r="M1" t="s">
        <v>2</v>
      </c>
      <c r="Q1" t="s">
        <v>1</v>
      </c>
      <c r="Y1" t="s">
        <v>3</v>
      </c>
      <c r="AA1" t="s">
        <v>4</v>
      </c>
      <c r="AK1" t="s">
        <v>5</v>
      </c>
      <c r="AW1" t="s">
        <v>6</v>
      </c>
      <c r="AZ1" s="1"/>
      <c r="BJ1" t="s">
        <v>7</v>
      </c>
      <c r="BU1" t="s">
        <v>8</v>
      </c>
      <c r="CB1" t="s">
        <v>9</v>
      </c>
    </row>
    <row r="2" spans="1:89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M2" t="s">
        <v>10</v>
      </c>
      <c r="N2" t="s">
        <v>11</v>
      </c>
      <c r="O2" t="s">
        <v>20</v>
      </c>
      <c r="P2" t="s">
        <v>13</v>
      </c>
      <c r="Q2" t="s">
        <v>14</v>
      </c>
      <c r="R2" s="2" t="s">
        <v>21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Y2" t="s">
        <v>10</v>
      </c>
      <c r="Z2" t="s">
        <v>11</v>
      </c>
      <c r="AA2" t="s">
        <v>20</v>
      </c>
      <c r="AB2" t="s">
        <v>13</v>
      </c>
      <c r="AC2" t="s">
        <v>14</v>
      </c>
      <c r="AD2" s="3" t="s">
        <v>22</v>
      </c>
      <c r="AE2" t="s">
        <v>15</v>
      </c>
      <c r="AF2" t="s">
        <v>16</v>
      </c>
      <c r="AG2" t="s">
        <v>17</v>
      </c>
      <c r="AH2" t="s">
        <v>18</v>
      </c>
      <c r="AI2" t="s">
        <v>19</v>
      </c>
      <c r="AK2" t="s">
        <v>10</v>
      </c>
      <c r="AL2" t="s">
        <v>11</v>
      </c>
      <c r="AM2" t="s">
        <v>20</v>
      </c>
      <c r="AN2" t="s">
        <v>13</v>
      </c>
      <c r="AO2" t="s">
        <v>14</v>
      </c>
      <c r="AP2" s="2" t="s">
        <v>23</v>
      </c>
      <c r="AQ2" t="s">
        <v>15</v>
      </c>
      <c r="AR2" t="s">
        <v>16</v>
      </c>
      <c r="AS2" t="s">
        <v>17</v>
      </c>
      <c r="AT2" t="s">
        <v>18</v>
      </c>
      <c r="AU2" t="s">
        <v>19</v>
      </c>
      <c r="AW2" t="s">
        <v>10</v>
      </c>
      <c r="AX2" t="s">
        <v>11</v>
      </c>
      <c r="AY2" t="s">
        <v>20</v>
      </c>
      <c r="AZ2" t="s">
        <v>13</v>
      </c>
      <c r="BA2" t="s">
        <v>14</v>
      </c>
      <c r="BB2" s="2" t="s">
        <v>24</v>
      </c>
      <c r="BC2" s="2" t="s">
        <v>25</v>
      </c>
      <c r="BD2" t="s">
        <v>15</v>
      </c>
      <c r="BE2" t="s">
        <v>16</v>
      </c>
      <c r="BF2" t="s">
        <v>17</v>
      </c>
      <c r="BG2" t="s">
        <v>18</v>
      </c>
      <c r="BH2" t="s">
        <v>19</v>
      </c>
      <c r="BJ2" t="s">
        <v>10</v>
      </c>
      <c r="BK2" t="s">
        <v>11</v>
      </c>
      <c r="BL2" t="s">
        <v>20</v>
      </c>
      <c r="BM2" t="s">
        <v>13</v>
      </c>
      <c r="BN2" t="s">
        <v>14</v>
      </c>
      <c r="BO2" t="s">
        <v>15</v>
      </c>
      <c r="BP2" t="s">
        <v>16</v>
      </c>
      <c r="BQ2" t="s">
        <v>17</v>
      </c>
      <c r="BR2" t="s">
        <v>18</v>
      </c>
      <c r="BS2" t="s">
        <v>19</v>
      </c>
      <c r="BU2" t="s">
        <v>10</v>
      </c>
      <c r="BV2" t="s">
        <v>11</v>
      </c>
      <c r="BW2" t="s">
        <v>20</v>
      </c>
      <c r="BX2" t="s">
        <v>13</v>
      </c>
      <c r="BY2" t="s">
        <v>14</v>
      </c>
      <c r="BZ2" t="s">
        <v>15</v>
      </c>
      <c r="CB2" t="s">
        <v>10</v>
      </c>
      <c r="CC2" t="s">
        <v>11</v>
      </c>
      <c r="CD2" t="s">
        <v>20</v>
      </c>
      <c r="CE2" t="s">
        <v>13</v>
      </c>
      <c r="CF2" t="s">
        <v>14</v>
      </c>
      <c r="CG2" t="s">
        <v>15</v>
      </c>
      <c r="CH2" t="s">
        <v>16</v>
      </c>
      <c r="CI2" t="s">
        <v>17</v>
      </c>
      <c r="CJ2" t="s">
        <v>18</v>
      </c>
      <c r="CK2" t="s">
        <v>19</v>
      </c>
    </row>
    <row r="3" spans="1:89">
      <c r="A3" t="s">
        <v>26</v>
      </c>
      <c r="B3">
        <v>150</v>
      </c>
      <c r="C3">
        <v>146</v>
      </c>
      <c r="D3">
        <v>103</v>
      </c>
      <c r="E3">
        <v>10</v>
      </c>
      <c r="F3" s="4">
        <f>PI()*((B3+C3)/4)^2*D3/3000000</f>
        <v>0.59064874040631465</v>
      </c>
      <c r="G3" s="5">
        <f>10^(3.382+0.971*LOG(F3))</f>
        <v>1445.3090862022348</v>
      </c>
      <c r="H3" s="4">
        <f>F3*(1-(E3*1/100))</f>
        <v>0.53158386636568322</v>
      </c>
      <c r="I3" s="5">
        <f>G3*(1-(E3*1/100))</f>
        <v>1300.7781775820113</v>
      </c>
      <c r="J3" s="4">
        <f>F3*(E3*(1/100))</f>
        <v>5.9064874040631467E-2</v>
      </c>
      <c r="K3" s="5">
        <f>G3*(E3*(1/100))</f>
        <v>144.53090862022347</v>
      </c>
      <c r="L3" t="s">
        <v>26</v>
      </c>
      <c r="M3">
        <v>149</v>
      </c>
      <c r="N3">
        <v>138</v>
      </c>
      <c r="O3">
        <v>104</v>
      </c>
      <c r="P3">
        <v>10</v>
      </c>
      <c r="Q3" s="4">
        <f t="shared" ref="Q3:Q12" si="0">PI()*((M3+N3)/4)^2*O3/3000000</f>
        <v>0.56066799811433166</v>
      </c>
      <c r="R3" s="4">
        <f>Q3-F3</f>
        <v>-2.9980742291982998E-2</v>
      </c>
      <c r="S3" s="5">
        <f t="shared" ref="S3:S12" si="1">10^(3.382+0.971*LOG(Q3))</f>
        <v>1374.0207799559455</v>
      </c>
      <c r="T3" s="4">
        <f t="shared" ref="T3:T12" si="2">Q3*(1-(P3*1/100))</f>
        <v>0.50460119830289851</v>
      </c>
      <c r="U3" s="5">
        <f t="shared" ref="U3:U12" si="3">S3*(1-(P3*1/100))</f>
        <v>1236.618701960351</v>
      </c>
      <c r="V3" s="4">
        <f t="shared" ref="V3:V12" si="4">Q3*(P3*(1/100))</f>
        <v>5.6066799811433171E-2</v>
      </c>
      <c r="W3" s="5">
        <f t="shared" ref="W3:W12" si="5">S3*(P3*(1/100))</f>
        <v>137.40207799559457</v>
      </c>
      <c r="X3" t="s">
        <v>26</v>
      </c>
      <c r="Y3">
        <v>158</v>
      </c>
      <c r="Z3">
        <v>122</v>
      </c>
      <c r="AA3">
        <v>107</v>
      </c>
      <c r="AB3">
        <v>20</v>
      </c>
      <c r="AC3" s="4">
        <f t="shared" ref="AC3:AC12" si="6">PI()*((Y3+Z3)/4)^2*AA3/3000000</f>
        <v>0.5490456760923762</v>
      </c>
      <c r="AD3" s="4">
        <f>AC3-Q3</f>
        <v>-1.1622322021955456E-2</v>
      </c>
      <c r="AE3" s="5">
        <f t="shared" ref="AE3:AE12" si="7">10^(3.382+0.971*LOG(AC3))</f>
        <v>1346.355751333338</v>
      </c>
      <c r="AF3" s="4">
        <f t="shared" ref="AF3:AF12" si="8">AC3*(1-(AB3*1/100))</f>
        <v>0.43923654087390096</v>
      </c>
      <c r="AG3" s="5">
        <f t="shared" ref="AG3:AG12" si="9">AE3*(1-(AB3*1/100))</f>
        <v>1077.0846010666705</v>
      </c>
      <c r="AH3" s="4">
        <f t="shared" ref="AH3:AH12" si="10">AC3*(AB3*(1/100))</f>
        <v>0.10980913521847524</v>
      </c>
      <c r="AI3" s="5">
        <f t="shared" ref="AI3:AI12" si="11">AE3*(AB3*(1/100))</f>
        <v>269.27115026666763</v>
      </c>
      <c r="AJ3" t="s">
        <v>26</v>
      </c>
      <c r="AK3">
        <v>166</v>
      </c>
      <c r="AL3">
        <v>107</v>
      </c>
      <c r="AM3">
        <v>107</v>
      </c>
      <c r="AN3">
        <v>10</v>
      </c>
      <c r="AO3" s="4">
        <f t="shared" ref="AO3:AO12" si="12">PI()*((AK3+AL3)/4)^2*AM3/3000000</f>
        <v>0.52193654583531512</v>
      </c>
      <c r="AP3" s="4">
        <f>AO3-AC3</f>
        <v>-2.7109130257061076E-2</v>
      </c>
      <c r="AQ3" s="5">
        <f t="shared" ref="AQ3:AQ12" si="13">10^(3.382+0.971*LOG(AO3))</f>
        <v>1281.7602337105702</v>
      </c>
      <c r="AR3" s="4">
        <f t="shared" ref="AR3:AR12" si="14">AO3*(1-(AN3*1/100))</f>
        <v>0.46974289125178365</v>
      </c>
      <c r="AS3" s="5">
        <f t="shared" ref="AS3:AS12" si="15">AQ3*(1-(AN3*1/100))</f>
        <v>1153.5842103395132</v>
      </c>
      <c r="AT3" s="4">
        <f t="shared" ref="AT3:AT12" si="16">AO3*(AN3*(1/100))</f>
        <v>5.2193654583531514E-2</v>
      </c>
      <c r="AU3" s="5">
        <f t="shared" ref="AU3:AU12" si="17">AQ3*(AN3*(1/100))</f>
        <v>128.17602337105703</v>
      </c>
      <c r="AV3" t="s">
        <v>26</v>
      </c>
      <c r="AW3">
        <v>145</v>
      </c>
      <c r="AX3">
        <v>149</v>
      </c>
      <c r="AY3">
        <v>103</v>
      </c>
      <c r="AZ3">
        <v>30</v>
      </c>
      <c r="BA3" s="4">
        <f>PI()*((AW3+AX3)/4)^2*AY3/3000000</f>
        <v>0.58269396600803747</v>
      </c>
      <c r="BB3" s="4">
        <f>BA3-AO3</f>
        <v>6.0757420172722343E-2</v>
      </c>
      <c r="BC3" s="4">
        <f>BA3-Q3</f>
        <v>2.2025967893705811E-2</v>
      </c>
      <c r="BD3" s="5">
        <f>10^(3.382+0.971*LOG(BA3))</f>
        <v>1426.4046493363032</v>
      </c>
      <c r="BE3" s="4">
        <f>BA3*(1-(AZ3*1/100))</f>
        <v>0.40788577620562622</v>
      </c>
      <c r="BF3" s="5">
        <f>BD3*(1-(AZ3*1/100))</f>
        <v>998.48325453541224</v>
      </c>
      <c r="BG3" s="4">
        <f>BA3*(AZ3*(1/100))</f>
        <v>0.17480818980241122</v>
      </c>
      <c r="BH3" s="5">
        <f>BD3*(AZ3*(1/100))</f>
        <v>427.92139480089094</v>
      </c>
      <c r="BI3" t="s">
        <v>26</v>
      </c>
      <c r="BJ3">
        <v>167</v>
      </c>
      <c r="BK3">
        <v>158</v>
      </c>
      <c r="BL3">
        <v>101</v>
      </c>
      <c r="BM3">
        <v>20</v>
      </c>
      <c r="BN3" s="4">
        <f>PI()*((BJ3+BK3)/4)^2*BL3/3000000</f>
        <v>0.69822714849120027</v>
      </c>
      <c r="BO3" s="5">
        <f>10^(3.382+0.971*LOG(BN3))</f>
        <v>1700.2814858138518</v>
      </c>
      <c r="BP3" s="4">
        <f>BN3*(1-(BM3*1/100))</f>
        <v>0.55858171879296026</v>
      </c>
      <c r="BQ3" s="5">
        <f t="shared" ref="BQ3:BQ12" si="18">BO3*(1-(BM3*1/100))</f>
        <v>1360.2251886510815</v>
      </c>
      <c r="BR3" s="4">
        <f>BN3*(BM3*(1/100))</f>
        <v>0.13964542969824006</v>
      </c>
      <c r="BS3" s="5">
        <f t="shared" ref="BS3:BS12" si="19">BO3*(BM3*(1/100))</f>
        <v>340.05629716277036</v>
      </c>
      <c r="BT3" t="s">
        <v>26</v>
      </c>
      <c r="BU3">
        <v>167</v>
      </c>
      <c r="BV3">
        <v>110</v>
      </c>
      <c r="BW3">
        <v>101</v>
      </c>
      <c r="BX3">
        <v>20</v>
      </c>
      <c r="BY3" s="4">
        <f>PI()*((BU3+BV3)/4)^2*BW3/3000000</f>
        <v>0.50721203196763365</v>
      </c>
      <c r="BZ3" s="5">
        <f>10^(3.382+0.971*LOG(BY3))</f>
        <v>1246.6342380707542</v>
      </c>
      <c r="CA3" t="s">
        <v>26</v>
      </c>
      <c r="CB3">
        <v>164</v>
      </c>
      <c r="CC3">
        <v>135</v>
      </c>
      <c r="CD3">
        <v>98</v>
      </c>
      <c r="CE3">
        <v>15</v>
      </c>
      <c r="CF3" s="4">
        <f t="shared" ref="CF3:CF12" si="20">PI()*((CB3+CC3)/4)^2*CD3/3000000</f>
        <v>0.57342561318147811</v>
      </c>
      <c r="CG3" s="5">
        <f t="shared" ref="CG3:CG12" si="21">10^(3.382+0.971*LOG(CF3))</f>
        <v>1404.3690576314868</v>
      </c>
      <c r="CH3" s="4">
        <f t="shared" ref="CH3:CH12" si="22">CF3*(1-(CE3*1/100))</f>
        <v>0.48741177120425638</v>
      </c>
      <c r="CI3" s="5">
        <f t="shared" ref="CI3:CI12" si="23">CG3*(1-(CE3*1/100))</f>
        <v>1193.7136989867638</v>
      </c>
      <c r="CJ3" s="4">
        <f t="shared" ref="CJ3:CJ12" si="24">CF3*(CE3*(1/100))</f>
        <v>8.6013841977221714E-2</v>
      </c>
      <c r="CK3" s="5">
        <f t="shared" ref="CK3:CK12" si="25">CG3*(CE3*(1/100))</f>
        <v>210.65535864472301</v>
      </c>
    </row>
    <row r="4" spans="1:89">
      <c r="A4" t="s">
        <v>27</v>
      </c>
      <c r="B4">
        <v>153</v>
      </c>
      <c r="C4">
        <v>108</v>
      </c>
      <c r="D4">
        <v>95</v>
      </c>
      <c r="E4">
        <v>15</v>
      </c>
      <c r="F4" s="4">
        <f t="shared" ref="F4:F12" si="26">PI()*((B4+C4)/4)^2*D4/3000000</f>
        <v>0.42355835728631408</v>
      </c>
      <c r="G4" s="5">
        <f t="shared" ref="G4:G12" si="27">10^(3.382+0.971*LOG(F4))</f>
        <v>1046.4844294197185</v>
      </c>
      <c r="H4" s="4">
        <f t="shared" ref="H4:H12" si="28">F4*(1-(E4*1/100))</f>
        <v>0.36002460369336697</v>
      </c>
      <c r="I4" s="5">
        <f t="shared" ref="I4:I12" si="29">G4*(1-(E4*1/100))</f>
        <v>889.5117650067607</v>
      </c>
      <c r="J4" s="4">
        <f t="shared" ref="J4:J12" si="30">F4*(E4*(1/100))</f>
        <v>6.3533753592947106E-2</v>
      </c>
      <c r="K4" s="5">
        <f t="shared" ref="K4:K12" si="31">G4*(E4*(1/100))</f>
        <v>156.97266441295776</v>
      </c>
      <c r="L4" t="s">
        <v>27</v>
      </c>
      <c r="M4">
        <v>147</v>
      </c>
      <c r="N4">
        <v>108</v>
      </c>
      <c r="O4">
        <v>95</v>
      </c>
      <c r="P4">
        <v>30</v>
      </c>
      <c r="Q4" s="4">
        <f t="shared" si="0"/>
        <v>0.40430824830144263</v>
      </c>
      <c r="R4" s="4">
        <f t="shared" ref="R4:R12" si="32">Q4-F4</f>
        <v>-1.925010898487145E-2</v>
      </c>
      <c r="S4" s="5">
        <f t="shared" si="1"/>
        <v>1000.2715946255544</v>
      </c>
      <c r="T4" s="4">
        <f t="shared" si="2"/>
        <v>0.28301577381100984</v>
      </c>
      <c r="U4" s="5">
        <f t="shared" si="3"/>
        <v>700.19011623788799</v>
      </c>
      <c r="V4" s="4">
        <f t="shared" si="4"/>
        <v>0.12129247449043279</v>
      </c>
      <c r="W4" s="5">
        <f t="shared" si="5"/>
        <v>300.08147838766632</v>
      </c>
      <c r="X4" t="s">
        <v>27</v>
      </c>
      <c r="Y4">
        <v>150</v>
      </c>
      <c r="Z4">
        <v>147</v>
      </c>
      <c r="AA4">
        <v>88</v>
      </c>
      <c r="AB4">
        <v>20</v>
      </c>
      <c r="AC4" s="4">
        <f t="shared" si="6"/>
        <v>0.50804736836425379</v>
      </c>
      <c r="AD4" s="4">
        <f t="shared" ref="AD4:AD12" si="33">AC4-Q4</f>
        <v>0.10373912006281116</v>
      </c>
      <c r="AE4" s="5">
        <f t="shared" si="7"/>
        <v>1248.6277542845251</v>
      </c>
      <c r="AF4" s="4">
        <f t="shared" si="8"/>
        <v>0.40643789469140307</v>
      </c>
      <c r="AG4" s="5">
        <f t="shared" si="9"/>
        <v>998.90220342762007</v>
      </c>
      <c r="AH4" s="4">
        <f t="shared" si="10"/>
        <v>0.10160947367285077</v>
      </c>
      <c r="AI4" s="5">
        <f t="shared" si="11"/>
        <v>249.72555085690502</v>
      </c>
      <c r="AJ4" t="s">
        <v>27</v>
      </c>
      <c r="AK4">
        <v>157</v>
      </c>
      <c r="AL4">
        <v>96</v>
      </c>
      <c r="AM4">
        <v>90</v>
      </c>
      <c r="AN4">
        <v>15</v>
      </c>
      <c r="AO4" s="4">
        <f t="shared" si="12"/>
        <v>0.37704413280680449</v>
      </c>
      <c r="AP4" s="4">
        <f t="shared" ref="AP4:AP12" si="34">AO4-AC4</f>
        <v>-0.1310032355574493</v>
      </c>
      <c r="AQ4" s="5">
        <f t="shared" si="13"/>
        <v>934.70983786438012</v>
      </c>
      <c r="AR4" s="4">
        <f t="shared" si="14"/>
        <v>0.32048751288578381</v>
      </c>
      <c r="AS4" s="5">
        <f t="shared" si="15"/>
        <v>794.50336218472307</v>
      </c>
      <c r="AT4" s="4">
        <f t="shared" si="16"/>
        <v>5.6556619921020672E-2</v>
      </c>
      <c r="AU4" s="5">
        <f t="shared" si="17"/>
        <v>140.20647567965702</v>
      </c>
      <c r="AV4" t="s">
        <v>27</v>
      </c>
      <c r="AW4">
        <v>154</v>
      </c>
      <c r="AX4">
        <v>129</v>
      </c>
      <c r="AY4">
        <v>100</v>
      </c>
      <c r="AZ4">
        <v>40</v>
      </c>
      <c r="BA4" s="4">
        <f t="shared" ref="BA4:BA12" si="35">PI()*((AW4+AX4)/4)^2*AY4/3000000</f>
        <v>0.52418127923615188</v>
      </c>
      <c r="BB4" s="4">
        <f t="shared" ref="BB4:BB12" si="36">BA4-AO4</f>
        <v>0.14713714642934739</v>
      </c>
      <c r="BC4" s="4">
        <f t="shared" ref="BC4:BC12" si="37">BA4-Q4</f>
        <v>0.11987303093470925</v>
      </c>
      <c r="BD4" s="5">
        <f t="shared" ref="BD4:BD12" si="38">10^(3.382+0.971*LOG(BA4))</f>
        <v>1287.1126026408958</v>
      </c>
      <c r="BE4" s="4">
        <f t="shared" ref="BE4:BE12" si="39">BA4*(1-(AZ4*1/100))</f>
        <v>0.3145087675416911</v>
      </c>
      <c r="BF4" s="5">
        <f t="shared" ref="BF4:BF12" si="40">BD4*(1-(AZ4*1/100))</f>
        <v>772.26756158453748</v>
      </c>
      <c r="BG4" s="4">
        <f t="shared" ref="BG4:BG12" si="41">BA4*(AZ4*(1/100))</f>
        <v>0.20967251169446077</v>
      </c>
      <c r="BH4" s="5">
        <f t="shared" ref="BH4:BH12" si="42">BD4*(AZ4*(1/100))</f>
        <v>514.84504105635835</v>
      </c>
      <c r="BI4" t="s">
        <v>27</v>
      </c>
      <c r="BJ4">
        <v>155</v>
      </c>
      <c r="BK4">
        <v>133</v>
      </c>
      <c r="BL4">
        <v>88</v>
      </c>
      <c r="BM4">
        <v>15</v>
      </c>
      <c r="BN4" s="4">
        <f t="shared" ref="BN4:BN12" si="43">PI()*((BJ4+BK4)/4)^2*BL4/3000000</f>
        <v>0.47772314527547827</v>
      </c>
      <c r="BO4" s="5">
        <f t="shared" ref="BO4:BO12" si="44">10^(3.382+0.971*LOG(BN4))</f>
        <v>1176.1972800962185</v>
      </c>
      <c r="BP4" s="4">
        <f t="shared" ref="BP4:BP12" si="45">BN4*(1-(BM4*1/100))</f>
        <v>0.40606467348415654</v>
      </c>
      <c r="BQ4" s="5">
        <f t="shared" si="18"/>
        <v>999.76768808178565</v>
      </c>
      <c r="BR4" s="4">
        <f t="shared" ref="BR4:BR12" si="46">BN4*(BM4*(1/100))</f>
        <v>7.1658471791321732E-2</v>
      </c>
      <c r="BS4" s="5">
        <f t="shared" si="19"/>
        <v>176.42959201443276</v>
      </c>
      <c r="BT4" t="s">
        <v>27</v>
      </c>
      <c r="BU4">
        <v>137</v>
      </c>
      <c r="BV4">
        <v>95</v>
      </c>
      <c r="BW4">
        <v>88</v>
      </c>
      <c r="BX4">
        <v>15</v>
      </c>
      <c r="BY4" s="4">
        <f t="shared" ref="BY4:BY12" si="47">PI()*((BU4+BV4)/4)^2*BW4/3000000</f>
        <v>0.31000398547583119</v>
      </c>
      <c r="BZ4" s="5">
        <f t="shared" ref="BZ4:BZ12" si="48">10^(3.382+0.971*LOG(BY4))</f>
        <v>772.88988961611244</v>
      </c>
      <c r="CA4" t="s">
        <v>27</v>
      </c>
      <c r="CB4">
        <v>140</v>
      </c>
      <c r="CC4">
        <v>120</v>
      </c>
      <c r="CD4">
        <v>93</v>
      </c>
      <c r="CE4">
        <v>20</v>
      </c>
      <c r="CF4" s="4">
        <f t="shared" si="20"/>
        <v>0.41147009780392313</v>
      </c>
      <c r="CG4" s="5">
        <f t="shared" si="21"/>
        <v>1017.4720071875574</v>
      </c>
      <c r="CH4" s="4">
        <f t="shared" si="22"/>
        <v>0.32917607824313855</v>
      </c>
      <c r="CI4" s="5">
        <f t="shared" si="23"/>
        <v>813.977605750046</v>
      </c>
      <c r="CJ4" s="4">
        <f t="shared" si="24"/>
        <v>8.2294019560784637E-2</v>
      </c>
      <c r="CK4" s="5">
        <f t="shared" si="25"/>
        <v>203.4944014375115</v>
      </c>
    </row>
    <row r="5" spans="1:89">
      <c r="A5" t="s">
        <v>28</v>
      </c>
      <c r="B5">
        <v>126</v>
      </c>
      <c r="C5">
        <v>129</v>
      </c>
      <c r="D5">
        <v>90</v>
      </c>
      <c r="E5">
        <v>35</v>
      </c>
      <c r="F5" s="4">
        <f t="shared" si="26"/>
        <v>0.38302886681189302</v>
      </c>
      <c r="G5" s="5">
        <f t="shared" si="27"/>
        <v>949.11271588274383</v>
      </c>
      <c r="H5" s="4">
        <f t="shared" si="28"/>
        <v>0.24896876342773047</v>
      </c>
      <c r="I5" s="5">
        <f t="shared" si="29"/>
        <v>616.92326532378354</v>
      </c>
      <c r="J5" s="4">
        <f t="shared" si="30"/>
        <v>0.13406010338416258</v>
      </c>
      <c r="K5" s="5">
        <f t="shared" si="31"/>
        <v>332.18945055896035</v>
      </c>
      <c r="L5" t="s">
        <v>28</v>
      </c>
      <c r="M5">
        <v>186</v>
      </c>
      <c r="N5">
        <v>134</v>
      </c>
      <c r="O5">
        <v>85</v>
      </c>
      <c r="P5">
        <v>75</v>
      </c>
      <c r="Q5" s="4">
        <f t="shared" si="0"/>
        <v>0.56967546785094914</v>
      </c>
      <c r="R5" s="4">
        <f t="shared" si="32"/>
        <v>0.18664660103905611</v>
      </c>
      <c r="S5" s="5">
        <f t="shared" si="1"/>
        <v>1395.4501273929864</v>
      </c>
      <c r="T5" s="4">
        <f t="shared" si="2"/>
        <v>0.14241886696273728</v>
      </c>
      <c r="U5" s="5">
        <f t="shared" si="3"/>
        <v>348.86253184824659</v>
      </c>
      <c r="V5" s="4">
        <f t="shared" si="4"/>
        <v>0.42725660088821182</v>
      </c>
      <c r="W5" s="5">
        <f t="shared" si="5"/>
        <v>1046.5875955447398</v>
      </c>
      <c r="X5" t="s">
        <v>28</v>
      </c>
      <c r="Y5">
        <v>131</v>
      </c>
      <c r="Z5">
        <v>103</v>
      </c>
      <c r="AA5">
        <v>82</v>
      </c>
      <c r="AB5">
        <v>60</v>
      </c>
      <c r="AC5" s="4">
        <f t="shared" si="6"/>
        <v>0.2938692892057696</v>
      </c>
      <c r="AD5" s="4">
        <f t="shared" si="33"/>
        <v>-0.27580617864517953</v>
      </c>
      <c r="AE5" s="5">
        <f t="shared" si="7"/>
        <v>733.8000392493658</v>
      </c>
      <c r="AF5" s="4">
        <f t="shared" si="8"/>
        <v>0.11754771568230785</v>
      </c>
      <c r="AG5" s="5">
        <f t="shared" si="9"/>
        <v>293.52001569974635</v>
      </c>
      <c r="AH5" s="4">
        <f t="shared" si="10"/>
        <v>0.17632157352346176</v>
      </c>
      <c r="AI5" s="5">
        <f t="shared" si="11"/>
        <v>440.28002354961944</v>
      </c>
      <c r="AJ5" t="s">
        <v>28</v>
      </c>
      <c r="AK5">
        <v>118</v>
      </c>
      <c r="AL5">
        <v>106</v>
      </c>
      <c r="AM5">
        <v>73</v>
      </c>
      <c r="AN5">
        <v>60</v>
      </c>
      <c r="AO5" s="4">
        <f t="shared" si="12"/>
        <v>0.23973284100033471</v>
      </c>
      <c r="AP5" s="4">
        <f t="shared" si="34"/>
        <v>-5.4136448205434895E-2</v>
      </c>
      <c r="AQ5" s="5">
        <f t="shared" si="13"/>
        <v>602.16489535311655</v>
      </c>
      <c r="AR5" s="4">
        <f t="shared" si="14"/>
        <v>9.5893136400133888E-2</v>
      </c>
      <c r="AS5" s="5">
        <f t="shared" si="15"/>
        <v>240.86595814124664</v>
      </c>
      <c r="AT5" s="4">
        <f t="shared" si="16"/>
        <v>0.14383970460020082</v>
      </c>
      <c r="AU5" s="5">
        <f t="shared" si="17"/>
        <v>361.29893721186994</v>
      </c>
      <c r="AV5" t="s">
        <v>28</v>
      </c>
      <c r="AW5">
        <v>140</v>
      </c>
      <c r="AX5">
        <v>200</v>
      </c>
      <c r="AY5">
        <v>89</v>
      </c>
      <c r="AZ5">
        <v>60</v>
      </c>
      <c r="BA5" s="4">
        <f t="shared" si="35"/>
        <v>0.67337420535819215</v>
      </c>
      <c r="BB5" s="4">
        <f t="shared" si="36"/>
        <v>0.43364136435785744</v>
      </c>
      <c r="BC5" s="4">
        <f t="shared" si="37"/>
        <v>0.10369873750724301</v>
      </c>
      <c r="BD5" s="5">
        <f t="shared" si="38"/>
        <v>1641.4854526942852</v>
      </c>
      <c r="BE5" s="4">
        <f t="shared" si="39"/>
        <v>0.26934968214327687</v>
      </c>
      <c r="BF5" s="5">
        <f t="shared" si="40"/>
        <v>656.5941810777141</v>
      </c>
      <c r="BG5" s="4">
        <f t="shared" si="41"/>
        <v>0.40402452321491528</v>
      </c>
      <c r="BH5" s="5">
        <f t="shared" si="42"/>
        <v>984.89127161657109</v>
      </c>
      <c r="BI5" t="s">
        <v>28</v>
      </c>
      <c r="BJ5">
        <v>206</v>
      </c>
      <c r="BK5">
        <v>147</v>
      </c>
      <c r="BL5">
        <v>80</v>
      </c>
      <c r="BM5">
        <v>50</v>
      </c>
      <c r="BN5" s="4">
        <f t="shared" si="43"/>
        <v>0.6524511982852842</v>
      </c>
      <c r="BO5" s="5">
        <f t="shared" si="44"/>
        <v>1591.9379652976866</v>
      </c>
      <c r="BP5" s="4">
        <f t="shared" si="45"/>
        <v>0.3262255991426421</v>
      </c>
      <c r="BQ5" s="5">
        <f t="shared" si="18"/>
        <v>795.96898264884328</v>
      </c>
      <c r="BR5" s="4">
        <f t="shared" si="46"/>
        <v>0.3262255991426421</v>
      </c>
      <c r="BS5" s="5">
        <f t="shared" si="19"/>
        <v>795.96898264884328</v>
      </c>
      <c r="BT5" t="s">
        <v>28</v>
      </c>
      <c r="BU5">
        <v>123</v>
      </c>
      <c r="BV5">
        <v>111</v>
      </c>
      <c r="BW5">
        <v>64</v>
      </c>
      <c r="BX5">
        <v>50</v>
      </c>
      <c r="BY5" s="4">
        <f t="shared" si="47"/>
        <v>0.2293613964532836</v>
      </c>
      <c r="BZ5" s="5">
        <f t="shared" si="48"/>
        <v>576.85310512519891</v>
      </c>
      <c r="CA5" t="s">
        <v>28</v>
      </c>
      <c r="CB5">
        <v>203</v>
      </c>
      <c r="CC5">
        <v>150</v>
      </c>
      <c r="CD5">
        <v>73</v>
      </c>
      <c r="CE5">
        <v>60</v>
      </c>
      <c r="CF5" s="4">
        <f t="shared" si="20"/>
        <v>0.59536171843532182</v>
      </c>
      <c r="CG5" s="5">
        <f t="shared" si="21"/>
        <v>1456.5059393435681</v>
      </c>
      <c r="CH5" s="4">
        <f t="shared" si="22"/>
        <v>0.23814468737412875</v>
      </c>
      <c r="CI5" s="5">
        <f t="shared" si="23"/>
        <v>582.60237573742722</v>
      </c>
      <c r="CJ5" s="4">
        <f t="shared" si="24"/>
        <v>0.35721703106119307</v>
      </c>
      <c r="CK5" s="5">
        <f t="shared" si="25"/>
        <v>873.90356360614089</v>
      </c>
    </row>
    <row r="6" spans="1:89">
      <c r="A6" t="s">
        <v>29</v>
      </c>
      <c r="B6">
        <v>216</v>
      </c>
      <c r="C6">
        <v>208</v>
      </c>
      <c r="D6">
        <v>116</v>
      </c>
      <c r="E6">
        <v>35</v>
      </c>
      <c r="F6" s="4">
        <f t="shared" si="26"/>
        <v>1.3648921554884168</v>
      </c>
      <c r="G6" s="5">
        <f t="shared" si="27"/>
        <v>3259.7214173722687</v>
      </c>
      <c r="H6" s="4">
        <f t="shared" si="28"/>
        <v>0.88717990106747091</v>
      </c>
      <c r="I6" s="5">
        <f t="shared" si="29"/>
        <v>2118.8189212919747</v>
      </c>
      <c r="J6" s="4">
        <f t="shared" si="30"/>
        <v>0.47771225442094595</v>
      </c>
      <c r="K6" s="5">
        <f t="shared" si="31"/>
        <v>1140.9024960802942</v>
      </c>
      <c r="L6" t="s">
        <v>29</v>
      </c>
      <c r="M6">
        <v>225</v>
      </c>
      <c r="N6">
        <v>220</v>
      </c>
      <c r="O6">
        <v>114</v>
      </c>
      <c r="P6">
        <v>65</v>
      </c>
      <c r="Q6" s="4">
        <f t="shared" si="0"/>
        <v>1.4775204774144071</v>
      </c>
      <c r="R6" s="4">
        <f t="shared" si="32"/>
        <v>0.11262832192599026</v>
      </c>
      <c r="S6" s="5">
        <f t="shared" si="1"/>
        <v>3520.6028553372503</v>
      </c>
      <c r="T6" s="4">
        <f t="shared" si="2"/>
        <v>0.51713216709504239</v>
      </c>
      <c r="U6" s="5">
        <f t="shared" si="3"/>
        <v>1232.2109993680376</v>
      </c>
      <c r="V6" s="4">
        <f t="shared" si="4"/>
        <v>0.96038831031936467</v>
      </c>
      <c r="W6" s="5">
        <f t="shared" si="5"/>
        <v>2288.3918559692129</v>
      </c>
      <c r="X6" t="s">
        <v>29</v>
      </c>
      <c r="Y6">
        <v>169</v>
      </c>
      <c r="Z6">
        <v>104</v>
      </c>
      <c r="AA6">
        <v>113</v>
      </c>
      <c r="AB6">
        <v>55</v>
      </c>
      <c r="AC6" s="4">
        <f t="shared" si="6"/>
        <v>0.55120401569523936</v>
      </c>
      <c r="AD6" s="4">
        <f t="shared" si="33"/>
        <v>-0.92631646171916771</v>
      </c>
      <c r="AE6" s="5">
        <f t="shared" si="7"/>
        <v>1351.4945977857128</v>
      </c>
      <c r="AF6" s="4">
        <f t="shared" si="8"/>
        <v>0.24804180706285769</v>
      </c>
      <c r="AG6" s="5">
        <f t="shared" si="9"/>
        <v>608.17256900357074</v>
      </c>
      <c r="AH6" s="4">
        <f t="shared" si="10"/>
        <v>0.30316220863238169</v>
      </c>
      <c r="AI6" s="5">
        <f t="shared" si="11"/>
        <v>743.32202878214207</v>
      </c>
      <c r="AJ6" t="s">
        <v>29</v>
      </c>
      <c r="AK6">
        <v>174</v>
      </c>
      <c r="AL6">
        <v>129</v>
      </c>
      <c r="AM6">
        <v>111</v>
      </c>
      <c r="AN6">
        <v>55</v>
      </c>
      <c r="AO6" s="4">
        <f t="shared" si="12"/>
        <v>0.66698623484604602</v>
      </c>
      <c r="AP6" s="4">
        <f t="shared" si="34"/>
        <v>0.11578221915080666</v>
      </c>
      <c r="AQ6" s="5">
        <f t="shared" si="13"/>
        <v>1626.3629864035361</v>
      </c>
      <c r="AR6" s="4">
        <f t="shared" si="14"/>
        <v>0.30014380568072069</v>
      </c>
      <c r="AS6" s="5">
        <f t="shared" si="15"/>
        <v>731.86334388159116</v>
      </c>
      <c r="AT6" s="4">
        <f t="shared" si="16"/>
        <v>0.36684242916532533</v>
      </c>
      <c r="AU6" s="5">
        <f t="shared" si="17"/>
        <v>894.49964252194491</v>
      </c>
      <c r="AV6" t="s">
        <v>29</v>
      </c>
      <c r="AW6">
        <v>205</v>
      </c>
      <c r="AX6">
        <v>222</v>
      </c>
      <c r="AY6">
        <v>123</v>
      </c>
      <c r="AZ6">
        <v>70</v>
      </c>
      <c r="BA6" s="4">
        <f t="shared" si="35"/>
        <v>1.467808832774457</v>
      </c>
      <c r="BB6" s="4">
        <f t="shared" si="36"/>
        <v>0.80082259792841093</v>
      </c>
      <c r="BC6" s="4">
        <f t="shared" si="37"/>
        <v>-9.7116446399501122E-3</v>
      </c>
      <c r="BD6" s="5">
        <f t="shared" si="38"/>
        <v>3498.1310986425306</v>
      </c>
      <c r="BE6" s="4">
        <f t="shared" si="39"/>
        <v>0.44034264983233717</v>
      </c>
      <c r="BF6" s="5">
        <f t="shared" si="40"/>
        <v>1049.4393295927593</v>
      </c>
      <c r="BG6" s="4">
        <f t="shared" si="41"/>
        <v>1.0274661829421199</v>
      </c>
      <c r="BH6" s="5">
        <f t="shared" si="42"/>
        <v>2448.6917690497717</v>
      </c>
      <c r="BI6" t="s">
        <v>29</v>
      </c>
      <c r="BJ6">
        <v>255</v>
      </c>
      <c r="BK6">
        <v>227</v>
      </c>
      <c r="BL6">
        <v>118</v>
      </c>
      <c r="BM6">
        <v>60</v>
      </c>
      <c r="BN6" s="4">
        <f t="shared" si="43"/>
        <v>1.7942572886459629</v>
      </c>
      <c r="BO6" s="5">
        <f t="shared" si="44"/>
        <v>4251.3030296230681</v>
      </c>
      <c r="BP6" s="4">
        <f t="shared" si="45"/>
        <v>0.71770291545838516</v>
      </c>
      <c r="BQ6" s="5">
        <f t="shared" si="18"/>
        <v>1700.5212118492273</v>
      </c>
      <c r="BR6" s="4">
        <f t="shared" si="46"/>
        <v>1.0765543731875777</v>
      </c>
      <c r="BS6" s="5">
        <f t="shared" si="19"/>
        <v>2550.7818177738409</v>
      </c>
      <c r="BT6" t="s">
        <v>29</v>
      </c>
      <c r="BU6">
        <v>127</v>
      </c>
      <c r="BV6">
        <v>130</v>
      </c>
      <c r="BW6">
        <v>95</v>
      </c>
      <c r="BX6">
        <v>60</v>
      </c>
      <c r="BY6" s="4">
        <f t="shared" si="47"/>
        <v>0.41067520941271796</v>
      </c>
      <c r="BZ6" s="5">
        <f t="shared" si="48"/>
        <v>1015.5633771807131</v>
      </c>
      <c r="CA6" t="s">
        <v>29</v>
      </c>
      <c r="CB6">
        <v>220</v>
      </c>
      <c r="CC6">
        <v>217</v>
      </c>
      <c r="CD6">
        <v>114</v>
      </c>
      <c r="CE6">
        <v>65</v>
      </c>
      <c r="CF6" s="4">
        <f t="shared" si="20"/>
        <v>1.4248736677255494</v>
      </c>
      <c r="CG6" s="5">
        <f t="shared" si="21"/>
        <v>3398.7314177616518</v>
      </c>
      <c r="CH6" s="4">
        <f t="shared" si="22"/>
        <v>0.49870578370394225</v>
      </c>
      <c r="CI6" s="5">
        <f t="shared" si="23"/>
        <v>1189.555996216578</v>
      </c>
      <c r="CJ6" s="4">
        <f t="shared" si="24"/>
        <v>0.9261678840216071</v>
      </c>
      <c r="CK6" s="5">
        <f t="shared" si="25"/>
        <v>2209.1754215450737</v>
      </c>
    </row>
    <row r="7" spans="1:89">
      <c r="A7" t="s">
        <v>30</v>
      </c>
      <c r="B7">
        <v>172</v>
      </c>
      <c r="C7">
        <v>128</v>
      </c>
      <c r="D7">
        <v>84</v>
      </c>
      <c r="E7">
        <v>25</v>
      </c>
      <c r="F7" s="4">
        <f t="shared" si="26"/>
        <v>0.49480084294039245</v>
      </c>
      <c r="G7" s="5">
        <f t="shared" si="27"/>
        <v>1217.0038393519362</v>
      </c>
      <c r="H7" s="4">
        <f t="shared" si="28"/>
        <v>0.37110063220529432</v>
      </c>
      <c r="I7" s="5">
        <f t="shared" si="29"/>
        <v>912.75287951395217</v>
      </c>
      <c r="J7" s="4">
        <f t="shared" si="30"/>
        <v>0.12370021073509811</v>
      </c>
      <c r="K7" s="5">
        <f t="shared" si="31"/>
        <v>304.25095983798406</v>
      </c>
      <c r="L7" t="s">
        <v>30</v>
      </c>
      <c r="M7">
        <v>162</v>
      </c>
      <c r="N7">
        <v>116</v>
      </c>
      <c r="O7">
        <v>78</v>
      </c>
      <c r="P7">
        <v>80</v>
      </c>
      <c r="Q7" s="4">
        <f t="shared" si="0"/>
        <v>0.39454162579005453</v>
      </c>
      <c r="R7" s="4">
        <f t="shared" si="32"/>
        <v>-0.10025921715033792</v>
      </c>
      <c r="S7" s="5">
        <f t="shared" si="1"/>
        <v>976.80109499055629</v>
      </c>
      <c r="T7" s="4">
        <f t="shared" si="2"/>
        <v>7.8908325158010884E-2</v>
      </c>
      <c r="U7" s="5">
        <f t="shared" si="3"/>
        <v>195.36021899811121</v>
      </c>
      <c r="V7" s="4">
        <f t="shared" si="4"/>
        <v>0.31563330063204365</v>
      </c>
      <c r="W7" s="5">
        <f t="shared" si="5"/>
        <v>781.44087599244506</v>
      </c>
      <c r="X7" t="s">
        <v>30</v>
      </c>
      <c r="Y7">
        <v>110</v>
      </c>
      <c r="Z7">
        <v>81</v>
      </c>
      <c r="AA7">
        <v>82</v>
      </c>
      <c r="AB7">
        <v>55</v>
      </c>
      <c r="AC7" s="4">
        <f t="shared" si="6"/>
        <v>0.19578942105916577</v>
      </c>
      <c r="AD7" s="4">
        <f t="shared" si="33"/>
        <v>-0.19875220473088875</v>
      </c>
      <c r="AE7" s="5">
        <f t="shared" si="7"/>
        <v>494.68339736361565</v>
      </c>
      <c r="AF7" s="4">
        <f t="shared" si="8"/>
        <v>8.8105239476624589E-2</v>
      </c>
      <c r="AG7" s="5">
        <f t="shared" si="9"/>
        <v>222.60752881362703</v>
      </c>
      <c r="AH7" s="4">
        <f t="shared" si="10"/>
        <v>0.10768418158254119</v>
      </c>
      <c r="AI7" s="5">
        <f t="shared" si="11"/>
        <v>272.07586854998863</v>
      </c>
      <c r="AJ7" t="s">
        <v>30</v>
      </c>
      <c r="AK7">
        <v>117</v>
      </c>
      <c r="AL7">
        <v>108</v>
      </c>
      <c r="AM7">
        <v>72</v>
      </c>
      <c r="AN7">
        <v>45</v>
      </c>
      <c r="AO7" s="4">
        <f t="shared" si="12"/>
        <v>0.2385646921319749</v>
      </c>
      <c r="AP7" s="4">
        <f t="shared" si="34"/>
        <v>4.2775271072809123E-2</v>
      </c>
      <c r="AQ7" s="5">
        <f t="shared" si="13"/>
        <v>599.31560925475935</v>
      </c>
      <c r="AR7" s="4">
        <f t="shared" si="14"/>
        <v>0.1312105806725862</v>
      </c>
      <c r="AS7" s="5">
        <f t="shared" si="15"/>
        <v>329.62358509011767</v>
      </c>
      <c r="AT7" s="4">
        <f t="shared" si="16"/>
        <v>0.10735411145938871</v>
      </c>
      <c r="AU7" s="5">
        <f t="shared" si="17"/>
        <v>269.69202416464174</v>
      </c>
      <c r="AV7" t="s">
        <v>30</v>
      </c>
      <c r="AW7">
        <v>153</v>
      </c>
      <c r="AX7">
        <v>132</v>
      </c>
      <c r="AY7">
        <v>78</v>
      </c>
      <c r="AZ7">
        <v>40</v>
      </c>
      <c r="BA7" s="4">
        <f t="shared" si="35"/>
        <v>0.41466077784272531</v>
      </c>
      <c r="BB7" s="4">
        <f t="shared" si="36"/>
        <v>0.17609608571075042</v>
      </c>
      <c r="BC7" s="4">
        <f t="shared" si="37"/>
        <v>2.0119152052670786E-2</v>
      </c>
      <c r="BD7" s="5">
        <f t="shared" si="38"/>
        <v>1025.1321694740714</v>
      </c>
      <c r="BE7" s="4">
        <f t="shared" si="39"/>
        <v>0.24879646670563518</v>
      </c>
      <c r="BF7" s="5">
        <f t="shared" si="40"/>
        <v>615.07930168444284</v>
      </c>
      <c r="BG7" s="4">
        <f t="shared" si="41"/>
        <v>0.16586431113709013</v>
      </c>
      <c r="BH7" s="5">
        <f t="shared" si="42"/>
        <v>410.05286778962858</v>
      </c>
      <c r="BI7" t="s">
        <v>30</v>
      </c>
      <c r="BJ7">
        <v>176</v>
      </c>
      <c r="BK7">
        <v>131</v>
      </c>
      <c r="BL7">
        <v>75</v>
      </c>
      <c r="BM7">
        <v>40</v>
      </c>
      <c r="BN7" s="4">
        <f t="shared" si="43"/>
        <v>0.46264369688778811</v>
      </c>
      <c r="BO7" s="5">
        <f t="shared" si="44"/>
        <v>1140.1303242234881</v>
      </c>
      <c r="BP7" s="4">
        <f t="shared" si="45"/>
        <v>0.27758621813267287</v>
      </c>
      <c r="BQ7" s="5">
        <f t="shared" si="18"/>
        <v>684.07819453409286</v>
      </c>
      <c r="BR7" s="4">
        <f t="shared" si="46"/>
        <v>0.18505747875511525</v>
      </c>
      <c r="BS7" s="5">
        <f t="shared" si="19"/>
        <v>456.05212968939526</v>
      </c>
      <c r="BT7" t="s">
        <v>30</v>
      </c>
      <c r="BU7">
        <v>126</v>
      </c>
      <c r="BV7">
        <v>119</v>
      </c>
      <c r="BW7">
        <v>63</v>
      </c>
      <c r="BX7">
        <v>40</v>
      </c>
      <c r="BY7" s="4">
        <f t="shared" si="47"/>
        <v>0.24750350497914211</v>
      </c>
      <c r="BZ7" s="5">
        <f t="shared" si="48"/>
        <v>621.10853082332233</v>
      </c>
      <c r="CA7" t="s">
        <v>30</v>
      </c>
      <c r="CB7">
        <v>150</v>
      </c>
      <c r="CC7">
        <v>117</v>
      </c>
      <c r="CD7">
        <v>65</v>
      </c>
      <c r="CE7">
        <v>45</v>
      </c>
      <c r="CF7" s="4">
        <f t="shared" si="20"/>
        <v>0.3032805190482204</v>
      </c>
      <c r="CG7" s="5">
        <f t="shared" si="21"/>
        <v>756.60816510009795</v>
      </c>
      <c r="CH7" s="4">
        <f t="shared" si="22"/>
        <v>0.16680428547652124</v>
      </c>
      <c r="CI7" s="5">
        <f t="shared" si="23"/>
        <v>416.13449080505393</v>
      </c>
      <c r="CJ7" s="4">
        <f t="shared" si="24"/>
        <v>0.13647623357169919</v>
      </c>
      <c r="CK7" s="5">
        <f t="shared" si="25"/>
        <v>340.47367429504408</v>
      </c>
    </row>
    <row r="8" spans="1:89">
      <c r="A8" t="s">
        <v>31</v>
      </c>
      <c r="B8">
        <v>235</v>
      </c>
      <c r="C8">
        <v>178</v>
      </c>
      <c r="D8">
        <v>107</v>
      </c>
      <c r="E8">
        <v>30</v>
      </c>
      <c r="F8" s="4">
        <f t="shared" si="26"/>
        <v>1.1945174990484757</v>
      </c>
      <c r="G8" s="5">
        <f t="shared" si="27"/>
        <v>2863.87417579676</v>
      </c>
      <c r="H8" s="4">
        <f t="shared" si="28"/>
        <v>0.83616224933393291</v>
      </c>
      <c r="I8" s="5">
        <f t="shared" si="29"/>
        <v>2004.7119230577318</v>
      </c>
      <c r="J8" s="4">
        <f t="shared" si="30"/>
        <v>0.35835524971454269</v>
      </c>
      <c r="K8" s="5">
        <f t="shared" si="31"/>
        <v>859.16225273902796</v>
      </c>
      <c r="L8" t="s">
        <v>31</v>
      </c>
      <c r="M8">
        <v>196</v>
      </c>
      <c r="N8">
        <v>204</v>
      </c>
      <c r="O8">
        <v>101</v>
      </c>
      <c r="P8">
        <v>70</v>
      </c>
      <c r="Q8" s="4">
        <f t="shared" si="0"/>
        <v>1.0576695267085636</v>
      </c>
      <c r="R8" s="4">
        <f t="shared" si="32"/>
        <v>-0.13684797233991208</v>
      </c>
      <c r="S8" s="5">
        <f t="shared" si="1"/>
        <v>2544.7424937489504</v>
      </c>
      <c r="T8" s="4">
        <f t="shared" si="2"/>
        <v>0.31730085801256913</v>
      </c>
      <c r="U8" s="5">
        <f t="shared" si="3"/>
        <v>763.4227481246852</v>
      </c>
      <c r="V8" s="4">
        <f t="shared" si="4"/>
        <v>0.7403686686959946</v>
      </c>
      <c r="W8" s="5">
        <f t="shared" si="5"/>
        <v>1781.3197456242656</v>
      </c>
      <c r="X8" t="s">
        <v>31</v>
      </c>
      <c r="Y8">
        <v>212</v>
      </c>
      <c r="Z8">
        <v>153</v>
      </c>
      <c r="AA8">
        <v>77</v>
      </c>
      <c r="AB8">
        <v>40</v>
      </c>
      <c r="AC8" s="4">
        <f t="shared" si="6"/>
        <v>0.67140580121117743</v>
      </c>
      <c r="AD8" s="4">
        <f t="shared" si="33"/>
        <v>-0.38626372549738619</v>
      </c>
      <c r="AE8" s="5">
        <f t="shared" si="7"/>
        <v>1636.8260259333827</v>
      </c>
      <c r="AF8" s="4">
        <f t="shared" si="8"/>
        <v>0.40284348072670645</v>
      </c>
      <c r="AG8" s="5">
        <f t="shared" si="9"/>
        <v>982.0956155600295</v>
      </c>
      <c r="AH8" s="4">
        <f t="shared" si="10"/>
        <v>0.26856232048447098</v>
      </c>
      <c r="AI8" s="5">
        <f t="shared" si="11"/>
        <v>654.73041037335315</v>
      </c>
      <c r="AJ8" t="s">
        <v>31</v>
      </c>
      <c r="AK8">
        <v>202</v>
      </c>
      <c r="AL8">
        <v>161</v>
      </c>
      <c r="AM8">
        <v>78</v>
      </c>
      <c r="AN8">
        <v>30</v>
      </c>
      <c r="AO8" s="4">
        <f t="shared" si="12"/>
        <v>0.67269234885266938</v>
      </c>
      <c r="AP8" s="4">
        <f t="shared" si="34"/>
        <v>1.2865476414919419E-3</v>
      </c>
      <c r="AQ8" s="5">
        <f t="shared" si="13"/>
        <v>1639.871468938856</v>
      </c>
      <c r="AR8" s="4">
        <f t="shared" si="14"/>
        <v>0.47088464419686854</v>
      </c>
      <c r="AS8" s="5">
        <f t="shared" si="15"/>
        <v>1147.9100282571992</v>
      </c>
      <c r="AT8" s="4">
        <f t="shared" si="16"/>
        <v>0.20180770465580081</v>
      </c>
      <c r="AU8" s="5">
        <f t="shared" si="17"/>
        <v>491.96144068165677</v>
      </c>
      <c r="AV8" t="s">
        <v>31</v>
      </c>
      <c r="AW8">
        <v>233</v>
      </c>
      <c r="AX8">
        <v>193</v>
      </c>
      <c r="AY8">
        <v>107</v>
      </c>
      <c r="AZ8">
        <v>45</v>
      </c>
      <c r="BA8" s="4">
        <f t="shared" si="35"/>
        <v>1.2709006774813785</v>
      </c>
      <c r="BB8" s="4">
        <f t="shared" si="36"/>
        <v>0.5982083286287091</v>
      </c>
      <c r="BC8" s="4">
        <f t="shared" si="37"/>
        <v>0.21323115077281485</v>
      </c>
      <c r="BD8" s="5">
        <f t="shared" si="38"/>
        <v>3041.5318910478522</v>
      </c>
      <c r="BE8" s="4">
        <f t="shared" si="39"/>
        <v>0.69899537261475819</v>
      </c>
      <c r="BF8" s="5">
        <f t="shared" si="40"/>
        <v>1672.8425400763188</v>
      </c>
      <c r="BG8" s="4">
        <f t="shared" si="41"/>
        <v>0.57190530486662028</v>
      </c>
      <c r="BH8" s="5">
        <f t="shared" si="42"/>
        <v>1368.6893509715335</v>
      </c>
      <c r="BI8" t="s">
        <v>31</v>
      </c>
      <c r="BJ8">
        <v>253</v>
      </c>
      <c r="BK8">
        <v>203</v>
      </c>
      <c r="BL8">
        <v>103</v>
      </c>
      <c r="BM8">
        <v>25</v>
      </c>
      <c r="BN8" s="4">
        <f t="shared" si="43"/>
        <v>1.4017660756611514</v>
      </c>
      <c r="BO8" s="5">
        <f t="shared" si="44"/>
        <v>3345.19897112135</v>
      </c>
      <c r="BP8" s="4">
        <f t="shared" si="45"/>
        <v>1.0513245567458636</v>
      </c>
      <c r="BQ8" s="5">
        <f t="shared" si="18"/>
        <v>2508.8992283410125</v>
      </c>
      <c r="BR8" s="4">
        <f t="shared" si="46"/>
        <v>0.35044151891528785</v>
      </c>
      <c r="BS8" s="5">
        <f t="shared" si="19"/>
        <v>836.29974278033751</v>
      </c>
      <c r="BT8" t="s">
        <v>31</v>
      </c>
      <c r="BU8">
        <v>181</v>
      </c>
      <c r="BV8">
        <v>142</v>
      </c>
      <c r="BW8">
        <v>92</v>
      </c>
      <c r="BX8">
        <v>25</v>
      </c>
      <c r="BY8" s="4">
        <f t="shared" si="47"/>
        <v>0.62820517158304168</v>
      </c>
      <c r="BZ8" s="5">
        <f t="shared" si="48"/>
        <v>1534.4635042604002</v>
      </c>
      <c r="CA8" t="s">
        <v>31</v>
      </c>
      <c r="CB8">
        <v>230</v>
      </c>
      <c r="CC8">
        <v>198</v>
      </c>
      <c r="CD8">
        <v>92</v>
      </c>
      <c r="CE8">
        <v>40</v>
      </c>
      <c r="CF8" s="4">
        <f t="shared" si="20"/>
        <v>1.1030215582557859</v>
      </c>
      <c r="CG8" s="5">
        <f t="shared" si="21"/>
        <v>2650.6297292397253</v>
      </c>
      <c r="CH8" s="4">
        <f t="shared" si="22"/>
        <v>0.66181293495347149</v>
      </c>
      <c r="CI8" s="5">
        <f t="shared" si="23"/>
        <v>1590.3778375438351</v>
      </c>
      <c r="CJ8" s="4">
        <f t="shared" si="24"/>
        <v>0.44120862330231436</v>
      </c>
      <c r="CK8" s="5">
        <f t="shared" si="25"/>
        <v>1060.2518916958902</v>
      </c>
    </row>
    <row r="9" spans="1:89">
      <c r="A9" t="s">
        <v>32</v>
      </c>
      <c r="B9">
        <v>227</v>
      </c>
      <c r="C9">
        <v>172</v>
      </c>
      <c r="D9">
        <v>112</v>
      </c>
      <c r="E9">
        <v>15</v>
      </c>
      <c r="F9" s="4">
        <f t="shared" si="26"/>
        <v>1.1670042814363468</v>
      </c>
      <c r="G9" s="5">
        <f t="shared" si="27"/>
        <v>2799.8021863021982</v>
      </c>
      <c r="H9" s="4">
        <f t="shared" si="28"/>
        <v>0.99195363922089475</v>
      </c>
      <c r="I9" s="5">
        <f t="shared" si="29"/>
        <v>2379.8318583568685</v>
      </c>
      <c r="J9" s="4">
        <f t="shared" si="30"/>
        <v>0.17505064221545202</v>
      </c>
      <c r="K9" s="5">
        <f t="shared" si="31"/>
        <v>419.9703279453297</v>
      </c>
      <c r="L9" t="s">
        <v>32</v>
      </c>
      <c r="M9">
        <v>209</v>
      </c>
      <c r="N9">
        <v>164</v>
      </c>
      <c r="O9">
        <v>109</v>
      </c>
      <c r="P9">
        <v>10</v>
      </c>
      <c r="Q9" s="4">
        <f t="shared" si="0"/>
        <v>0.99255092143418922</v>
      </c>
      <c r="R9" s="4">
        <f t="shared" si="32"/>
        <v>-0.17445336000215761</v>
      </c>
      <c r="S9" s="5">
        <f t="shared" si="1"/>
        <v>2392.4725619061128</v>
      </c>
      <c r="T9" s="4">
        <f t="shared" si="2"/>
        <v>0.89329582929077034</v>
      </c>
      <c r="U9" s="5">
        <f t="shared" si="3"/>
        <v>2153.2253057155017</v>
      </c>
      <c r="V9" s="4">
        <f t="shared" si="4"/>
        <v>9.9255092143418933E-2</v>
      </c>
      <c r="W9" s="5">
        <f t="shared" si="5"/>
        <v>239.2472561906113</v>
      </c>
      <c r="X9" t="s">
        <v>32</v>
      </c>
      <c r="Y9">
        <v>230</v>
      </c>
      <c r="Z9">
        <v>164</v>
      </c>
      <c r="AA9">
        <v>123</v>
      </c>
      <c r="AB9">
        <v>15</v>
      </c>
      <c r="AC9" s="4">
        <f t="shared" si="6"/>
        <v>1.2497012102549543</v>
      </c>
      <c r="AD9" s="4">
        <f t="shared" si="33"/>
        <v>0.25715028882076507</v>
      </c>
      <c r="AE9" s="5">
        <f t="shared" si="7"/>
        <v>2992.2564436990679</v>
      </c>
      <c r="AF9" s="4">
        <f t="shared" si="8"/>
        <v>1.062246028716711</v>
      </c>
      <c r="AG9" s="5">
        <f t="shared" si="9"/>
        <v>2543.4179771442077</v>
      </c>
      <c r="AH9" s="4">
        <f t="shared" si="10"/>
        <v>0.18745518153824314</v>
      </c>
      <c r="AI9" s="5">
        <f t="shared" si="11"/>
        <v>448.83846655486019</v>
      </c>
      <c r="AJ9" t="s">
        <v>32</v>
      </c>
      <c r="AK9">
        <v>229</v>
      </c>
      <c r="AL9">
        <v>166</v>
      </c>
      <c r="AM9">
        <v>123</v>
      </c>
      <c r="AN9">
        <v>15</v>
      </c>
      <c r="AO9" s="4">
        <f t="shared" si="12"/>
        <v>1.2560529215518903</v>
      </c>
      <c r="AP9" s="4">
        <f t="shared" si="34"/>
        <v>6.3517112969360134E-3</v>
      </c>
      <c r="AQ9" s="5">
        <f t="shared" si="13"/>
        <v>3007.0227083688678</v>
      </c>
      <c r="AR9" s="4">
        <f t="shared" si="14"/>
        <v>1.0676449833191066</v>
      </c>
      <c r="AS9" s="5">
        <f t="shared" si="15"/>
        <v>2555.9693021135377</v>
      </c>
      <c r="AT9" s="4">
        <f t="shared" si="16"/>
        <v>0.18840793823278354</v>
      </c>
      <c r="AU9" s="5">
        <f t="shared" si="17"/>
        <v>451.05340625533017</v>
      </c>
      <c r="AV9" t="s">
        <v>32</v>
      </c>
      <c r="AW9">
        <v>203</v>
      </c>
      <c r="AX9">
        <v>165</v>
      </c>
      <c r="AY9">
        <v>120</v>
      </c>
      <c r="AZ9">
        <v>25</v>
      </c>
      <c r="BA9" s="4">
        <f t="shared" si="35"/>
        <v>1.0636176087993603</v>
      </c>
      <c r="BB9" s="4">
        <f t="shared" si="36"/>
        <v>-0.19243531275253001</v>
      </c>
      <c r="BC9" s="4">
        <f t="shared" si="37"/>
        <v>7.1066687365171077E-2</v>
      </c>
      <c r="BD9" s="5">
        <v>1426.4046493363028</v>
      </c>
      <c r="BE9" s="4">
        <f t="shared" si="39"/>
        <v>0.79771320659952027</v>
      </c>
      <c r="BF9" s="5">
        <f t="shared" si="40"/>
        <v>1069.803487002227</v>
      </c>
      <c r="BG9" s="4">
        <f t="shared" si="41"/>
        <v>0.26590440219984007</v>
      </c>
      <c r="BH9" s="5">
        <f t="shared" si="42"/>
        <v>356.6011623340757</v>
      </c>
      <c r="BI9" t="s">
        <v>32</v>
      </c>
      <c r="BJ9">
        <v>245</v>
      </c>
      <c r="BK9">
        <v>188</v>
      </c>
      <c r="BL9">
        <v>112</v>
      </c>
      <c r="BM9">
        <v>20</v>
      </c>
      <c r="BN9" s="4">
        <f t="shared" si="43"/>
        <v>1.3743661517340924</v>
      </c>
      <c r="BO9" s="5">
        <f t="shared" si="44"/>
        <v>3281.6894405082107</v>
      </c>
      <c r="BP9" s="4">
        <f t="shared" si="45"/>
        <v>1.0994929213872739</v>
      </c>
      <c r="BQ9" s="5">
        <f t="shared" si="18"/>
        <v>2625.3515524065688</v>
      </c>
      <c r="BR9" s="4">
        <f t="shared" si="46"/>
        <v>0.27487323034681849</v>
      </c>
      <c r="BS9" s="5">
        <f t="shared" si="19"/>
        <v>656.33788810164219</v>
      </c>
      <c r="BT9" t="s">
        <v>32</v>
      </c>
      <c r="BU9">
        <v>245</v>
      </c>
      <c r="BV9">
        <v>182</v>
      </c>
      <c r="BW9">
        <v>112</v>
      </c>
      <c r="BX9">
        <v>20</v>
      </c>
      <c r="BY9" s="4">
        <f t="shared" si="47"/>
        <v>1.336541376184871</v>
      </c>
      <c r="BZ9" s="5">
        <f t="shared" si="48"/>
        <v>3193.9559206554109</v>
      </c>
      <c r="CA9" t="s">
        <v>32</v>
      </c>
      <c r="CB9">
        <v>241</v>
      </c>
      <c r="CC9">
        <v>170</v>
      </c>
      <c r="CD9">
        <v>113</v>
      </c>
      <c r="CE9">
        <v>25</v>
      </c>
      <c r="CF9" s="4">
        <f t="shared" si="20"/>
        <v>1.2493114564163685</v>
      </c>
      <c r="CG9" s="5">
        <f t="shared" si="21"/>
        <v>2991.3502851007811</v>
      </c>
      <c r="CH9" s="4">
        <f t="shared" si="22"/>
        <v>0.93698359231227646</v>
      </c>
      <c r="CI9" s="5">
        <f t="shared" si="23"/>
        <v>2243.5127138255857</v>
      </c>
      <c r="CJ9" s="4">
        <f t="shared" si="24"/>
        <v>0.31232786410409213</v>
      </c>
      <c r="CK9" s="5">
        <f t="shared" si="25"/>
        <v>747.83757127519527</v>
      </c>
    </row>
    <row r="10" spans="1:89">
      <c r="A10" t="s">
        <v>33</v>
      </c>
      <c r="B10">
        <v>208</v>
      </c>
      <c r="C10">
        <v>92</v>
      </c>
      <c r="D10">
        <v>115</v>
      </c>
      <c r="E10">
        <v>10</v>
      </c>
      <c r="F10" s="4">
        <f t="shared" si="26"/>
        <v>0.6774059159302992</v>
      </c>
      <c r="G10" s="5">
        <f t="shared" si="27"/>
        <v>1651.0277185310617</v>
      </c>
      <c r="H10" s="4">
        <f t="shared" si="28"/>
        <v>0.60966532433726928</v>
      </c>
      <c r="I10" s="5">
        <f t="shared" si="29"/>
        <v>1485.9249466779556</v>
      </c>
      <c r="J10" s="4">
        <f t="shared" si="30"/>
        <v>6.774059159302992E-2</v>
      </c>
      <c r="K10" s="5">
        <f t="shared" si="31"/>
        <v>165.10277185310619</v>
      </c>
      <c r="L10" t="s">
        <v>33</v>
      </c>
      <c r="M10">
        <v>187</v>
      </c>
      <c r="N10">
        <v>190</v>
      </c>
      <c r="O10">
        <v>108</v>
      </c>
      <c r="P10">
        <v>25</v>
      </c>
      <c r="Q10" s="4">
        <f t="shared" si="0"/>
        <v>1.0046507000896434</v>
      </c>
      <c r="R10" s="4">
        <f t="shared" si="32"/>
        <v>0.32724478415934422</v>
      </c>
      <c r="S10" s="5">
        <f t="shared" si="1"/>
        <v>2420.7874186952877</v>
      </c>
      <c r="T10" s="4">
        <f t="shared" si="2"/>
        <v>0.75348802506723256</v>
      </c>
      <c r="U10" s="5">
        <f t="shared" si="3"/>
        <v>1815.5905640214658</v>
      </c>
      <c r="V10" s="4">
        <f t="shared" si="4"/>
        <v>0.25116267502241085</v>
      </c>
      <c r="W10" s="5">
        <f t="shared" si="5"/>
        <v>605.19685467382192</v>
      </c>
      <c r="X10" t="s">
        <v>33</v>
      </c>
      <c r="Y10">
        <v>189</v>
      </c>
      <c r="Z10">
        <v>154</v>
      </c>
      <c r="AA10">
        <v>103</v>
      </c>
      <c r="AB10">
        <v>20</v>
      </c>
      <c r="AC10" s="4">
        <f t="shared" si="6"/>
        <v>0.79311123151093987</v>
      </c>
      <c r="AD10" s="4">
        <f t="shared" si="33"/>
        <v>-0.21153946857870354</v>
      </c>
      <c r="AE10" s="5">
        <f t="shared" si="7"/>
        <v>1924.2141820428385</v>
      </c>
      <c r="AF10" s="4">
        <f t="shared" si="8"/>
        <v>0.63448898520875197</v>
      </c>
      <c r="AG10" s="5">
        <f t="shared" si="9"/>
        <v>1539.3713456342709</v>
      </c>
      <c r="AH10" s="4">
        <f t="shared" si="10"/>
        <v>0.15862224630218799</v>
      </c>
      <c r="AI10" s="5">
        <f t="shared" si="11"/>
        <v>384.84283640856773</v>
      </c>
      <c r="AJ10" t="s">
        <v>33</v>
      </c>
      <c r="AK10">
        <v>189</v>
      </c>
      <c r="AL10">
        <v>178</v>
      </c>
      <c r="AM10">
        <v>106</v>
      </c>
      <c r="AN10">
        <v>20</v>
      </c>
      <c r="AO10" s="4">
        <f t="shared" si="12"/>
        <v>0.93442969019691036</v>
      </c>
      <c r="AP10" s="4">
        <f t="shared" si="34"/>
        <v>0.14131845868597048</v>
      </c>
      <c r="AQ10" s="5">
        <f t="shared" si="13"/>
        <v>2256.3204356161814</v>
      </c>
      <c r="AR10" s="4">
        <f t="shared" si="14"/>
        <v>0.74754375215752833</v>
      </c>
      <c r="AS10" s="5">
        <f t="shared" si="15"/>
        <v>1805.0563484929453</v>
      </c>
      <c r="AT10" s="4">
        <f t="shared" si="16"/>
        <v>0.18688593803938208</v>
      </c>
      <c r="AU10" s="5">
        <f t="shared" si="17"/>
        <v>451.26408712323632</v>
      </c>
      <c r="AV10" t="s">
        <v>33</v>
      </c>
      <c r="AW10">
        <v>173</v>
      </c>
      <c r="AX10">
        <v>189</v>
      </c>
      <c r="AY10">
        <v>112</v>
      </c>
      <c r="AZ10">
        <v>20</v>
      </c>
      <c r="BA10" s="4">
        <f t="shared" si="35"/>
        <v>0.96060269129304865</v>
      </c>
      <c r="BB10" s="4">
        <f t="shared" si="36"/>
        <v>2.6173001096138293E-2</v>
      </c>
      <c r="BC10" s="4">
        <f t="shared" si="37"/>
        <v>-4.4048008796594762E-2</v>
      </c>
      <c r="BD10" s="5">
        <f t="shared" si="38"/>
        <v>2317.661619380614</v>
      </c>
      <c r="BE10" s="4">
        <f t="shared" si="39"/>
        <v>0.76848215303443901</v>
      </c>
      <c r="BF10" s="5">
        <f t="shared" si="40"/>
        <v>1854.1292955044912</v>
      </c>
      <c r="BG10" s="4">
        <f t="shared" si="41"/>
        <v>0.19212053825860975</v>
      </c>
      <c r="BH10" s="5">
        <f t="shared" si="42"/>
        <v>463.5323238761228</v>
      </c>
      <c r="BI10" t="s">
        <v>33</v>
      </c>
      <c r="BJ10">
        <v>198</v>
      </c>
      <c r="BK10">
        <v>188</v>
      </c>
      <c r="BL10">
        <v>103</v>
      </c>
      <c r="BM10">
        <v>20</v>
      </c>
      <c r="BN10" s="4">
        <f t="shared" si="43"/>
        <v>1.0044318358014432</v>
      </c>
      <c r="BO10" s="5">
        <f t="shared" si="44"/>
        <v>2420.2753395747491</v>
      </c>
      <c r="BP10" s="4">
        <f t="shared" si="45"/>
        <v>0.80354546864115461</v>
      </c>
      <c r="BQ10" s="5">
        <f t="shared" si="18"/>
        <v>1936.2202716597994</v>
      </c>
      <c r="BR10" s="4">
        <f t="shared" si="46"/>
        <v>0.20088636716028865</v>
      </c>
      <c r="BS10" s="5">
        <f t="shared" si="19"/>
        <v>484.05506791494986</v>
      </c>
      <c r="BT10" t="s">
        <v>33</v>
      </c>
      <c r="BU10">
        <v>187</v>
      </c>
      <c r="BV10">
        <v>181</v>
      </c>
      <c r="BW10">
        <v>97</v>
      </c>
      <c r="BX10">
        <v>20</v>
      </c>
      <c r="BY10" s="4">
        <f t="shared" si="47"/>
        <v>0.85975756711281615</v>
      </c>
      <c r="BZ10" s="5">
        <f t="shared" si="48"/>
        <v>2081.03364993379</v>
      </c>
      <c r="CA10" t="s">
        <v>33</v>
      </c>
      <c r="CB10">
        <v>185</v>
      </c>
      <c r="CC10">
        <v>183</v>
      </c>
      <c r="CD10">
        <v>94</v>
      </c>
      <c r="CE10">
        <v>20</v>
      </c>
      <c r="CF10" s="4">
        <f t="shared" si="20"/>
        <v>0.83316712689283223</v>
      </c>
      <c r="CG10" s="5">
        <f t="shared" si="21"/>
        <v>2018.5099502323881</v>
      </c>
      <c r="CH10" s="4">
        <f t="shared" si="22"/>
        <v>0.66653370151426583</v>
      </c>
      <c r="CI10" s="5">
        <f t="shared" si="23"/>
        <v>1614.8079601859106</v>
      </c>
      <c r="CJ10" s="4">
        <f t="shared" si="24"/>
        <v>0.16663342537856646</v>
      </c>
      <c r="CK10" s="5">
        <f t="shared" si="25"/>
        <v>403.70199004647765</v>
      </c>
    </row>
    <row r="11" spans="1:89">
      <c r="A11" t="s">
        <v>34</v>
      </c>
      <c r="B11">
        <v>155</v>
      </c>
      <c r="C11">
        <v>134</v>
      </c>
      <c r="D11">
        <v>98</v>
      </c>
      <c r="E11">
        <v>5</v>
      </c>
      <c r="F11" s="4">
        <f t="shared" si="26"/>
        <v>0.53571079337513261</v>
      </c>
      <c r="G11" s="5">
        <f t="shared" si="27"/>
        <v>1314.5933015578878</v>
      </c>
      <c r="H11" s="4">
        <f t="shared" si="28"/>
        <v>0.50892525370637598</v>
      </c>
      <c r="I11" s="5">
        <f t="shared" si="29"/>
        <v>1248.8636364799934</v>
      </c>
      <c r="J11" s="4">
        <f t="shared" si="30"/>
        <v>2.6785539668756631E-2</v>
      </c>
      <c r="K11" s="5">
        <f t="shared" si="31"/>
        <v>65.729665077894396</v>
      </c>
      <c r="L11" t="s">
        <v>34</v>
      </c>
      <c r="M11">
        <v>125</v>
      </c>
      <c r="N11">
        <v>153</v>
      </c>
      <c r="O11">
        <v>105</v>
      </c>
      <c r="P11">
        <v>10</v>
      </c>
      <c r="Q11" s="4">
        <f t="shared" si="0"/>
        <v>0.53111372702507342</v>
      </c>
      <c r="R11" s="4">
        <f t="shared" si="32"/>
        <v>-4.5970663500591868E-3</v>
      </c>
      <c r="S11" s="5">
        <f t="shared" si="1"/>
        <v>1303.6382300873731</v>
      </c>
      <c r="T11" s="4">
        <f t="shared" si="2"/>
        <v>0.4780023543225661</v>
      </c>
      <c r="U11" s="5">
        <f t="shared" si="3"/>
        <v>1173.2744070786359</v>
      </c>
      <c r="V11" s="4">
        <f t="shared" si="4"/>
        <v>5.3111372702507348E-2</v>
      </c>
      <c r="W11" s="5">
        <f t="shared" si="5"/>
        <v>130.36382300873731</v>
      </c>
      <c r="X11" t="s">
        <v>34</v>
      </c>
      <c r="Y11">
        <v>140</v>
      </c>
      <c r="Z11">
        <v>140</v>
      </c>
      <c r="AA11">
        <v>112</v>
      </c>
      <c r="AB11">
        <v>15</v>
      </c>
      <c r="AC11" s="4">
        <f t="shared" si="6"/>
        <v>0.5747020160966928</v>
      </c>
      <c r="AD11" s="4">
        <f t="shared" si="33"/>
        <v>4.3588289071619379E-2</v>
      </c>
      <c r="AE11" s="5">
        <f t="shared" si="7"/>
        <v>1407.4043265520306</v>
      </c>
      <c r="AF11" s="4">
        <f t="shared" si="8"/>
        <v>0.48849671368218889</v>
      </c>
      <c r="AG11" s="5">
        <f t="shared" si="9"/>
        <v>1196.293677569226</v>
      </c>
      <c r="AH11" s="4">
        <f t="shared" si="10"/>
        <v>8.6205302414503915E-2</v>
      </c>
      <c r="AI11" s="5">
        <f t="shared" si="11"/>
        <v>211.11064898280458</v>
      </c>
      <c r="AJ11" t="s">
        <v>34</v>
      </c>
      <c r="AK11">
        <v>121</v>
      </c>
      <c r="AL11">
        <v>144</v>
      </c>
      <c r="AM11">
        <v>115</v>
      </c>
      <c r="AN11">
        <v>15</v>
      </c>
      <c r="AO11" s="4">
        <f t="shared" si="12"/>
        <v>0.52856478273561391</v>
      </c>
      <c r="AP11" s="4">
        <f t="shared" si="34"/>
        <v>-4.6137233361078889E-2</v>
      </c>
      <c r="AQ11" s="5">
        <f t="shared" si="13"/>
        <v>1297.5627667269096</v>
      </c>
      <c r="AR11" s="4">
        <f t="shared" si="14"/>
        <v>0.44928006532527182</v>
      </c>
      <c r="AS11" s="5">
        <f t="shared" si="15"/>
        <v>1102.9283517178731</v>
      </c>
      <c r="AT11" s="4">
        <f t="shared" si="16"/>
        <v>7.9284717410342084E-2</v>
      </c>
      <c r="AU11" s="5">
        <f t="shared" si="17"/>
        <v>194.63441500903642</v>
      </c>
      <c r="AV11" t="s">
        <v>34</v>
      </c>
      <c r="AW11">
        <v>142</v>
      </c>
      <c r="AX11">
        <v>164</v>
      </c>
      <c r="AY11">
        <v>113</v>
      </c>
      <c r="AZ11">
        <v>35</v>
      </c>
      <c r="BA11" s="4">
        <f t="shared" si="35"/>
        <v>0.69251619119590269</v>
      </c>
      <c r="BB11" s="4">
        <f t="shared" si="36"/>
        <v>0.16395140846028877</v>
      </c>
      <c r="BC11" s="4">
        <f t="shared" si="37"/>
        <v>0.16140246417082926</v>
      </c>
      <c r="BD11" s="5">
        <f t="shared" si="38"/>
        <v>1686.7761966865939</v>
      </c>
      <c r="BE11" s="4">
        <f t="shared" si="39"/>
        <v>0.45013552427733677</v>
      </c>
      <c r="BF11" s="5">
        <f t="shared" si="40"/>
        <v>1096.4045278462861</v>
      </c>
      <c r="BG11" s="4">
        <f t="shared" si="41"/>
        <v>0.24238066691856597</v>
      </c>
      <c r="BH11" s="5">
        <f t="shared" si="42"/>
        <v>590.37166884030796</v>
      </c>
      <c r="BI11" t="s">
        <v>34</v>
      </c>
      <c r="BJ11">
        <v>162</v>
      </c>
      <c r="BK11">
        <v>156</v>
      </c>
      <c r="BL11">
        <v>113</v>
      </c>
      <c r="BM11">
        <v>25</v>
      </c>
      <c r="BN11" s="4">
        <f t="shared" si="43"/>
        <v>0.74789618649338341</v>
      </c>
      <c r="BO11" s="5">
        <f t="shared" si="44"/>
        <v>1817.6067234833499</v>
      </c>
      <c r="BP11" s="4">
        <f t="shared" si="45"/>
        <v>0.56092213987003758</v>
      </c>
      <c r="BQ11" s="5">
        <f t="shared" si="18"/>
        <v>1363.2050426125124</v>
      </c>
      <c r="BR11" s="4">
        <f t="shared" si="46"/>
        <v>0.18697404662334585</v>
      </c>
      <c r="BS11" s="5">
        <f t="shared" si="19"/>
        <v>454.40168087083748</v>
      </c>
      <c r="BT11" t="s">
        <v>34</v>
      </c>
      <c r="BU11">
        <v>122</v>
      </c>
      <c r="BV11">
        <v>118</v>
      </c>
      <c r="BW11">
        <v>113</v>
      </c>
      <c r="BX11">
        <v>25</v>
      </c>
      <c r="BY11" s="4">
        <f t="shared" si="47"/>
        <v>0.42599996382677596</v>
      </c>
      <c r="BZ11" s="5">
        <f t="shared" si="48"/>
        <v>1052.3414694806966</v>
      </c>
      <c r="CA11" t="s">
        <v>34</v>
      </c>
      <c r="CB11">
        <v>142</v>
      </c>
      <c r="CC11">
        <v>133</v>
      </c>
      <c r="CD11">
        <v>100</v>
      </c>
      <c r="CE11">
        <v>25</v>
      </c>
      <c r="CF11" s="4">
        <f t="shared" si="20"/>
        <v>0.49496446755776685</v>
      </c>
      <c r="CG11" s="5">
        <f t="shared" si="21"/>
        <v>1217.3946148355274</v>
      </c>
      <c r="CH11" s="4">
        <f t="shared" si="22"/>
        <v>0.37122335066832512</v>
      </c>
      <c r="CI11" s="5">
        <f t="shared" si="23"/>
        <v>913.04596112664558</v>
      </c>
      <c r="CJ11" s="4">
        <f t="shared" si="24"/>
        <v>0.12374111688944171</v>
      </c>
      <c r="CK11" s="5">
        <f t="shared" si="25"/>
        <v>304.34865370888184</v>
      </c>
    </row>
    <row r="12" spans="1:89">
      <c r="A12" t="s">
        <v>35</v>
      </c>
      <c r="B12">
        <v>146</v>
      </c>
      <c r="C12">
        <v>145</v>
      </c>
      <c r="D12">
        <v>125</v>
      </c>
      <c r="E12">
        <v>30</v>
      </c>
      <c r="F12" s="4">
        <f t="shared" si="26"/>
        <v>0.69279481119436781</v>
      </c>
      <c r="G12" s="5">
        <f t="shared" si="27"/>
        <v>1687.4351528344068</v>
      </c>
      <c r="H12" s="4">
        <f t="shared" si="28"/>
        <v>0.48495636783605744</v>
      </c>
      <c r="I12" s="5">
        <f t="shared" si="29"/>
        <v>1181.2046069840846</v>
      </c>
      <c r="J12" s="4">
        <f t="shared" si="30"/>
        <v>0.20783844335831034</v>
      </c>
      <c r="K12" s="5">
        <f t="shared" si="31"/>
        <v>506.23054585032202</v>
      </c>
      <c r="L12" t="s">
        <v>35</v>
      </c>
      <c r="M12">
        <v>162</v>
      </c>
      <c r="N12">
        <v>148</v>
      </c>
      <c r="O12">
        <v>124</v>
      </c>
      <c r="P12">
        <v>40</v>
      </c>
      <c r="Q12" s="4">
        <f t="shared" si="0"/>
        <v>0.779926556192446</v>
      </c>
      <c r="R12" s="4">
        <f t="shared" si="32"/>
        <v>8.7131744998078187E-2</v>
      </c>
      <c r="S12" s="5">
        <f t="shared" si="1"/>
        <v>1893.1461849754664</v>
      </c>
      <c r="T12" s="4">
        <f t="shared" si="2"/>
        <v>0.46795593371546756</v>
      </c>
      <c r="U12" s="5">
        <f t="shared" si="3"/>
        <v>1135.8877109852799</v>
      </c>
      <c r="V12" s="4">
        <f t="shared" si="4"/>
        <v>0.31197062247697843</v>
      </c>
      <c r="W12" s="5">
        <f t="shared" si="5"/>
        <v>757.25847399018664</v>
      </c>
      <c r="X12" t="s">
        <v>35</v>
      </c>
      <c r="Y12">
        <v>136</v>
      </c>
      <c r="Z12">
        <v>136</v>
      </c>
      <c r="AA12">
        <v>127</v>
      </c>
      <c r="AB12">
        <v>35</v>
      </c>
      <c r="AC12" s="4">
        <f t="shared" si="6"/>
        <v>0.6149646675450996</v>
      </c>
      <c r="AD12" s="4">
        <f t="shared" si="33"/>
        <v>-0.1649618886473464</v>
      </c>
      <c r="AE12" s="5">
        <f t="shared" si="7"/>
        <v>1503.0502825576402</v>
      </c>
      <c r="AF12" s="4">
        <f t="shared" si="8"/>
        <v>0.39972703390431474</v>
      </c>
      <c r="AG12" s="5">
        <f t="shared" si="9"/>
        <v>976.98268366246623</v>
      </c>
      <c r="AH12" s="4">
        <f t="shared" si="10"/>
        <v>0.21523763364078488</v>
      </c>
      <c r="AI12" s="5">
        <f t="shared" si="11"/>
        <v>526.06759889517411</v>
      </c>
      <c r="AJ12" t="s">
        <v>35</v>
      </c>
      <c r="AK12">
        <v>136</v>
      </c>
      <c r="AL12">
        <v>117</v>
      </c>
      <c r="AM12">
        <v>113</v>
      </c>
      <c r="AN12">
        <v>40</v>
      </c>
      <c r="AO12" s="4">
        <f t="shared" si="12"/>
        <v>0.47339985563521009</v>
      </c>
      <c r="AP12" s="4">
        <f t="shared" si="34"/>
        <v>-0.14156481190988951</v>
      </c>
      <c r="AQ12" s="5">
        <f t="shared" si="13"/>
        <v>1165.8602777991666</v>
      </c>
      <c r="AR12" s="4">
        <f t="shared" si="14"/>
        <v>0.28403991338112605</v>
      </c>
      <c r="AS12" s="5">
        <f t="shared" si="15"/>
        <v>699.51616667949997</v>
      </c>
      <c r="AT12" s="4">
        <f t="shared" si="16"/>
        <v>0.18935994225408403</v>
      </c>
      <c r="AU12" s="5">
        <f t="shared" si="17"/>
        <v>466.34411111966665</v>
      </c>
      <c r="AV12" t="s">
        <v>35</v>
      </c>
      <c r="AW12">
        <v>164</v>
      </c>
      <c r="AX12">
        <v>154</v>
      </c>
      <c r="AY12">
        <v>123</v>
      </c>
      <c r="AZ12">
        <v>50</v>
      </c>
      <c r="BA12" s="4">
        <f t="shared" si="35"/>
        <v>0.81408168972288641</v>
      </c>
      <c r="BB12" s="4">
        <f t="shared" si="36"/>
        <v>0.34068183408767633</v>
      </c>
      <c r="BC12" s="4">
        <f t="shared" si="37"/>
        <v>3.4155133530440418E-2</v>
      </c>
      <c r="BD12" s="5">
        <f t="shared" si="38"/>
        <v>1973.5976306972536</v>
      </c>
      <c r="BE12" s="4">
        <f t="shared" si="39"/>
        <v>0.40704084486144321</v>
      </c>
      <c r="BF12" s="5">
        <f t="shared" si="40"/>
        <v>986.79881534862682</v>
      </c>
      <c r="BG12" s="4">
        <f t="shared" si="41"/>
        <v>0.40704084486144321</v>
      </c>
      <c r="BH12" s="5">
        <f t="shared" si="42"/>
        <v>986.79881534862682</v>
      </c>
      <c r="BI12" t="s">
        <v>35</v>
      </c>
      <c r="BJ12">
        <v>178</v>
      </c>
      <c r="BK12">
        <v>156</v>
      </c>
      <c r="BL12">
        <v>120</v>
      </c>
      <c r="BM12">
        <v>35</v>
      </c>
      <c r="BN12" s="4">
        <f t="shared" si="43"/>
        <v>0.87615877515965734</v>
      </c>
      <c r="BO12" s="5">
        <f t="shared" si="44"/>
        <v>2119.5707291074541</v>
      </c>
      <c r="BP12" s="4">
        <f t="shared" si="45"/>
        <v>0.56950320385377728</v>
      </c>
      <c r="BQ12" s="5">
        <f t="shared" si="18"/>
        <v>1377.7209739198452</v>
      </c>
      <c r="BR12" s="4">
        <f t="shared" si="46"/>
        <v>0.30665557130588011</v>
      </c>
      <c r="BS12" s="5">
        <f t="shared" si="19"/>
        <v>741.84975518760905</v>
      </c>
      <c r="BT12" t="s">
        <v>35</v>
      </c>
      <c r="BU12">
        <v>130</v>
      </c>
      <c r="BV12">
        <v>110</v>
      </c>
      <c r="BW12">
        <v>110</v>
      </c>
      <c r="BX12">
        <v>35</v>
      </c>
      <c r="BY12" s="4">
        <f t="shared" si="47"/>
        <v>0.41469023027385266</v>
      </c>
      <c r="BZ12" s="5">
        <f t="shared" si="48"/>
        <v>1025.2028706823533</v>
      </c>
      <c r="CA12" t="s">
        <v>35</v>
      </c>
      <c r="CB12">
        <v>165</v>
      </c>
      <c r="CC12">
        <v>150</v>
      </c>
      <c r="CD12">
        <v>113</v>
      </c>
      <c r="CE12">
        <v>55</v>
      </c>
      <c r="CF12" s="4">
        <f t="shared" si="20"/>
        <v>0.73385150018596945</v>
      </c>
      <c r="CG12" s="5">
        <f t="shared" si="21"/>
        <v>1784.4547883551272</v>
      </c>
      <c r="CH12" s="4">
        <f t="shared" si="22"/>
        <v>0.33023317508368621</v>
      </c>
      <c r="CI12" s="5">
        <f t="shared" si="23"/>
        <v>803.00465475980718</v>
      </c>
      <c r="CJ12" s="4">
        <f t="shared" si="24"/>
        <v>0.40361832510228324</v>
      </c>
      <c r="CK12" s="5">
        <f t="shared" si="25"/>
        <v>981.45013359532004</v>
      </c>
    </row>
    <row r="13" spans="1:89" ht="23">
      <c r="A13" t="s">
        <v>36</v>
      </c>
      <c r="B13" s="6">
        <f>AVERAGE(B3:B12)</f>
        <v>178.8</v>
      </c>
      <c r="C13" s="6">
        <f>AVERAGE(C3:C12)</f>
        <v>144</v>
      </c>
      <c r="D13" s="6">
        <f>AVERAGE(D3:D12)</f>
        <v>104.5</v>
      </c>
      <c r="E13" s="7">
        <f>AVERAGE(E3:E12)</f>
        <v>21</v>
      </c>
      <c r="F13" s="6">
        <f t="shared" ref="F13:K13" si="49">AVERAGE(F3:F12)</f>
        <v>0.75243622639179519</v>
      </c>
      <c r="G13" s="7">
        <f t="shared" si="49"/>
        <v>1823.4364023251219</v>
      </c>
      <c r="H13" s="6">
        <f t="shared" si="49"/>
        <v>0.58305206011940758</v>
      </c>
      <c r="I13" s="7">
        <f t="shared" si="49"/>
        <v>1413.9321980275117</v>
      </c>
      <c r="J13" s="6">
        <f t="shared" si="49"/>
        <v>0.16938416627238767</v>
      </c>
      <c r="K13" s="7">
        <f t="shared" si="49"/>
        <v>409.50420429761004</v>
      </c>
      <c r="L13" t="s">
        <v>36</v>
      </c>
      <c r="M13" s="6">
        <f>AVERAGE(M3:M12)</f>
        <v>174.8</v>
      </c>
      <c r="N13" s="6">
        <f>AVERAGE(N3:N12)</f>
        <v>157.5</v>
      </c>
      <c r="O13" s="6">
        <f>AVERAGE(O3:O12)</f>
        <v>102.3</v>
      </c>
      <c r="P13" s="7">
        <f>AVERAGE(P3:P12)</f>
        <v>41.5</v>
      </c>
      <c r="Q13" s="6">
        <f t="shared" ref="Q13:W13" si="50">AVERAGE(Q3:Q12)</f>
        <v>0.77726252489211001</v>
      </c>
      <c r="R13" s="6">
        <f t="shared" si="50"/>
        <v>2.4826298500314752E-2</v>
      </c>
      <c r="S13" s="7">
        <f t="shared" si="50"/>
        <v>1882.1933341715485</v>
      </c>
      <c r="T13" s="6">
        <f t="shared" si="50"/>
        <v>0.44361193317383052</v>
      </c>
      <c r="U13" s="7">
        <f t="shared" si="50"/>
        <v>1075.4643304338204</v>
      </c>
      <c r="V13" s="6">
        <f t="shared" si="50"/>
        <v>0.33365059171827965</v>
      </c>
      <c r="W13" s="7">
        <f t="shared" si="50"/>
        <v>806.72900373772814</v>
      </c>
      <c r="X13" t="s">
        <v>36</v>
      </c>
      <c r="Y13" s="6">
        <f t="shared" ref="Y13:AI13" si="51">AVERAGE(Y3:Y12)</f>
        <v>162.5</v>
      </c>
      <c r="Z13" s="6">
        <f t="shared" si="51"/>
        <v>130.4</v>
      </c>
      <c r="AA13" s="6">
        <f t="shared" si="51"/>
        <v>101.4</v>
      </c>
      <c r="AB13" s="6">
        <f t="shared" si="51"/>
        <v>33.5</v>
      </c>
      <c r="AC13" s="6">
        <f t="shared" si="51"/>
        <v>0.60018406970356697</v>
      </c>
      <c r="AD13" s="6">
        <f t="shared" si="51"/>
        <v>-0.1770784551885432</v>
      </c>
      <c r="AE13" s="6">
        <f t="shared" si="51"/>
        <v>1463.8712800801518</v>
      </c>
      <c r="AF13" s="6">
        <f t="shared" si="51"/>
        <v>0.42871714400257677</v>
      </c>
      <c r="AG13" s="6">
        <f t="shared" si="51"/>
        <v>1043.8448217581438</v>
      </c>
      <c r="AH13" s="6">
        <f t="shared" si="51"/>
        <v>0.17146692570099015</v>
      </c>
      <c r="AI13" s="6">
        <f t="shared" si="51"/>
        <v>420.02645832200824</v>
      </c>
      <c r="AJ13" t="s">
        <v>36</v>
      </c>
      <c r="AK13" s="6">
        <f t="shared" ref="AK13:AU13" si="52">AVERAGE(AK3:AK12)</f>
        <v>160.9</v>
      </c>
      <c r="AL13" s="6">
        <f t="shared" si="52"/>
        <v>131.19999999999999</v>
      </c>
      <c r="AM13" s="6">
        <f t="shared" si="52"/>
        <v>98.8</v>
      </c>
      <c r="AN13" s="6">
        <f t="shared" si="52"/>
        <v>30.5</v>
      </c>
      <c r="AO13" s="6">
        <f t="shared" si="52"/>
        <v>0.59094040455927699</v>
      </c>
      <c r="AP13" s="6">
        <f t="shared" si="52"/>
        <v>-9.2436651442899444E-3</v>
      </c>
      <c r="AQ13" s="6">
        <f t="shared" si="52"/>
        <v>1441.0951220036345</v>
      </c>
      <c r="AR13" s="6">
        <f t="shared" si="52"/>
        <v>0.43368712852709101</v>
      </c>
      <c r="AS13" s="6">
        <f t="shared" si="52"/>
        <v>1056.1820656898246</v>
      </c>
      <c r="AT13" s="6">
        <f t="shared" si="52"/>
        <v>0.15725327603218595</v>
      </c>
      <c r="AU13" s="6">
        <f t="shared" si="52"/>
        <v>384.9130563138097</v>
      </c>
      <c r="AV13" t="s">
        <v>36</v>
      </c>
      <c r="AW13" s="6">
        <f t="shared" ref="AW13:BH13" si="53">AVERAGE(AW3:AW12)</f>
        <v>171.2</v>
      </c>
      <c r="AX13" s="6">
        <f t="shared" si="53"/>
        <v>169.7</v>
      </c>
      <c r="AY13" s="6">
        <f t="shared" si="53"/>
        <v>106.8</v>
      </c>
      <c r="AZ13" s="7">
        <f t="shared" si="53"/>
        <v>41.5</v>
      </c>
      <c r="BA13" s="6">
        <f t="shared" si="53"/>
        <v>0.846443791971214</v>
      </c>
      <c r="BB13" s="6">
        <f t="shared" si="53"/>
        <v>0.25550338741193707</v>
      </c>
      <c r="BC13" s="6">
        <f t="shared" si="53"/>
        <v>6.9181267079103964E-2</v>
      </c>
      <c r="BD13" s="7">
        <f t="shared" si="53"/>
        <v>1932.4237959936704</v>
      </c>
      <c r="BE13" s="6">
        <f t="shared" si="53"/>
        <v>0.48032504438160639</v>
      </c>
      <c r="BF13" s="7">
        <f t="shared" si="53"/>
        <v>1077.1842294252815</v>
      </c>
      <c r="BG13" s="6">
        <f t="shared" si="53"/>
        <v>0.36611874758960766</v>
      </c>
      <c r="BH13" s="7">
        <f t="shared" si="53"/>
        <v>855.23956656838868</v>
      </c>
      <c r="BI13" t="s">
        <v>36</v>
      </c>
      <c r="BJ13" s="6">
        <f t="shared" ref="BJ13:BS13" si="54">AVERAGE(BJ3:BJ12)</f>
        <v>199.5</v>
      </c>
      <c r="BK13" s="6">
        <f t="shared" si="54"/>
        <v>168.7</v>
      </c>
      <c r="BL13" s="6">
        <f t="shared" si="54"/>
        <v>101.3</v>
      </c>
      <c r="BM13" s="7">
        <f t="shared" si="54"/>
        <v>31</v>
      </c>
      <c r="BN13" s="6">
        <f t="shared" si="54"/>
        <v>0.94899215024354411</v>
      </c>
      <c r="BO13" s="7">
        <f t="shared" si="54"/>
        <v>2284.4191288849424</v>
      </c>
      <c r="BP13" s="6">
        <f t="shared" si="54"/>
        <v>0.63709494155089241</v>
      </c>
      <c r="BQ13" s="7">
        <f t="shared" si="54"/>
        <v>1535.1958334704771</v>
      </c>
      <c r="BR13" s="6">
        <f t="shared" si="54"/>
        <v>0.31189720869265175</v>
      </c>
      <c r="BS13" s="7">
        <f t="shared" si="54"/>
        <v>749.22329541446584</v>
      </c>
      <c r="BT13" t="s">
        <v>36</v>
      </c>
      <c r="BU13" s="6">
        <f t="shared" ref="BU13:BZ13" si="55">AVERAGE(BU3:BU12)</f>
        <v>154.5</v>
      </c>
      <c r="BV13" s="6">
        <f t="shared" si="55"/>
        <v>129.80000000000001</v>
      </c>
      <c r="BW13" s="6">
        <f t="shared" si="55"/>
        <v>93.5</v>
      </c>
      <c r="BX13" s="6">
        <f t="shared" si="55"/>
        <v>31</v>
      </c>
      <c r="BY13" s="6">
        <f t="shared" si="55"/>
        <v>0.53699504372699658</v>
      </c>
      <c r="BZ13" s="6">
        <f t="shared" si="55"/>
        <v>1312.0046555828753</v>
      </c>
      <c r="CA13" t="s">
        <v>36</v>
      </c>
      <c r="CB13" s="6">
        <f t="shared" ref="CB13:CK13" si="56">AVERAGE(CB3:CB12)</f>
        <v>184</v>
      </c>
      <c r="CC13" s="6">
        <f t="shared" si="56"/>
        <v>157.30000000000001</v>
      </c>
      <c r="CD13" s="6">
        <f t="shared" si="56"/>
        <v>95.5</v>
      </c>
      <c r="CE13" s="7">
        <f t="shared" si="56"/>
        <v>37</v>
      </c>
      <c r="CF13" s="6">
        <f t="shared" si="56"/>
        <v>0.77227277255032156</v>
      </c>
      <c r="CG13" s="7">
        <f>AVERAGE(CG3:CG12)</f>
        <v>1869.602595478791</v>
      </c>
      <c r="CH13" s="6">
        <f t="shared" si="56"/>
        <v>0.46870293605340124</v>
      </c>
      <c r="CI13" s="7">
        <f>AVERAGE(CI3:CI12)</f>
        <v>1136.0733294937652</v>
      </c>
      <c r="CJ13" s="6">
        <f t="shared" si="56"/>
        <v>0.30356983649692032</v>
      </c>
      <c r="CK13" s="7">
        <f t="shared" si="56"/>
        <v>733.52926598502575</v>
      </c>
    </row>
    <row r="14" spans="1:89" ht="18">
      <c r="A14" t="s">
        <v>37</v>
      </c>
      <c r="B14" s="6">
        <f>STDEV(B3:B12)</f>
        <v>39.000854691489316</v>
      </c>
      <c r="C14" s="6">
        <f>STDEV(C3:C12)</f>
        <v>34.354362491861529</v>
      </c>
      <c r="D14" s="6">
        <f>STDEV(D3:D12)</f>
        <v>12.868998061663973</v>
      </c>
      <c r="E14" s="6">
        <f>STDEV(E3:E12)</f>
        <v>11.254628677422755</v>
      </c>
      <c r="F14" s="6">
        <f t="shared" ref="F14:K14" si="57">STDEV(F3:F12)</f>
        <v>0.35523622496094864</v>
      </c>
      <c r="G14" s="6">
        <f t="shared" si="57"/>
        <v>835.64312836508805</v>
      </c>
      <c r="H14" s="6">
        <f t="shared" si="57"/>
        <v>0.24687156022534362</v>
      </c>
      <c r="I14" s="6">
        <f t="shared" si="57"/>
        <v>581.15454231651347</v>
      </c>
      <c r="J14" s="6">
        <f t="shared" si="57"/>
        <v>0.14516747974999586</v>
      </c>
      <c r="K14" s="6">
        <f t="shared" si="57"/>
        <v>345.69626734644805</v>
      </c>
      <c r="L14" t="s">
        <v>37</v>
      </c>
      <c r="M14" s="6">
        <f>STDEV(M3:M12)</f>
        <v>31.018990598950431</v>
      </c>
      <c r="N14" s="6">
        <f>STDEV(N3:N12)</f>
        <v>37.092227397843516</v>
      </c>
      <c r="O14" s="6">
        <f>STDEV(O3:O12)</f>
        <v>13.499382701936188</v>
      </c>
      <c r="P14" s="6">
        <f>STDEV(P3:P12)</f>
        <v>28.582240017962981</v>
      </c>
      <c r="Q14" s="6">
        <f t="shared" ref="Q14:W14" si="58">STDEV(Q3:Q12)</f>
        <v>0.35011360770719802</v>
      </c>
      <c r="R14" s="6">
        <f>STDEV(R3:R12)</f>
        <v>0.15511412606689043</v>
      </c>
      <c r="S14" s="6">
        <f t="shared" si="58"/>
        <v>823.36376159043618</v>
      </c>
      <c r="T14" s="6">
        <f t="shared" si="58"/>
        <v>0.25267692247960738</v>
      </c>
      <c r="U14" s="6">
        <f t="shared" si="58"/>
        <v>606.79922661486262</v>
      </c>
      <c r="V14" s="6">
        <f t="shared" si="58"/>
        <v>0.30374934519628483</v>
      </c>
      <c r="W14" s="6">
        <f t="shared" si="58"/>
        <v>724.99668472119083</v>
      </c>
      <c r="X14" t="s">
        <v>37</v>
      </c>
      <c r="Y14" s="6">
        <f t="shared" ref="Y14:AI14" si="59">STDEV(Y3:Y12)</f>
        <v>37.836637153836904</v>
      </c>
      <c r="Z14" s="6">
        <f t="shared" si="59"/>
        <v>26.986416336124847</v>
      </c>
      <c r="AA14" s="6">
        <f t="shared" si="59"/>
        <v>18.044389709823918</v>
      </c>
      <c r="AB14" s="6">
        <f t="shared" si="59"/>
        <v>17.95828499606797</v>
      </c>
      <c r="AC14" s="6">
        <f t="shared" si="59"/>
        <v>0.2859488825976772</v>
      </c>
      <c r="AD14" s="6">
        <f t="shared" si="59"/>
        <v>0.32662414891494634</v>
      </c>
      <c r="AE14" s="6">
        <f t="shared" si="59"/>
        <v>677.2174288346497</v>
      </c>
      <c r="AF14" s="6">
        <f t="shared" si="59"/>
        <v>0.27786444555875361</v>
      </c>
      <c r="AG14" s="6">
        <f t="shared" si="59"/>
        <v>663.00187593456224</v>
      </c>
      <c r="AH14" s="6">
        <f t="shared" si="59"/>
        <v>7.3899891302672674E-2</v>
      </c>
      <c r="AI14" s="6">
        <f t="shared" si="59"/>
        <v>179.68913738625554</v>
      </c>
      <c r="AJ14" t="s">
        <v>37</v>
      </c>
      <c r="AK14" s="6">
        <f>STDEV(AK3:AK12)</f>
        <v>38.454735295756045</v>
      </c>
      <c r="AL14" s="6">
        <f>STDEV(AL3:AL12)</f>
        <v>29.169237981895328</v>
      </c>
      <c r="AM14" s="6">
        <f>STDEV(AM3:AM12)</f>
        <v>18.890326742659724</v>
      </c>
      <c r="AN14" s="6">
        <f>STDEV(AN3:AN12)</f>
        <v>18.325756009871281</v>
      </c>
      <c r="AO14" s="6">
        <f t="shared" ref="AO14:AU14" si="60">STDEV(AO3:AO12)</f>
        <v>0.31421170148398969</v>
      </c>
      <c r="AP14" s="6">
        <f t="shared" si="60"/>
        <v>9.2730461738347134E-2</v>
      </c>
      <c r="AQ14" s="6">
        <f t="shared" si="60"/>
        <v>743.94771528812919</v>
      </c>
      <c r="AR14" s="6">
        <f t="shared" si="60"/>
        <v>0.2909704946674192</v>
      </c>
      <c r="AS14" s="6">
        <f t="shared" si="60"/>
        <v>693.12155257531231</v>
      </c>
      <c r="AT14" s="6">
        <f t="shared" si="60"/>
        <v>9.3522750137475824E-2</v>
      </c>
      <c r="AU14" s="6">
        <f t="shared" si="60"/>
        <v>226.66190098001334</v>
      </c>
      <c r="AV14" t="s">
        <v>37</v>
      </c>
      <c r="AW14" s="6">
        <f t="shared" ref="AW14:BH14" si="61">STDEV(AW3:AW12)</f>
        <v>31.915861608645624</v>
      </c>
      <c r="AX14" s="6">
        <f t="shared" si="61"/>
        <v>30.507011944432957</v>
      </c>
      <c r="AY14" s="6">
        <f t="shared" si="61"/>
        <v>14.800900873482915</v>
      </c>
      <c r="AZ14" s="6">
        <f t="shared" si="61"/>
        <v>15.465014279549393</v>
      </c>
      <c r="BA14" s="6">
        <f t="shared" si="61"/>
        <v>0.34009845722347076</v>
      </c>
      <c r="BB14" s="6">
        <f t="shared" si="61"/>
        <v>0.29276578584406282</v>
      </c>
      <c r="BC14" s="6">
        <f t="shared" si="61"/>
        <v>8.0223498580703503E-2</v>
      </c>
      <c r="BD14" s="6">
        <f t="shared" si="61"/>
        <v>797.80022822122623</v>
      </c>
      <c r="BE14" s="6">
        <f t="shared" si="61"/>
        <v>0.20284795102663178</v>
      </c>
      <c r="BF14" s="6">
        <f t="shared" si="61"/>
        <v>402.41225783657904</v>
      </c>
      <c r="BG14" s="6">
        <f t="shared" si="61"/>
        <v>0.26659299009708126</v>
      </c>
      <c r="BH14" s="6">
        <f t="shared" si="61"/>
        <v>650.27586268790992</v>
      </c>
      <c r="BI14" t="s">
        <v>37</v>
      </c>
      <c r="BJ14" s="6">
        <f>STDEV(BJ3:BJ12)</f>
        <v>38.750627235066929</v>
      </c>
      <c r="BK14" s="6">
        <f>STDEV(BK3:BK12)</f>
        <v>31.489151571083401</v>
      </c>
      <c r="BL14" s="6">
        <f>STDEV(BL3:BL12)</f>
        <v>15.663474852166267</v>
      </c>
      <c r="BM14" s="6">
        <f t="shared" ref="BM14:BS14" si="62">STDEV(BM3:BM12)</f>
        <v>14.869805348796975</v>
      </c>
      <c r="BN14" s="6">
        <f t="shared" si="62"/>
        <v>0.44205167925573985</v>
      </c>
      <c r="BO14" s="6">
        <f t="shared" si="62"/>
        <v>1033.3483566883251</v>
      </c>
      <c r="BP14" s="6">
        <f t="shared" si="62"/>
        <v>0.28193734709490637</v>
      </c>
      <c r="BQ14" s="6">
        <f t="shared" si="62"/>
        <v>663.92985194306391</v>
      </c>
      <c r="BR14" s="6">
        <f t="shared" si="62"/>
        <v>0.28268408792547606</v>
      </c>
      <c r="BS14" s="6">
        <f t="shared" si="62"/>
        <v>666.89631121725915</v>
      </c>
      <c r="BT14" t="s">
        <v>37</v>
      </c>
      <c r="BU14" s="6">
        <f t="shared" ref="BU14:BZ14" si="63">STDEV(BU3:BU12)</f>
        <v>40.316112025949238</v>
      </c>
      <c r="BV14" s="6">
        <f t="shared" si="63"/>
        <v>29.999259250114097</v>
      </c>
      <c r="BW14" s="6">
        <f t="shared" si="63"/>
        <v>17.945906373197079</v>
      </c>
      <c r="BX14" s="6">
        <f t="shared" si="63"/>
        <v>14.869805348796975</v>
      </c>
      <c r="BY14" s="6">
        <f t="shared" si="63"/>
        <v>0.33761584474842876</v>
      </c>
      <c r="BZ14" s="6">
        <f t="shared" si="63"/>
        <v>798.11549170615342</v>
      </c>
      <c r="CA14" t="s">
        <v>37</v>
      </c>
      <c r="CB14" s="6">
        <f>STDEV(CB3:CB12)</f>
        <v>37.475918193480524</v>
      </c>
      <c r="CC14" s="6">
        <f>STDEV(CC3:CC12)</f>
        <v>33.750884762065468</v>
      </c>
      <c r="CD14" s="6">
        <f>STDEV(CD3:CD12)</f>
        <v>16.460390166835186</v>
      </c>
      <c r="CE14" s="6">
        <f t="shared" ref="CE14:CK14" si="64">STDEV(CE3:CE12)</f>
        <v>18.439088914585774</v>
      </c>
      <c r="CF14" s="6">
        <f t="shared" si="64"/>
        <v>0.37504115684056777</v>
      </c>
      <c r="CG14" s="6">
        <f t="shared" si="64"/>
        <v>882.75636823627565</v>
      </c>
      <c r="CH14" s="6">
        <f t="shared" si="64"/>
        <v>0.23319263315468949</v>
      </c>
      <c r="CI14" s="6">
        <f t="shared" si="64"/>
        <v>553.49875669348148</v>
      </c>
      <c r="CJ14" s="6">
        <f t="shared" si="64"/>
        <v>0.25708645501197025</v>
      </c>
      <c r="CK14" s="6">
        <f t="shared" si="64"/>
        <v>611.68823639342042</v>
      </c>
    </row>
    <row r="15" spans="1:89" ht="18">
      <c r="A15" s="8" t="s">
        <v>38</v>
      </c>
      <c r="B15" s="6">
        <f>CONFIDENCE(0.05,B14,10)</f>
        <v>24.172535993417124</v>
      </c>
      <c r="C15" s="6">
        <f>CONFIDENCE(0.05,C14,10)</f>
        <v>21.292663210445927</v>
      </c>
      <c r="D15" s="6">
        <f>CONFIDENCE(0.05,D14,10)</f>
        <v>7.9761410693563608</v>
      </c>
      <c r="E15" s="6">
        <f>CONFIDENCE(0.05,E14,10)</f>
        <v>6.975562944699079</v>
      </c>
      <c r="F15" s="6">
        <f t="shared" ref="F15:K15" si="65">CONFIDENCE(0.05,F14,10)</f>
        <v>0.22017364752542162</v>
      </c>
      <c r="G15" s="6">
        <f t="shared" si="65"/>
        <v>517.9274597401245</v>
      </c>
      <c r="H15" s="6">
        <f t="shared" si="65"/>
        <v>0.15300976664494434</v>
      </c>
      <c r="I15" s="6">
        <f t="shared" si="65"/>
        <v>360.19669832900604</v>
      </c>
      <c r="J15" s="6">
        <f t="shared" si="65"/>
        <v>8.9974082801220434E-2</v>
      </c>
      <c r="K15" s="6">
        <f t="shared" si="65"/>
        <v>214.26082918755807</v>
      </c>
      <c r="L15" s="8" t="s">
        <v>38</v>
      </c>
      <c r="M15" s="6">
        <f>CONFIDENCE(0.05,M14,10)</f>
        <v>19.22541628033137</v>
      </c>
      <c r="N15" s="6">
        <f>CONFIDENCE(0.05,N14,10)</f>
        <v>22.989578278294559</v>
      </c>
      <c r="O15" s="6">
        <f>CONFIDENCE(0.05,O14,10)</f>
        <v>8.3668503378381764</v>
      </c>
      <c r="P15" s="6">
        <f>CONFIDENCE(0.05,P14,10)</f>
        <v>17.715130375270093</v>
      </c>
      <c r="Q15" s="6">
        <f t="shared" ref="Q15:W15" si="66">CONFIDENCE(0.05,Q14,10)</f>
        <v>0.21699867479914933</v>
      </c>
      <c r="R15" s="6">
        <f t="shared" si="66"/>
        <v>9.6138964776522159E-2</v>
      </c>
      <c r="S15" s="6">
        <f t="shared" si="66"/>
        <v>510.31676921334963</v>
      </c>
      <c r="T15" s="6">
        <f t="shared" si="66"/>
        <v>0.15660790133086541</v>
      </c>
      <c r="U15" s="6">
        <f t="shared" si="66"/>
        <v>376.09114626214165</v>
      </c>
      <c r="V15" s="6">
        <f t="shared" si="66"/>
        <v>0.18826233521842073</v>
      </c>
      <c r="W15" s="6">
        <f t="shared" si="66"/>
        <v>449.34934362747038</v>
      </c>
      <c r="X15" s="8" t="s">
        <v>38</v>
      </c>
      <c r="Y15" s="6">
        <f t="shared" ref="Y15:AI15" si="67">CONFIDENCE(0.05,Y14,10)</f>
        <v>23.45095974705831</v>
      </c>
      <c r="Z15" s="6">
        <f t="shared" si="67"/>
        <v>16.726046784832842</v>
      </c>
      <c r="AA15" s="6">
        <f t="shared" si="67"/>
        <v>11.18382310311641</v>
      </c>
      <c r="AB15" s="6">
        <f t="shared" si="67"/>
        <v>11.130455829272467</v>
      </c>
      <c r="AC15" s="6">
        <f t="shared" si="67"/>
        <v>0.17722969692708057</v>
      </c>
      <c r="AD15" s="6">
        <f t="shared" si="67"/>
        <v>0.20244002492818905</v>
      </c>
      <c r="AE15" s="6">
        <f t="shared" si="67"/>
        <v>419.73599818178371</v>
      </c>
      <c r="AF15" s="6">
        <f t="shared" si="67"/>
        <v>0.17221900301137674</v>
      </c>
      <c r="AG15" s="6">
        <f t="shared" si="67"/>
        <v>410.92526911284682</v>
      </c>
      <c r="AH15" s="6">
        <f t="shared" si="67"/>
        <v>4.5802785517243587E-2</v>
      </c>
      <c r="AI15" s="6">
        <f t="shared" si="67"/>
        <v>111.37043471109301</v>
      </c>
      <c r="AJ15" s="8" t="s">
        <v>38</v>
      </c>
      <c r="AK15" s="6">
        <f t="shared" ref="AK15:AU15" si="68">CONFIDENCE(0.05,AK14,10)</f>
        <v>23.834053904896475</v>
      </c>
      <c r="AL15" s="6">
        <f t="shared" si="68"/>
        <v>18.078948797288255</v>
      </c>
      <c r="AM15" s="6">
        <f t="shared" si="68"/>
        <v>11.708130673710503</v>
      </c>
      <c r="AN15" s="6">
        <f t="shared" si="68"/>
        <v>11.358212538143681</v>
      </c>
      <c r="AO15" s="6">
        <f t="shared" si="68"/>
        <v>0.19474685167174061</v>
      </c>
      <c r="AP15" s="6">
        <f t="shared" si="68"/>
        <v>5.7473879528735755E-2</v>
      </c>
      <c r="AQ15" s="6">
        <f t="shared" si="68"/>
        <v>461.09509822991066</v>
      </c>
      <c r="AR15" s="6">
        <f t="shared" si="68"/>
        <v>0.1803420671420673</v>
      </c>
      <c r="AS15" s="6">
        <f t="shared" si="68"/>
        <v>429.59329506940344</v>
      </c>
      <c r="AT15" s="6">
        <f t="shared" si="68"/>
        <v>5.7964935942668251E-2</v>
      </c>
      <c r="AU15" s="6">
        <f t="shared" si="68"/>
        <v>140.48392024012068</v>
      </c>
      <c r="AV15" s="8" t="s">
        <v>38</v>
      </c>
      <c r="AW15" s="6">
        <f t="shared" ref="AW15:BH15" si="69">CONFIDENCE(0.05,AW14,10)</f>
        <v>19.781292476758427</v>
      </c>
      <c r="AX15" s="6">
        <f t="shared" si="69"/>
        <v>18.908094453615465</v>
      </c>
      <c r="AY15" s="6">
        <f t="shared" si="69"/>
        <v>9.1735248350169538</v>
      </c>
      <c r="AZ15" s="6">
        <f t="shared" si="69"/>
        <v>9.5851390249838193</v>
      </c>
      <c r="BA15" s="6">
        <f t="shared" si="69"/>
        <v>0.21079133428155253</v>
      </c>
      <c r="BB15" s="6">
        <f t="shared" si="69"/>
        <v>0.18145477969489124</v>
      </c>
      <c r="BC15" s="6">
        <f t="shared" si="69"/>
        <v>4.9722125894412064E-2</v>
      </c>
      <c r="BD15" s="6">
        <f t="shared" si="69"/>
        <v>494.47261822296139</v>
      </c>
      <c r="BE15" s="6">
        <f t="shared" si="69"/>
        <v>0.12572415235946535</v>
      </c>
      <c r="BF15" s="6">
        <f t="shared" si="69"/>
        <v>249.41311834557399</v>
      </c>
      <c r="BG15" s="6">
        <f t="shared" si="69"/>
        <v>0.1652330109093901</v>
      </c>
      <c r="BH15" s="6">
        <f t="shared" si="69"/>
        <v>403.03774932152965</v>
      </c>
      <c r="BI15" s="8" t="s">
        <v>38</v>
      </c>
      <c r="BJ15" s="6">
        <f t="shared" ref="BJ15:BS15" si="70">CONFIDENCE(0.05,BJ14,10)</f>
        <v>24.017446258980325</v>
      </c>
      <c r="BK15" s="6">
        <f t="shared" si="70"/>
        <v>19.516819715242868</v>
      </c>
      <c r="BL15" s="6">
        <f t="shared" si="70"/>
        <v>9.7081439020000779</v>
      </c>
      <c r="BM15" s="6">
        <f t="shared" si="70"/>
        <v>9.2162314865201598</v>
      </c>
      <c r="BN15" s="6">
        <f t="shared" si="70"/>
        <v>0.27398143482459686</v>
      </c>
      <c r="BO15" s="6">
        <f t="shared" si="70"/>
        <v>640.46417811550589</v>
      </c>
      <c r="BP15" s="6">
        <f t="shared" si="70"/>
        <v>0.17474336715054983</v>
      </c>
      <c r="BQ15" s="6">
        <f t="shared" si="70"/>
        <v>411.50042403301393</v>
      </c>
      <c r="BR15" s="6">
        <f t="shared" si="70"/>
        <v>0.17520619340775592</v>
      </c>
      <c r="BS15" s="6">
        <f t="shared" si="70"/>
        <v>413.33902075469399</v>
      </c>
      <c r="BT15" s="8" t="s">
        <v>38</v>
      </c>
      <c r="BU15" s="6">
        <f t="shared" ref="BU15:BZ15" si="71">CONFIDENCE(0.05,BU14,10)</f>
        <v>24.987725955517522</v>
      </c>
      <c r="BV15" s="6">
        <f t="shared" si="71"/>
        <v>18.593391856037378</v>
      </c>
      <c r="BW15" s="6">
        <f t="shared" si="71"/>
        <v>11.122783620310317</v>
      </c>
      <c r="BX15" s="6">
        <f t="shared" si="71"/>
        <v>9.2162314865201598</v>
      </c>
      <c r="BY15" s="6">
        <f t="shared" si="71"/>
        <v>0.20925262340238418</v>
      </c>
      <c r="BZ15" s="6">
        <f t="shared" si="71"/>
        <v>494.66801696478626</v>
      </c>
      <c r="CA15" s="8" t="s">
        <v>38</v>
      </c>
      <c r="CB15" s="6">
        <f t="shared" ref="CB15:CK15" si="72">CONFIDENCE(0.05,CB14,10)</f>
        <v>23.22738792737136</v>
      </c>
      <c r="CC15" s="6">
        <f t="shared" si="72"/>
        <v>20.918630711411897</v>
      </c>
      <c r="CD15" s="6">
        <f t="shared" si="72"/>
        <v>10.2020680551993</v>
      </c>
      <c r="CE15" s="6">
        <f t="shared" si="72"/>
        <v>11.428455709482369</v>
      </c>
      <c r="CF15" s="6">
        <f t="shared" si="72"/>
        <v>0.23244864591953979</v>
      </c>
      <c r="CG15" s="6">
        <f t="shared" si="72"/>
        <v>547.12801176805976</v>
      </c>
      <c r="CH15" s="6">
        <f t="shared" si="72"/>
        <v>0.14453163559929649</v>
      </c>
      <c r="CI15" s="6">
        <f t="shared" si="72"/>
        <v>343.05577978537093</v>
      </c>
      <c r="CJ15" s="6">
        <f t="shared" si="72"/>
        <v>0.15934090768920928</v>
      </c>
      <c r="CK15" s="6">
        <f t="shared" si="72"/>
        <v>379.12133023578019</v>
      </c>
    </row>
    <row r="16" spans="1:89">
      <c r="A16" s="8"/>
      <c r="L16" s="8"/>
      <c r="X16" s="8"/>
      <c r="AJ16" s="8"/>
      <c r="AV16" s="8"/>
      <c r="BI16" s="8"/>
      <c r="BT16" s="8"/>
      <c r="CA16" s="8"/>
    </row>
    <row r="17" spans="1:89">
      <c r="A17" t="s">
        <v>39</v>
      </c>
      <c r="B17">
        <v>137</v>
      </c>
      <c r="C17">
        <v>90</v>
      </c>
      <c r="D17">
        <v>90</v>
      </c>
      <c r="E17">
        <v>10</v>
      </c>
      <c r="F17" s="4">
        <f t="shared" ref="F17:F25" si="73">PI()*((B17+C17)/4)^2*D17/3000000</f>
        <v>0.30353086471280333</v>
      </c>
      <c r="G17" s="5">
        <f t="shared" ref="G17:G26" si="74">10^(3.382+0.971*LOG(F17))</f>
        <v>757.21459501555387</v>
      </c>
      <c r="H17" s="4">
        <f t="shared" ref="H17:H25" si="75">F17*(1-(E17*1/100))</f>
        <v>0.27317777824152301</v>
      </c>
      <c r="I17" s="5">
        <f t="shared" ref="I17:I25" si="76">G17*(1-(E17*1/100))</f>
        <v>681.49313551399848</v>
      </c>
      <c r="J17" s="4">
        <f t="shared" ref="J17:J25" si="77">F17*(E17*(1/100))</f>
        <v>3.0353086471280336E-2</v>
      </c>
      <c r="K17" s="5">
        <f t="shared" ref="K17:K25" si="78">G17*(E17*(1/100))</f>
        <v>75.721459501555387</v>
      </c>
      <c r="L17" t="s">
        <v>39</v>
      </c>
      <c r="M17">
        <v>93</v>
      </c>
      <c r="N17">
        <v>98</v>
      </c>
      <c r="O17">
        <v>61</v>
      </c>
      <c r="P17">
        <v>15</v>
      </c>
      <c r="Q17" s="4">
        <f t="shared" ref="Q17:Q26" si="79">PI()*((M17+N17)/4)^2*O17/3000000</f>
        <v>0.14564822786108675</v>
      </c>
      <c r="R17" s="4">
        <f t="shared" ref="R17:R26" si="80">Q17-F17</f>
        <v>-0.15788263685171658</v>
      </c>
      <c r="S17" s="5">
        <f t="shared" ref="S17:S26" si="81">10^(3.382+0.971*LOG(Q17))</f>
        <v>371.16699761396745</v>
      </c>
      <c r="T17" s="4">
        <f t="shared" ref="T17:T26" si="82">Q17*(1-(P17*1/100))</f>
        <v>0.12380099368192374</v>
      </c>
      <c r="U17" s="5">
        <f t="shared" ref="U17:U26" si="83">S17*(1-(P17*1/100))</f>
        <v>315.49194797187232</v>
      </c>
      <c r="V17" s="4">
        <f t="shared" ref="V17:V26" si="84">Q17*(P17*(1/100))</f>
        <v>2.1847234179163011E-2</v>
      </c>
      <c r="W17" s="5">
        <f t="shared" ref="W17:W26" si="85">S17*(P17*(1/100))</f>
        <v>55.675049642095118</v>
      </c>
      <c r="X17" t="s">
        <v>39</v>
      </c>
      <c r="Y17">
        <v>157</v>
      </c>
      <c r="Z17">
        <v>78</v>
      </c>
      <c r="AA17">
        <v>130</v>
      </c>
      <c r="AB17">
        <v>20</v>
      </c>
      <c r="AC17" s="4">
        <f t="shared" ref="AC17:AC26" si="86">PI()*((Y17+Z17)/4)^2*AA17/3000000</f>
        <v>0.46988081371426094</v>
      </c>
      <c r="AD17" s="4">
        <f t="shared" ref="AD17:AD26" si="87">AC17-Q17</f>
        <v>0.32423258585317416</v>
      </c>
      <c r="AE17" s="5">
        <f t="shared" ref="AE17:AE26" si="88">10^(3.382+0.971*LOG(AC17))</f>
        <v>1157.4442146950521</v>
      </c>
      <c r="AF17" s="4">
        <f t="shared" ref="AF17:AF26" si="89">AC17*(1-(AB17*1/100))</f>
        <v>0.37590465097140879</v>
      </c>
      <c r="AG17" s="5">
        <f t="shared" ref="AG17:AG26" si="90">AE17*(1-(AB17*1/100))</f>
        <v>925.9553717560417</v>
      </c>
      <c r="AH17" s="4">
        <f t="shared" ref="AH17:AH26" si="91">AC17*(AB17*(1/100))</f>
        <v>9.3976162742852198E-2</v>
      </c>
      <c r="AI17" s="5">
        <f t="shared" ref="AI17:AI26" si="92">AE17*(AB17*(1/100))</f>
        <v>231.48884293901042</v>
      </c>
      <c r="AJ17" t="s">
        <v>39</v>
      </c>
      <c r="AK17">
        <v>163</v>
      </c>
      <c r="AL17">
        <v>58</v>
      </c>
      <c r="AM17">
        <v>123</v>
      </c>
      <c r="AN17">
        <v>30</v>
      </c>
      <c r="AO17" s="4">
        <f t="shared" ref="AO17:AO26" si="93">PI()*((AK17+AL17)/4)^2*AM17/3000000</f>
        <v>0.39318622490957139</v>
      </c>
      <c r="AP17" s="4">
        <f t="shared" ref="AP17:AP26" si="94">AO17-AC17</f>
        <v>-7.6694588804689545E-2</v>
      </c>
      <c r="AQ17" s="5">
        <f t="shared" ref="AQ17:AQ26" si="95">10^(3.382+0.971*LOG(AO17))</f>
        <v>973.54256321938794</v>
      </c>
      <c r="AR17" s="4">
        <f t="shared" ref="AR17:AR26" si="96">AO17*(1-(AN17*1/100))</f>
        <v>0.27523035743669994</v>
      </c>
      <c r="AS17" s="5">
        <f t="shared" ref="AS17:AS26" si="97">AQ17*(1-(AN17*1/100))</f>
        <v>681.47979425357153</v>
      </c>
      <c r="AT17" s="4">
        <f t="shared" ref="AT17:AT26" si="98">AO17*(AN17*(1/100))</f>
        <v>0.11795586747287141</v>
      </c>
      <c r="AU17" s="5">
        <f t="shared" ref="AU17:AU26" si="99">AQ17*(AN17*(1/100))</f>
        <v>292.06276896581636</v>
      </c>
      <c r="AV17" t="s">
        <v>39</v>
      </c>
      <c r="AW17">
        <v>161</v>
      </c>
      <c r="AX17">
        <v>91</v>
      </c>
      <c r="AY17">
        <v>118</v>
      </c>
      <c r="AZ17">
        <v>25</v>
      </c>
      <c r="BA17" s="4">
        <f t="shared" ref="BA17:BA26" si="100">PI()*((AW17+AX17)/4)^2*AY17/3000000</f>
        <v>0.49044659552251696</v>
      </c>
      <c r="BB17" s="4">
        <f t="shared" ref="BB17:BB26" si="101">BA17-AO17</f>
        <v>9.7260370612945568E-2</v>
      </c>
      <c r="BC17" s="4">
        <f t="shared" ref="BC17:BC26" si="102">BA17-Q17</f>
        <v>0.34479836766143024</v>
      </c>
      <c r="BD17" s="5">
        <f t="shared" ref="BD17:BD26" si="103">10^(3.382+0.971*LOG(BA17))</f>
        <v>1206.6034540029514</v>
      </c>
      <c r="BE17" s="4">
        <f t="shared" ref="BE17:BE26" si="104">BA17*(1-(AZ17*1/100))</f>
        <v>0.36783494664188771</v>
      </c>
      <c r="BF17" s="5">
        <f t="shared" ref="BF17:BF26" si="105">BD17*(1-(AZ17*1/100))</f>
        <v>904.95259050221352</v>
      </c>
      <c r="BG17" s="4">
        <f t="shared" ref="BG17:BG26" si="106">BA17*(AZ17*(1/100))</f>
        <v>0.12261164888062924</v>
      </c>
      <c r="BH17" s="5">
        <f t="shared" ref="BH17:BH26" si="107">BD17*(AZ17*(1/100))</f>
        <v>301.65086350073784</v>
      </c>
      <c r="BI17" t="s">
        <v>39</v>
      </c>
      <c r="BJ17">
        <v>159</v>
      </c>
      <c r="BK17">
        <v>93</v>
      </c>
      <c r="BL17">
        <v>105</v>
      </c>
      <c r="BM17">
        <v>15</v>
      </c>
      <c r="BN17" s="4">
        <f t="shared" ref="BN17:BN26" si="108">PI()*((BJ17+BK17)/4)^2*BL17/3000000</f>
        <v>0.43641434347342617</v>
      </c>
      <c r="BO17" s="5">
        <f t="shared" ref="BO17:BO26" si="109">10^(3.382+0.971*LOG(BN17))</f>
        <v>1077.3131090332486</v>
      </c>
      <c r="BP17" s="4">
        <f t="shared" ref="BP17:BP26" si="110">BN17*(1-(BM17*1/100))</f>
        <v>0.37095219195241225</v>
      </c>
      <c r="BQ17" s="5">
        <f t="shared" ref="BQ17:BQ26" si="111">BO17*(1-(BM17*1/100))</f>
        <v>915.71614267826124</v>
      </c>
      <c r="BR17" s="4">
        <f t="shared" ref="BR17:BR26" si="112">BN17*(BM17*(1/100))</f>
        <v>6.5462151521013923E-2</v>
      </c>
      <c r="BS17" s="5">
        <f t="shared" ref="BS17:BS26" si="113">BO17*(BM17*(1/100))</f>
        <v>161.59696635498727</v>
      </c>
      <c r="BT17" t="s">
        <v>39</v>
      </c>
      <c r="BU17">
        <v>155</v>
      </c>
      <c r="BV17">
        <v>88</v>
      </c>
      <c r="BW17">
        <v>97</v>
      </c>
      <c r="BX17">
        <v>15</v>
      </c>
      <c r="BY17" s="4">
        <f t="shared" ref="BY17:BY26" si="114">PI()*((BU17+BV17)/4)^2*BW17/3000000</f>
        <v>0.37488055721618535</v>
      </c>
      <c r="BZ17" s="5">
        <f t="shared" ref="BZ17:BZ26" si="115">10^(3.382+0.971*LOG(BY17))</f>
        <v>929.50134426561226</v>
      </c>
      <c r="CA17" t="s">
        <v>39</v>
      </c>
      <c r="CB17">
        <v>163</v>
      </c>
      <c r="CC17">
        <v>95</v>
      </c>
      <c r="CD17">
        <v>70</v>
      </c>
      <c r="CE17">
        <v>25</v>
      </c>
      <c r="CF17" s="4">
        <f t="shared" ref="CF17:CF26" si="116">PI()*((CB17+CC17)/4)^2*CD17/3000000</f>
        <v>0.3049622528655952</v>
      </c>
      <c r="CG17" s="5">
        <f t="shared" ref="CG17:CG26" si="117">10^(3.382+0.971*LOG(CF17))</f>
        <v>760.68166905119369</v>
      </c>
      <c r="CH17" s="4">
        <f t="shared" ref="CH17:CH26" si="118">CF17*(1-(CE17*1/100))</f>
        <v>0.2287216896491964</v>
      </c>
      <c r="CI17" s="5">
        <f t="shared" ref="CI17:CI26" si="119">CG17*(1-(CE17*1/100))</f>
        <v>570.51125178839527</v>
      </c>
      <c r="CJ17" s="4">
        <f t="shared" ref="CJ17:CJ26" si="120">CF17*(CE17*(1/100))</f>
        <v>7.6240563216398799E-2</v>
      </c>
      <c r="CK17" s="5">
        <f t="shared" ref="CK17:CK26" si="121">CG17*(CE17*(1/100))</f>
        <v>190.17041726279842</v>
      </c>
    </row>
    <row r="18" spans="1:89">
      <c r="A18" t="s">
        <v>40</v>
      </c>
      <c r="B18">
        <v>206</v>
      </c>
      <c r="C18">
        <v>156</v>
      </c>
      <c r="D18">
        <v>150</v>
      </c>
      <c r="E18">
        <v>10</v>
      </c>
      <c r="F18" s="4">
        <f t="shared" si="73"/>
        <v>1.2865214615531901</v>
      </c>
      <c r="G18" s="5">
        <f t="shared" si="74"/>
        <v>3077.8251309370576</v>
      </c>
      <c r="H18" s="4">
        <f t="shared" si="75"/>
        <v>1.1578693153978712</v>
      </c>
      <c r="I18" s="5">
        <f t="shared" si="76"/>
        <v>2770.0426178433518</v>
      </c>
      <c r="J18" s="4">
        <f t="shared" si="77"/>
        <v>0.12865214615531903</v>
      </c>
      <c r="K18" s="5">
        <f t="shared" si="78"/>
        <v>307.7825130937058</v>
      </c>
      <c r="L18" t="s">
        <v>40</v>
      </c>
      <c r="M18">
        <v>194</v>
      </c>
      <c r="N18">
        <v>173</v>
      </c>
      <c r="O18">
        <v>162</v>
      </c>
      <c r="P18">
        <v>10</v>
      </c>
      <c r="Q18" s="4">
        <f t="shared" si="79"/>
        <v>1.4280906586028255</v>
      </c>
      <c r="R18" s="4">
        <f t="shared" si="80"/>
        <v>0.14156919704963533</v>
      </c>
      <c r="S18" s="5">
        <f t="shared" si="81"/>
        <v>3406.1820879266606</v>
      </c>
      <c r="T18" s="4">
        <f t="shared" si="82"/>
        <v>1.2852815927425429</v>
      </c>
      <c r="U18" s="5">
        <f t="shared" si="83"/>
        <v>3065.5638791339948</v>
      </c>
      <c r="V18" s="4">
        <f t="shared" si="84"/>
        <v>0.14280906586028255</v>
      </c>
      <c r="W18" s="5">
        <f t="shared" si="85"/>
        <v>340.61820879266611</v>
      </c>
      <c r="X18" t="s">
        <v>40</v>
      </c>
      <c r="Y18">
        <v>195</v>
      </c>
      <c r="Z18">
        <v>165</v>
      </c>
      <c r="AA18">
        <v>160</v>
      </c>
      <c r="AB18">
        <v>15</v>
      </c>
      <c r="AC18" s="4">
        <f t="shared" si="86"/>
        <v>1.3571680263507906</v>
      </c>
      <c r="AD18" s="4">
        <f t="shared" si="87"/>
        <v>-7.0922632252034878E-2</v>
      </c>
      <c r="AE18" s="5">
        <f t="shared" si="88"/>
        <v>3241.807663238264</v>
      </c>
      <c r="AF18" s="4">
        <f t="shared" si="89"/>
        <v>1.153592822398172</v>
      </c>
      <c r="AG18" s="5">
        <f t="shared" si="90"/>
        <v>2755.5365137525241</v>
      </c>
      <c r="AH18" s="4">
        <f t="shared" si="91"/>
        <v>0.20357520395261858</v>
      </c>
      <c r="AI18" s="5">
        <f t="shared" si="92"/>
        <v>486.27114948573956</v>
      </c>
      <c r="AJ18" t="s">
        <v>40</v>
      </c>
      <c r="AK18">
        <v>209</v>
      </c>
      <c r="AL18">
        <v>162</v>
      </c>
      <c r="AM18">
        <v>154</v>
      </c>
      <c r="AN18">
        <v>20</v>
      </c>
      <c r="AO18" s="4">
        <f t="shared" si="93"/>
        <v>1.3873216871384151</v>
      </c>
      <c r="AP18" s="4">
        <f t="shared" si="94"/>
        <v>3.0153660787624492E-2</v>
      </c>
      <c r="AQ18" s="5">
        <f t="shared" si="95"/>
        <v>3311.7232519433283</v>
      </c>
      <c r="AR18" s="4">
        <f t="shared" si="96"/>
        <v>1.109857349710732</v>
      </c>
      <c r="AS18" s="5">
        <f t="shared" si="97"/>
        <v>2649.378601554663</v>
      </c>
      <c r="AT18" s="4">
        <f t="shared" si="98"/>
        <v>0.27746433742768301</v>
      </c>
      <c r="AU18" s="5">
        <f t="shared" si="99"/>
        <v>662.34465038866574</v>
      </c>
      <c r="AV18" t="s">
        <v>40</v>
      </c>
      <c r="AW18">
        <v>227</v>
      </c>
      <c r="AX18">
        <v>204</v>
      </c>
      <c r="AY18">
        <v>159</v>
      </c>
      <c r="AZ18">
        <v>25</v>
      </c>
      <c r="BA18" s="4">
        <f t="shared" si="100"/>
        <v>1.9331266140590724</v>
      </c>
      <c r="BB18" s="4">
        <f t="shared" si="101"/>
        <v>0.5458049269206573</v>
      </c>
      <c r="BC18" s="4">
        <f t="shared" si="102"/>
        <v>0.50503595545624691</v>
      </c>
      <c r="BD18" s="5">
        <f t="shared" si="103"/>
        <v>4570.4477802069214</v>
      </c>
      <c r="BE18" s="4">
        <f t="shared" si="104"/>
        <v>1.4498449605443042</v>
      </c>
      <c r="BF18" s="5">
        <f t="shared" si="105"/>
        <v>3427.835835155191</v>
      </c>
      <c r="BG18" s="4">
        <f t="shared" si="106"/>
        <v>0.48328165351476809</v>
      </c>
      <c r="BH18" s="5">
        <f t="shared" si="107"/>
        <v>1142.6119450517303</v>
      </c>
      <c r="BI18" t="s">
        <v>40</v>
      </c>
      <c r="BJ18">
        <v>240</v>
      </c>
      <c r="BK18">
        <v>227</v>
      </c>
      <c r="BL18">
        <v>159</v>
      </c>
      <c r="BM18">
        <v>20</v>
      </c>
      <c r="BN18" s="4">
        <f t="shared" si="108"/>
        <v>2.2695487757577157</v>
      </c>
      <c r="BO18" s="5">
        <f t="shared" si="109"/>
        <v>5340.9347798440131</v>
      </c>
      <c r="BP18" s="4">
        <f t="shared" si="110"/>
        <v>1.8156390206061728</v>
      </c>
      <c r="BQ18" s="5">
        <f t="shared" si="111"/>
        <v>4272.747823875211</v>
      </c>
      <c r="BR18" s="4">
        <f t="shared" si="112"/>
        <v>0.45390975515154319</v>
      </c>
      <c r="BS18" s="5">
        <f t="shared" si="113"/>
        <v>1068.1869559688027</v>
      </c>
      <c r="BT18" t="s">
        <v>40</v>
      </c>
      <c r="BU18">
        <v>221</v>
      </c>
      <c r="BV18">
        <v>156</v>
      </c>
      <c r="BW18">
        <v>159</v>
      </c>
      <c r="BX18">
        <v>20</v>
      </c>
      <c r="BY18" s="4">
        <f t="shared" si="114"/>
        <v>1.4790690862430862</v>
      </c>
      <c r="BZ18" s="5">
        <f t="shared" si="115"/>
        <v>3524.1857817706914</v>
      </c>
      <c r="CA18" t="s">
        <v>40</v>
      </c>
      <c r="CB18">
        <v>220</v>
      </c>
      <c r="CC18">
        <v>185</v>
      </c>
      <c r="CD18">
        <v>150</v>
      </c>
      <c r="CE18">
        <v>15</v>
      </c>
      <c r="CF18" s="4">
        <f t="shared" si="116"/>
        <v>1.6103116718908306</v>
      </c>
      <c r="CG18" s="5">
        <f t="shared" si="117"/>
        <v>3827.4502338185189</v>
      </c>
      <c r="CH18" s="4">
        <f t="shared" si="118"/>
        <v>1.3687649211072059</v>
      </c>
      <c r="CI18" s="5">
        <f t="shared" si="119"/>
        <v>3253.3326987457408</v>
      </c>
      <c r="CJ18" s="4">
        <f t="shared" si="120"/>
        <v>0.24154675078362459</v>
      </c>
      <c r="CK18" s="5">
        <f t="shared" si="121"/>
        <v>574.11753507277786</v>
      </c>
    </row>
    <row r="19" spans="1:89">
      <c r="A19" t="s">
        <v>41</v>
      </c>
      <c r="B19">
        <v>227</v>
      </c>
      <c r="C19">
        <v>242</v>
      </c>
      <c r="D19">
        <v>130</v>
      </c>
      <c r="E19">
        <v>25</v>
      </c>
      <c r="F19" s="4">
        <f t="shared" si="73"/>
        <v>1.8715337920398827</v>
      </c>
      <c r="G19" s="5">
        <f t="shared" si="74"/>
        <v>4428.9822578273997</v>
      </c>
      <c r="H19" s="4">
        <f t="shared" si="75"/>
        <v>1.403650344029912</v>
      </c>
      <c r="I19" s="5">
        <f t="shared" si="76"/>
        <v>3321.7366933705498</v>
      </c>
      <c r="J19" s="4">
        <f t="shared" si="77"/>
        <v>0.46788344800997067</v>
      </c>
      <c r="K19" s="5">
        <f t="shared" si="78"/>
        <v>1107.2455644568499</v>
      </c>
      <c r="L19" t="s">
        <v>41</v>
      </c>
      <c r="M19">
        <v>230</v>
      </c>
      <c r="N19">
        <v>246</v>
      </c>
      <c r="O19">
        <v>130</v>
      </c>
      <c r="P19">
        <v>50</v>
      </c>
      <c r="Q19" s="4">
        <f t="shared" si="79"/>
        <v>1.9278173879243528</v>
      </c>
      <c r="R19" s="4">
        <f t="shared" si="80"/>
        <v>5.6283595884470072E-2</v>
      </c>
      <c r="S19" s="5">
        <f t="shared" si="81"/>
        <v>4558.2588324440403</v>
      </c>
      <c r="T19" s="4">
        <f t="shared" si="82"/>
        <v>0.96390869396217638</v>
      </c>
      <c r="U19" s="5">
        <f t="shared" si="83"/>
        <v>2279.1294162220202</v>
      </c>
      <c r="V19" s="4">
        <f t="shared" si="84"/>
        <v>0.96390869396217638</v>
      </c>
      <c r="W19" s="5">
        <f t="shared" si="85"/>
        <v>2279.1294162220202</v>
      </c>
      <c r="X19" t="s">
        <v>41</v>
      </c>
      <c r="Y19">
        <v>191</v>
      </c>
      <c r="Z19">
        <v>142</v>
      </c>
      <c r="AA19">
        <v>115</v>
      </c>
      <c r="AB19">
        <v>35</v>
      </c>
      <c r="AC19" s="4">
        <f t="shared" si="86"/>
        <v>0.83463182901772159</v>
      </c>
      <c r="AD19" s="4">
        <f t="shared" si="87"/>
        <v>-1.0931855589066313</v>
      </c>
      <c r="AE19" s="5">
        <f t="shared" si="88"/>
        <v>2021.9554818998902</v>
      </c>
      <c r="AF19" s="4">
        <f t="shared" si="89"/>
        <v>0.5425106888615191</v>
      </c>
      <c r="AG19" s="5">
        <f t="shared" si="90"/>
        <v>1314.2710632349288</v>
      </c>
      <c r="AH19" s="4">
        <f t="shared" si="91"/>
        <v>0.29212114015620261</v>
      </c>
      <c r="AI19" s="5">
        <f t="shared" si="92"/>
        <v>707.68441866496164</v>
      </c>
      <c r="AJ19" t="s">
        <v>41</v>
      </c>
      <c r="AK19">
        <v>203</v>
      </c>
      <c r="AL19">
        <v>157</v>
      </c>
      <c r="AM19">
        <v>116</v>
      </c>
      <c r="AN19">
        <v>35</v>
      </c>
      <c r="AO19" s="4">
        <f t="shared" si="93"/>
        <v>0.98394681910432313</v>
      </c>
      <c r="AP19" s="4">
        <f t="shared" si="94"/>
        <v>0.14931499008660154</v>
      </c>
      <c r="AQ19" s="5">
        <f t="shared" si="95"/>
        <v>2372.3319011563217</v>
      </c>
      <c r="AR19" s="4">
        <f t="shared" si="96"/>
        <v>0.63956543241781005</v>
      </c>
      <c r="AS19" s="5">
        <f t="shared" si="97"/>
        <v>1542.0157357516091</v>
      </c>
      <c r="AT19" s="4">
        <f t="shared" si="98"/>
        <v>0.34438138668651314</v>
      </c>
      <c r="AU19" s="5">
        <f t="shared" si="99"/>
        <v>830.31616540471271</v>
      </c>
      <c r="AV19" t="s">
        <v>41</v>
      </c>
      <c r="AW19">
        <v>217</v>
      </c>
      <c r="AX19">
        <v>225</v>
      </c>
      <c r="AY19">
        <v>118</v>
      </c>
      <c r="AZ19">
        <v>40</v>
      </c>
      <c r="BA19" s="4">
        <f t="shared" si="100"/>
        <v>1.5088121801407943</v>
      </c>
      <c r="BB19" s="4">
        <f t="shared" si="101"/>
        <v>0.52486536103647119</v>
      </c>
      <c r="BC19" s="4">
        <f t="shared" si="102"/>
        <v>-0.41900520778355843</v>
      </c>
      <c r="BD19" s="5">
        <f t="shared" si="103"/>
        <v>3592.979679947608</v>
      </c>
      <c r="BE19" s="4">
        <f t="shared" si="104"/>
        <v>0.90528730808447655</v>
      </c>
      <c r="BF19" s="5">
        <f t="shared" si="105"/>
        <v>2155.7878079685647</v>
      </c>
      <c r="BG19" s="4">
        <f t="shared" si="106"/>
        <v>0.60352487205631777</v>
      </c>
      <c r="BH19" s="5">
        <f t="shared" si="107"/>
        <v>1437.1918719790433</v>
      </c>
      <c r="BI19" t="s">
        <v>41</v>
      </c>
      <c r="BJ19">
        <v>274</v>
      </c>
      <c r="BK19">
        <v>215</v>
      </c>
      <c r="BL19">
        <v>112</v>
      </c>
      <c r="BM19">
        <v>40</v>
      </c>
      <c r="BN19" s="4">
        <f t="shared" si="108"/>
        <v>1.7528484794777714</v>
      </c>
      <c r="BO19" s="5">
        <f t="shared" si="109"/>
        <v>4156.0023965970704</v>
      </c>
      <c r="BP19" s="4">
        <f t="shared" si="110"/>
        <v>1.0517090876866628</v>
      </c>
      <c r="BQ19" s="5">
        <f t="shared" si="111"/>
        <v>2493.6014379582421</v>
      </c>
      <c r="BR19" s="4">
        <f t="shared" si="112"/>
        <v>0.70113939179110862</v>
      </c>
      <c r="BS19" s="5">
        <f t="shared" si="113"/>
        <v>1662.4009586388283</v>
      </c>
      <c r="BT19" t="s">
        <v>41</v>
      </c>
      <c r="BU19">
        <v>176</v>
      </c>
      <c r="BV19">
        <v>187</v>
      </c>
      <c r="BW19">
        <v>112</v>
      </c>
      <c r="BX19">
        <v>40</v>
      </c>
      <c r="BY19" s="4">
        <f t="shared" si="114"/>
        <v>0.9659172188653713</v>
      </c>
      <c r="BZ19" s="5">
        <f t="shared" si="115"/>
        <v>2330.111217983374</v>
      </c>
      <c r="CA19" t="s">
        <v>41</v>
      </c>
      <c r="CB19">
        <v>246</v>
      </c>
      <c r="CC19">
        <v>175</v>
      </c>
      <c r="CD19">
        <v>112</v>
      </c>
      <c r="CE19">
        <v>45</v>
      </c>
      <c r="CF19" s="4">
        <f t="shared" si="116"/>
        <v>1.299244388201453</v>
      </c>
      <c r="CG19" s="5">
        <f t="shared" si="117"/>
        <v>3107.3760565547091</v>
      </c>
      <c r="CH19" s="4">
        <f t="shared" si="118"/>
        <v>0.71458441351079927</v>
      </c>
      <c r="CI19" s="5">
        <f t="shared" si="119"/>
        <v>1709.0568311050902</v>
      </c>
      <c r="CJ19" s="4">
        <f t="shared" si="120"/>
        <v>0.58465997469065389</v>
      </c>
      <c r="CK19" s="5">
        <f t="shared" si="121"/>
        <v>1398.3192254496191</v>
      </c>
    </row>
    <row r="20" spans="1:89">
      <c r="A20" t="s">
        <v>42</v>
      </c>
      <c r="B20">
        <v>250</v>
      </c>
      <c r="C20">
        <v>226</v>
      </c>
      <c r="D20">
        <v>132</v>
      </c>
      <c r="E20">
        <v>30</v>
      </c>
      <c r="F20" s="4">
        <f t="shared" si="73"/>
        <v>1.9574761169693426</v>
      </c>
      <c r="G20" s="5">
        <f t="shared" si="74"/>
        <v>4626.33709617147</v>
      </c>
      <c r="H20" s="4">
        <f t="shared" si="75"/>
        <v>1.3702332818785399</v>
      </c>
      <c r="I20" s="5">
        <f t="shared" si="76"/>
        <v>3238.4359673200288</v>
      </c>
      <c r="J20" s="4">
        <f t="shared" si="77"/>
        <v>0.58724283509080277</v>
      </c>
      <c r="K20" s="5">
        <f t="shared" si="78"/>
        <v>1387.9011288514409</v>
      </c>
      <c r="L20" t="s">
        <v>42</v>
      </c>
      <c r="M20">
        <v>236</v>
      </c>
      <c r="N20">
        <v>213</v>
      </c>
      <c r="O20">
        <v>131</v>
      </c>
      <c r="P20">
        <v>65</v>
      </c>
      <c r="Q20" s="4">
        <f t="shared" si="79"/>
        <v>1.7285128519350546</v>
      </c>
      <c r="R20" s="4">
        <f t="shared" si="80"/>
        <v>-0.2289632650342881</v>
      </c>
      <c r="S20" s="5">
        <f t="shared" si="81"/>
        <v>4099.9646024835629</v>
      </c>
      <c r="T20" s="4">
        <f t="shared" si="82"/>
        <v>0.60497949817726904</v>
      </c>
      <c r="U20" s="5">
        <f t="shared" si="83"/>
        <v>1434.987610869247</v>
      </c>
      <c r="V20" s="4">
        <f t="shared" si="84"/>
        <v>1.1235333537577854</v>
      </c>
      <c r="W20" s="5">
        <f t="shared" si="85"/>
        <v>2664.9769916143159</v>
      </c>
      <c r="X20" t="s">
        <v>42</v>
      </c>
      <c r="Y20">
        <v>179</v>
      </c>
      <c r="Z20">
        <v>164</v>
      </c>
      <c r="AA20">
        <v>137</v>
      </c>
      <c r="AB20">
        <v>45</v>
      </c>
      <c r="AC20" s="4">
        <f t="shared" si="86"/>
        <v>1.0549149389999879</v>
      </c>
      <c r="AD20" s="4">
        <f t="shared" si="87"/>
        <v>-0.67359791293506666</v>
      </c>
      <c r="AE20" s="5">
        <f t="shared" si="88"/>
        <v>2538.3069373548628</v>
      </c>
      <c r="AF20" s="4">
        <f t="shared" si="89"/>
        <v>0.5802032164499934</v>
      </c>
      <c r="AG20" s="5">
        <f t="shared" si="90"/>
        <v>1396.0688155451746</v>
      </c>
      <c r="AH20" s="4">
        <f t="shared" si="91"/>
        <v>0.47471172254999455</v>
      </c>
      <c r="AI20" s="5">
        <f t="shared" si="92"/>
        <v>1142.2381218096882</v>
      </c>
      <c r="AJ20" t="s">
        <v>42</v>
      </c>
      <c r="AK20">
        <v>199</v>
      </c>
      <c r="AL20">
        <v>169</v>
      </c>
      <c r="AM20">
        <v>135</v>
      </c>
      <c r="AN20">
        <v>45</v>
      </c>
      <c r="AO20" s="4">
        <f t="shared" si="93"/>
        <v>1.1965698098992803</v>
      </c>
      <c r="AP20" s="4">
        <f t="shared" si="94"/>
        <v>0.14165487089929241</v>
      </c>
      <c r="AQ20" s="5">
        <f t="shared" si="95"/>
        <v>2868.6518108790569</v>
      </c>
      <c r="AR20" s="4">
        <f t="shared" si="96"/>
        <v>0.65811339544460423</v>
      </c>
      <c r="AS20" s="5">
        <f t="shared" si="97"/>
        <v>1577.7584959834815</v>
      </c>
      <c r="AT20" s="4">
        <f t="shared" si="98"/>
        <v>0.53845641445467618</v>
      </c>
      <c r="AU20" s="5">
        <f t="shared" si="99"/>
        <v>1290.8933148955757</v>
      </c>
      <c r="AV20" t="s">
        <v>42</v>
      </c>
      <c r="AW20">
        <v>233</v>
      </c>
      <c r="AX20">
        <v>282</v>
      </c>
      <c r="AY20">
        <v>143</v>
      </c>
      <c r="AZ20">
        <v>60</v>
      </c>
      <c r="BA20" s="4">
        <f t="shared" si="100"/>
        <v>2.4823277989878014</v>
      </c>
      <c r="BB20" s="4">
        <f t="shared" si="101"/>
        <v>1.2857579890885211</v>
      </c>
      <c r="BC20" s="4">
        <f t="shared" si="102"/>
        <v>0.75381494705274688</v>
      </c>
      <c r="BD20" s="5">
        <f t="shared" si="103"/>
        <v>5826.5062422170413</v>
      </c>
      <c r="BE20" s="4">
        <f t="shared" si="104"/>
        <v>0.99293111959512059</v>
      </c>
      <c r="BF20" s="5">
        <f t="shared" si="105"/>
        <v>2330.6024968868164</v>
      </c>
      <c r="BG20" s="4">
        <f t="shared" si="106"/>
        <v>1.4893966793926807</v>
      </c>
      <c r="BH20" s="5">
        <f t="shared" si="107"/>
        <v>3495.9037453302249</v>
      </c>
      <c r="BI20" t="s">
        <v>42</v>
      </c>
      <c r="BJ20">
        <v>283</v>
      </c>
      <c r="BK20">
        <v>233</v>
      </c>
      <c r="BL20">
        <v>140</v>
      </c>
      <c r="BM20">
        <v>50</v>
      </c>
      <c r="BN20" s="4">
        <f t="shared" si="108"/>
        <v>2.4396980229247616</v>
      </c>
      <c r="BO20" s="5">
        <f t="shared" si="109"/>
        <v>5729.3232782636815</v>
      </c>
      <c r="BP20" s="4">
        <f t="shared" si="110"/>
        <v>1.2198490114623808</v>
      </c>
      <c r="BQ20" s="5">
        <f t="shared" si="111"/>
        <v>2864.6616391318407</v>
      </c>
      <c r="BR20" s="4">
        <f t="shared" si="112"/>
        <v>1.2198490114623808</v>
      </c>
      <c r="BS20" s="5">
        <f t="shared" si="113"/>
        <v>2864.6616391318407</v>
      </c>
      <c r="BT20" t="s">
        <v>42</v>
      </c>
      <c r="BU20">
        <v>170</v>
      </c>
      <c r="BV20">
        <v>140</v>
      </c>
      <c r="BW20">
        <v>126</v>
      </c>
      <c r="BX20">
        <v>50</v>
      </c>
      <c r="BY20" s="4">
        <f t="shared" si="114"/>
        <v>0.79250601677619525</v>
      </c>
      <c r="BZ20" s="5">
        <f t="shared" si="115"/>
        <v>1922.7884009851605</v>
      </c>
      <c r="CA20" t="s">
        <v>42</v>
      </c>
      <c r="CB20">
        <v>284</v>
      </c>
      <c r="CC20">
        <v>224</v>
      </c>
      <c r="CD20">
        <v>135</v>
      </c>
      <c r="CE20">
        <v>55</v>
      </c>
      <c r="CF20" s="4">
        <f t="shared" si="116"/>
        <v>2.2801836559387394</v>
      </c>
      <c r="CG20" s="5">
        <f t="shared" si="117"/>
        <v>5365.234435702162</v>
      </c>
      <c r="CH20" s="4">
        <f t="shared" si="118"/>
        <v>1.0260826451724325</v>
      </c>
      <c r="CI20" s="5">
        <f t="shared" si="119"/>
        <v>2414.3554960659726</v>
      </c>
      <c r="CJ20" s="4">
        <f t="shared" si="120"/>
        <v>1.2541010107663069</v>
      </c>
      <c r="CK20" s="5">
        <f t="shared" si="121"/>
        <v>2950.8789396361894</v>
      </c>
    </row>
    <row r="21" spans="1:89">
      <c r="A21" t="s">
        <v>43</v>
      </c>
      <c r="B21">
        <v>176</v>
      </c>
      <c r="C21">
        <v>175</v>
      </c>
      <c r="D21">
        <v>151</v>
      </c>
      <c r="E21">
        <v>10</v>
      </c>
      <c r="F21" s="4">
        <f t="shared" si="73"/>
        <v>1.2175864757031736</v>
      </c>
      <c r="G21" s="5">
        <f t="shared" si="74"/>
        <v>2917.5635253097744</v>
      </c>
      <c r="H21" s="4">
        <f t="shared" si="75"/>
        <v>1.0958278281328562</v>
      </c>
      <c r="I21" s="5">
        <f t="shared" si="76"/>
        <v>2625.8071727787969</v>
      </c>
      <c r="J21" s="4">
        <f t="shared" si="77"/>
        <v>0.12175864757031736</v>
      </c>
      <c r="K21" s="5">
        <f t="shared" si="78"/>
        <v>291.75635253097744</v>
      </c>
      <c r="L21" t="s">
        <v>43</v>
      </c>
      <c r="M21">
        <v>179</v>
      </c>
      <c r="N21">
        <v>161</v>
      </c>
      <c r="O21">
        <v>152</v>
      </c>
      <c r="P21">
        <v>15</v>
      </c>
      <c r="Q21" s="4">
        <f t="shared" si="79"/>
        <v>1.1500323507241035</v>
      </c>
      <c r="R21" s="4">
        <f t="shared" si="80"/>
        <v>-6.7554124979070096E-2</v>
      </c>
      <c r="S21" s="5">
        <f t="shared" si="81"/>
        <v>2760.2566552806643</v>
      </c>
      <c r="T21" s="4">
        <f t="shared" si="82"/>
        <v>0.97752749811548789</v>
      </c>
      <c r="U21" s="5">
        <f t="shared" si="83"/>
        <v>2346.2181569885647</v>
      </c>
      <c r="V21" s="4">
        <f t="shared" si="84"/>
        <v>0.17250485260861551</v>
      </c>
      <c r="W21" s="5">
        <f t="shared" si="85"/>
        <v>414.03849829209963</v>
      </c>
      <c r="X21" t="s">
        <v>43</v>
      </c>
      <c r="Y21">
        <v>172</v>
      </c>
      <c r="Z21">
        <v>161</v>
      </c>
      <c r="AA21">
        <v>162</v>
      </c>
      <c r="AB21">
        <v>15</v>
      </c>
      <c r="AC21" s="4">
        <f t="shared" si="86"/>
        <v>1.1757422287032251</v>
      </c>
      <c r="AD21" s="4">
        <f t="shared" si="87"/>
        <v>2.5709877979121609E-2</v>
      </c>
      <c r="AE21" s="5">
        <f t="shared" si="88"/>
        <v>2820.1555651104818</v>
      </c>
      <c r="AF21" s="4">
        <f t="shared" si="89"/>
        <v>0.99938089439774125</v>
      </c>
      <c r="AG21" s="5">
        <f t="shared" si="90"/>
        <v>2397.1322303439097</v>
      </c>
      <c r="AH21" s="4">
        <f t="shared" si="91"/>
        <v>0.17636133430548376</v>
      </c>
      <c r="AI21" s="5">
        <f t="shared" si="92"/>
        <v>423.02333476657225</v>
      </c>
      <c r="AJ21" t="s">
        <v>43</v>
      </c>
      <c r="AK21">
        <v>186</v>
      </c>
      <c r="AL21">
        <v>164</v>
      </c>
      <c r="AM21">
        <v>159</v>
      </c>
      <c r="AN21">
        <v>15</v>
      </c>
      <c r="AO21" s="4">
        <f t="shared" si="93"/>
        <v>1.2747993939644833</v>
      </c>
      <c r="AP21" s="4">
        <f t="shared" si="94"/>
        <v>9.9057165261258184E-2</v>
      </c>
      <c r="AQ21" s="5">
        <f t="shared" si="95"/>
        <v>3050.5913518286384</v>
      </c>
      <c r="AR21" s="4">
        <f t="shared" si="96"/>
        <v>1.0835794848698108</v>
      </c>
      <c r="AS21" s="5">
        <f t="shared" si="97"/>
        <v>2593.0026490543428</v>
      </c>
      <c r="AT21" s="4">
        <f t="shared" si="98"/>
        <v>0.19121990909467249</v>
      </c>
      <c r="AU21" s="5">
        <f t="shared" si="99"/>
        <v>457.58870277429577</v>
      </c>
      <c r="AV21" t="s">
        <v>43</v>
      </c>
      <c r="AW21">
        <v>206</v>
      </c>
      <c r="AX21">
        <v>211</v>
      </c>
      <c r="AY21">
        <v>155</v>
      </c>
      <c r="AZ21">
        <v>35</v>
      </c>
      <c r="BA21" s="4">
        <f t="shared" si="100"/>
        <v>1.7640563076189939</v>
      </c>
      <c r="BB21" s="4">
        <f t="shared" si="101"/>
        <v>0.48925691365451063</v>
      </c>
      <c r="BC21" s="4">
        <f t="shared" si="102"/>
        <v>0.61402395689489042</v>
      </c>
      <c r="BD21" s="5">
        <f t="shared" si="103"/>
        <v>4181.8031226151961</v>
      </c>
      <c r="BE21" s="4">
        <f t="shared" si="104"/>
        <v>1.146636599952346</v>
      </c>
      <c r="BF21" s="5">
        <f t="shared" si="105"/>
        <v>2718.1720296998774</v>
      </c>
      <c r="BG21" s="4">
        <f t="shared" si="106"/>
        <v>0.61741970766664789</v>
      </c>
      <c r="BH21" s="5">
        <f t="shared" si="107"/>
        <v>1463.6310929153187</v>
      </c>
      <c r="BI21" t="s">
        <v>43</v>
      </c>
      <c r="BJ21">
        <v>230</v>
      </c>
      <c r="BK21">
        <v>219</v>
      </c>
      <c r="BL21">
        <v>152</v>
      </c>
      <c r="BM21">
        <v>30</v>
      </c>
      <c r="BN21" s="4">
        <f t="shared" si="108"/>
        <v>2.0056026984284605</v>
      </c>
      <c r="BO21" s="5">
        <f t="shared" si="109"/>
        <v>4736.7427931136754</v>
      </c>
      <c r="BP21" s="4">
        <f t="shared" si="110"/>
        <v>1.4039218888999223</v>
      </c>
      <c r="BQ21" s="5">
        <f t="shared" si="111"/>
        <v>3315.7199551795725</v>
      </c>
      <c r="BR21" s="4">
        <f t="shared" si="112"/>
        <v>0.60168080952853809</v>
      </c>
      <c r="BS21" s="5">
        <f t="shared" si="113"/>
        <v>1421.0228379341027</v>
      </c>
      <c r="BT21" t="s">
        <v>43</v>
      </c>
      <c r="BU21">
        <v>141</v>
      </c>
      <c r="BV21">
        <v>131</v>
      </c>
      <c r="BW21">
        <v>152</v>
      </c>
      <c r="BX21">
        <v>30</v>
      </c>
      <c r="BY21" s="4">
        <f t="shared" si="114"/>
        <v>0.73602070446342638</v>
      </c>
      <c r="BZ21" s="5">
        <f t="shared" si="115"/>
        <v>1789.5763033535331</v>
      </c>
      <c r="CA21" t="s">
        <v>43</v>
      </c>
      <c r="CB21">
        <v>203</v>
      </c>
      <c r="CC21">
        <v>194</v>
      </c>
      <c r="CD21">
        <v>155</v>
      </c>
      <c r="CE21">
        <v>20</v>
      </c>
      <c r="CF21" s="4">
        <f t="shared" si="116"/>
        <v>1.5989001638259006</v>
      </c>
      <c r="CG21" s="5">
        <f t="shared" si="117"/>
        <v>3801.1107890750613</v>
      </c>
      <c r="CH21" s="4">
        <f t="shared" si="118"/>
        <v>1.2791201310607205</v>
      </c>
      <c r="CI21" s="5">
        <f t="shared" si="119"/>
        <v>3040.8886312600494</v>
      </c>
      <c r="CJ21" s="4">
        <f t="shared" si="120"/>
        <v>0.31978003276518013</v>
      </c>
      <c r="CK21" s="5">
        <f t="shared" si="121"/>
        <v>760.22215781501234</v>
      </c>
    </row>
    <row r="22" spans="1:89">
      <c r="A22" t="s">
        <v>44</v>
      </c>
      <c r="B22">
        <v>175</v>
      </c>
      <c r="C22">
        <v>155</v>
      </c>
      <c r="D22">
        <v>125</v>
      </c>
      <c r="E22">
        <v>15</v>
      </c>
      <c r="F22" s="4">
        <f t="shared" si="73"/>
        <v>0.89093604160398043</v>
      </c>
      <c r="G22" s="5">
        <f t="shared" si="74"/>
        <v>2154.2741924791499</v>
      </c>
      <c r="H22" s="4">
        <f t="shared" si="75"/>
        <v>0.7572956353633834</v>
      </c>
      <c r="I22" s="5">
        <f t="shared" si="76"/>
        <v>1831.1330636072773</v>
      </c>
      <c r="J22" s="4">
        <f t="shared" si="77"/>
        <v>0.13364040624059706</v>
      </c>
      <c r="K22" s="5">
        <f t="shared" si="78"/>
        <v>323.14112887187247</v>
      </c>
      <c r="L22" t="s">
        <v>44</v>
      </c>
      <c r="M22">
        <v>165</v>
      </c>
      <c r="N22">
        <v>148</v>
      </c>
      <c r="O22">
        <v>114</v>
      </c>
      <c r="P22">
        <v>15</v>
      </c>
      <c r="Q22" s="4">
        <f t="shared" si="79"/>
        <v>0.73097439036390377</v>
      </c>
      <c r="R22" s="4">
        <f t="shared" si="80"/>
        <v>-0.15996165124007666</v>
      </c>
      <c r="S22" s="5">
        <f t="shared" si="81"/>
        <v>1777.6612230655574</v>
      </c>
      <c r="T22" s="4">
        <f t="shared" si="82"/>
        <v>0.62132823180931818</v>
      </c>
      <c r="U22" s="5">
        <f t="shared" si="83"/>
        <v>1511.0120396057237</v>
      </c>
      <c r="V22" s="4">
        <f t="shared" si="84"/>
        <v>0.10964615855458557</v>
      </c>
      <c r="W22" s="5">
        <f t="shared" si="85"/>
        <v>266.64918345983358</v>
      </c>
      <c r="X22" t="s">
        <v>44</v>
      </c>
      <c r="Y22">
        <v>168</v>
      </c>
      <c r="Z22">
        <v>151</v>
      </c>
      <c r="AA22">
        <v>114</v>
      </c>
      <c r="AB22">
        <v>25</v>
      </c>
      <c r="AC22" s="4">
        <f t="shared" si="86"/>
        <v>0.75926757380213339</v>
      </c>
      <c r="AD22" s="4">
        <f t="shared" si="87"/>
        <v>2.8293183438229619E-2</v>
      </c>
      <c r="AE22" s="5">
        <f t="shared" si="88"/>
        <v>1844.4352006313875</v>
      </c>
      <c r="AF22" s="4">
        <f t="shared" si="89"/>
        <v>0.56945068035160007</v>
      </c>
      <c r="AG22" s="5">
        <f t="shared" si="90"/>
        <v>1383.3264004735406</v>
      </c>
      <c r="AH22" s="4">
        <f t="shared" si="91"/>
        <v>0.18981689345053335</v>
      </c>
      <c r="AI22" s="5">
        <f t="shared" si="92"/>
        <v>461.10880015784687</v>
      </c>
      <c r="AJ22" t="s">
        <v>44</v>
      </c>
      <c r="AK22">
        <v>170</v>
      </c>
      <c r="AL22">
        <v>113</v>
      </c>
      <c r="AM22">
        <v>124</v>
      </c>
      <c r="AN22">
        <v>20</v>
      </c>
      <c r="AO22" s="4">
        <f t="shared" si="93"/>
        <v>0.64998478625282841</v>
      </c>
      <c r="AP22" s="4">
        <f t="shared" si="94"/>
        <v>-0.10928278754930498</v>
      </c>
      <c r="AQ22" s="5">
        <f t="shared" si="95"/>
        <v>1586.0942802274408</v>
      </c>
      <c r="AR22" s="4">
        <f t="shared" si="96"/>
        <v>0.5199878290022627</v>
      </c>
      <c r="AS22" s="5">
        <f t="shared" si="97"/>
        <v>1268.8754241819527</v>
      </c>
      <c r="AT22" s="4">
        <f t="shared" si="98"/>
        <v>0.12999695725056568</v>
      </c>
      <c r="AU22" s="5">
        <f t="shared" si="99"/>
        <v>317.21885604548817</v>
      </c>
      <c r="AV22" t="s">
        <v>44</v>
      </c>
      <c r="AW22">
        <v>172</v>
      </c>
      <c r="AX22">
        <v>166</v>
      </c>
      <c r="AY22">
        <v>118</v>
      </c>
      <c r="AZ22">
        <v>45</v>
      </c>
      <c r="BA22" s="4">
        <f t="shared" si="100"/>
        <v>0.88231577316191778</v>
      </c>
      <c r="BB22" s="4">
        <f t="shared" si="101"/>
        <v>0.23233098690908938</v>
      </c>
      <c r="BC22" s="4">
        <f t="shared" si="102"/>
        <v>0.15134138279801401</v>
      </c>
      <c r="BD22" s="5">
        <f t="shared" si="103"/>
        <v>2134.0320909347483</v>
      </c>
      <c r="BE22" s="4">
        <f t="shared" si="104"/>
        <v>0.48527367523905485</v>
      </c>
      <c r="BF22" s="5">
        <f t="shared" si="105"/>
        <v>1173.7176500141118</v>
      </c>
      <c r="BG22" s="4">
        <f t="shared" si="106"/>
        <v>0.39704209792286299</v>
      </c>
      <c r="BH22" s="5">
        <f t="shared" si="107"/>
        <v>960.3144409206368</v>
      </c>
      <c r="BI22" t="s">
        <v>44</v>
      </c>
      <c r="BJ22">
        <v>174</v>
      </c>
      <c r="BK22">
        <v>152</v>
      </c>
      <c r="BL22">
        <v>114</v>
      </c>
      <c r="BM22">
        <v>50</v>
      </c>
      <c r="BN22" s="4">
        <f t="shared" si="108"/>
        <v>0.79295526452565845</v>
      </c>
      <c r="BO22" s="5">
        <f t="shared" si="109"/>
        <v>1923.8467538666055</v>
      </c>
      <c r="BP22" s="4">
        <f t="shared" si="110"/>
        <v>0.39647763226282923</v>
      </c>
      <c r="BQ22" s="5">
        <f t="shared" si="111"/>
        <v>961.92337693330273</v>
      </c>
      <c r="BR22" s="4">
        <f t="shared" si="112"/>
        <v>0.39647763226282923</v>
      </c>
      <c r="BS22" s="5">
        <f t="shared" si="113"/>
        <v>961.92337693330273</v>
      </c>
      <c r="BT22" t="s">
        <v>44</v>
      </c>
      <c r="BU22">
        <v>170</v>
      </c>
      <c r="BV22">
        <v>92</v>
      </c>
      <c r="BW22">
        <v>114</v>
      </c>
      <c r="BX22">
        <v>50</v>
      </c>
      <c r="BY22" s="4">
        <f t="shared" si="114"/>
        <v>0.51217227951841715</v>
      </c>
      <c r="BZ22" s="5">
        <f t="shared" si="115"/>
        <v>1258.4703946523341</v>
      </c>
      <c r="CA22" t="s">
        <v>44</v>
      </c>
      <c r="CB22">
        <v>184</v>
      </c>
      <c r="CC22">
        <v>136</v>
      </c>
      <c r="CD22">
        <v>116</v>
      </c>
      <c r="CE22">
        <v>50</v>
      </c>
      <c r="CF22" s="4">
        <f t="shared" si="116"/>
        <v>0.77743946200835412</v>
      </c>
      <c r="CG22" s="5">
        <f t="shared" si="117"/>
        <v>1887.2839664023445</v>
      </c>
      <c r="CH22" s="4">
        <f t="shared" si="118"/>
        <v>0.38871973100417706</v>
      </c>
      <c r="CI22" s="5">
        <f t="shared" si="119"/>
        <v>943.64198320117225</v>
      </c>
      <c r="CJ22" s="4">
        <f t="shared" si="120"/>
        <v>0.38871973100417706</v>
      </c>
      <c r="CK22" s="5">
        <f t="shared" si="121"/>
        <v>943.64198320117225</v>
      </c>
    </row>
    <row r="23" spans="1:89">
      <c r="A23" t="s">
        <v>45</v>
      </c>
      <c r="B23">
        <v>232</v>
      </c>
      <c r="C23">
        <v>198</v>
      </c>
      <c r="D23">
        <v>132</v>
      </c>
      <c r="E23">
        <v>20</v>
      </c>
      <c r="F23" s="4">
        <f t="shared" si="73"/>
        <v>1.59742132453407</v>
      </c>
      <c r="G23" s="5">
        <f t="shared" si="74"/>
        <v>3797.697011524845</v>
      </c>
      <c r="H23" s="4">
        <f t="shared" si="75"/>
        <v>1.2779370596272561</v>
      </c>
      <c r="I23" s="5">
        <f t="shared" si="76"/>
        <v>3038.1576092198761</v>
      </c>
      <c r="J23" s="4">
        <f t="shared" si="77"/>
        <v>0.31948426490681403</v>
      </c>
      <c r="K23" s="5">
        <f t="shared" si="78"/>
        <v>759.53940230496903</v>
      </c>
      <c r="L23" t="s">
        <v>45</v>
      </c>
      <c r="M23">
        <v>242</v>
      </c>
      <c r="N23">
        <v>218</v>
      </c>
      <c r="O23">
        <v>102</v>
      </c>
      <c r="P23">
        <v>55</v>
      </c>
      <c r="Q23" s="4">
        <f t="shared" si="79"/>
        <v>1.4126171366866505</v>
      </c>
      <c r="R23" s="4">
        <f t="shared" si="80"/>
        <v>-0.18480418784741959</v>
      </c>
      <c r="S23" s="5">
        <f t="shared" si="81"/>
        <v>3370.3403575964571</v>
      </c>
      <c r="T23" s="4">
        <f t="shared" si="82"/>
        <v>0.63567771150899266</v>
      </c>
      <c r="U23" s="5">
        <f t="shared" si="83"/>
        <v>1516.6531609184055</v>
      </c>
      <c r="V23" s="4">
        <f t="shared" si="84"/>
        <v>0.77693942517765779</v>
      </c>
      <c r="W23" s="5">
        <f t="shared" si="85"/>
        <v>1853.6871966780516</v>
      </c>
      <c r="X23" t="s">
        <v>45</v>
      </c>
      <c r="Y23">
        <v>167</v>
      </c>
      <c r="Z23">
        <v>116</v>
      </c>
      <c r="AA23">
        <v>105</v>
      </c>
      <c r="AB23">
        <v>50</v>
      </c>
      <c r="AC23" s="4">
        <f t="shared" si="86"/>
        <v>0.55039034319795954</v>
      </c>
      <c r="AD23" s="4">
        <f t="shared" si="87"/>
        <v>-0.86222679348869091</v>
      </c>
      <c r="AE23" s="5">
        <f t="shared" si="88"/>
        <v>1349.5573725924148</v>
      </c>
      <c r="AF23" s="4">
        <f t="shared" si="89"/>
        <v>0.27519517159897977</v>
      </c>
      <c r="AG23" s="5">
        <f t="shared" si="90"/>
        <v>674.77868629620741</v>
      </c>
      <c r="AH23" s="4">
        <f t="shared" si="91"/>
        <v>0.27519517159897977</v>
      </c>
      <c r="AI23" s="5">
        <f t="shared" si="92"/>
        <v>674.77868629620741</v>
      </c>
      <c r="AJ23" t="s">
        <v>45</v>
      </c>
      <c r="AK23">
        <v>180</v>
      </c>
      <c r="AL23">
        <v>142</v>
      </c>
      <c r="AM23">
        <v>111</v>
      </c>
      <c r="AN23">
        <v>30</v>
      </c>
      <c r="AO23" s="4">
        <f t="shared" si="93"/>
        <v>0.75325731435673449</v>
      </c>
      <c r="AP23" s="4">
        <f t="shared" si="94"/>
        <v>0.20286697115877494</v>
      </c>
      <c r="AQ23" s="5">
        <f t="shared" si="95"/>
        <v>1830.256678018864</v>
      </c>
      <c r="AR23" s="4">
        <f t="shared" si="96"/>
        <v>0.52728012004971414</v>
      </c>
      <c r="AS23" s="5">
        <f t="shared" si="97"/>
        <v>1281.1796746132047</v>
      </c>
      <c r="AT23" s="4">
        <f t="shared" si="98"/>
        <v>0.22597719430702035</v>
      </c>
      <c r="AU23" s="5">
        <f t="shared" si="99"/>
        <v>549.07700340565918</v>
      </c>
      <c r="AV23" t="s">
        <v>45</v>
      </c>
      <c r="AW23">
        <v>231</v>
      </c>
      <c r="AX23">
        <v>214</v>
      </c>
      <c r="AY23">
        <v>127</v>
      </c>
      <c r="AZ23">
        <v>45</v>
      </c>
      <c r="BA23" s="4">
        <f t="shared" si="100"/>
        <v>1.6460096546634184</v>
      </c>
      <c r="BB23" s="4">
        <f t="shared" si="101"/>
        <v>0.89275234030668393</v>
      </c>
      <c r="BC23" s="4">
        <f t="shared" si="102"/>
        <v>0.23339251797676797</v>
      </c>
      <c r="BD23" s="5">
        <f t="shared" si="103"/>
        <v>3909.8116763726721</v>
      </c>
      <c r="BE23" s="4">
        <f t="shared" si="104"/>
        <v>0.90530531006488024</v>
      </c>
      <c r="BF23" s="5">
        <f t="shared" si="105"/>
        <v>2150.3964220049697</v>
      </c>
      <c r="BG23" s="4">
        <f t="shared" si="106"/>
        <v>0.74070434459853829</v>
      </c>
      <c r="BH23" s="5">
        <f t="shared" si="107"/>
        <v>1759.4152543677026</v>
      </c>
      <c r="BI23" t="s">
        <v>45</v>
      </c>
      <c r="BJ23">
        <v>254</v>
      </c>
      <c r="BK23">
        <v>212</v>
      </c>
      <c r="BL23">
        <v>120</v>
      </c>
      <c r="BM23">
        <v>35</v>
      </c>
      <c r="BN23" s="4">
        <f t="shared" si="108"/>
        <v>1.7055392357073629</v>
      </c>
      <c r="BO23" s="5">
        <f t="shared" si="109"/>
        <v>4047.0421259613363</v>
      </c>
      <c r="BP23" s="4">
        <f t="shared" si="110"/>
        <v>1.1086005032097859</v>
      </c>
      <c r="BQ23" s="5">
        <f t="shared" si="111"/>
        <v>2630.5773818748685</v>
      </c>
      <c r="BR23" s="4">
        <f t="shared" si="112"/>
        <v>0.59693873249757712</v>
      </c>
      <c r="BS23" s="5">
        <f t="shared" si="113"/>
        <v>1416.4647440864678</v>
      </c>
      <c r="BT23" t="s">
        <v>45</v>
      </c>
      <c r="BU23">
        <v>154</v>
      </c>
      <c r="BV23">
        <v>150</v>
      </c>
      <c r="BW23">
        <v>113</v>
      </c>
      <c r="BX23">
        <v>35</v>
      </c>
      <c r="BY23" s="4">
        <f t="shared" si="114"/>
        <v>0.68349327529540482</v>
      </c>
      <c r="BZ23" s="5">
        <f t="shared" si="115"/>
        <v>1665.432183482493</v>
      </c>
      <c r="CA23" t="s">
        <v>45</v>
      </c>
      <c r="CB23">
        <v>235</v>
      </c>
      <c r="CC23">
        <v>188</v>
      </c>
      <c r="CD23">
        <v>107</v>
      </c>
      <c r="CE23">
        <v>30</v>
      </c>
      <c r="CF23" s="4">
        <f t="shared" si="116"/>
        <v>1.2530636961419994</v>
      </c>
      <c r="CG23" s="5">
        <f t="shared" si="117"/>
        <v>3000.0737187384111</v>
      </c>
      <c r="CH23" s="4">
        <f t="shared" si="118"/>
        <v>0.87714458729939948</v>
      </c>
      <c r="CI23" s="5">
        <f t="shared" si="119"/>
        <v>2100.0516031168877</v>
      </c>
      <c r="CJ23" s="4">
        <f t="shared" si="120"/>
        <v>0.37591910884259983</v>
      </c>
      <c r="CK23" s="5">
        <f t="shared" si="121"/>
        <v>900.02211562152331</v>
      </c>
    </row>
    <row r="24" spans="1:89">
      <c r="A24" t="s">
        <v>46</v>
      </c>
      <c r="B24">
        <v>215</v>
      </c>
      <c r="C24">
        <v>200</v>
      </c>
      <c r="D24">
        <v>145</v>
      </c>
      <c r="E24">
        <v>5</v>
      </c>
      <c r="F24" s="4">
        <f t="shared" si="73"/>
        <v>1.6344544841844333</v>
      </c>
      <c r="G24" s="5">
        <f t="shared" si="74"/>
        <v>3883.1576170325311</v>
      </c>
      <c r="H24" s="4">
        <f t="shared" si="75"/>
        <v>1.5527317599752115</v>
      </c>
      <c r="I24" s="5">
        <f t="shared" si="76"/>
        <v>3688.9997361809042</v>
      </c>
      <c r="J24" s="4">
        <f t="shared" si="77"/>
        <v>8.1722724209221664E-2</v>
      </c>
      <c r="K24" s="5">
        <f t="shared" si="78"/>
        <v>194.15788085162657</v>
      </c>
      <c r="L24" t="s">
        <v>46</v>
      </c>
      <c r="M24">
        <v>220</v>
      </c>
      <c r="N24">
        <v>200</v>
      </c>
      <c r="O24">
        <v>150</v>
      </c>
      <c r="P24">
        <v>15</v>
      </c>
      <c r="Q24" s="4">
        <f t="shared" si="79"/>
        <v>1.7318029502913734</v>
      </c>
      <c r="R24" s="4">
        <f t="shared" si="80"/>
        <v>9.7348466106940146E-2</v>
      </c>
      <c r="S24" s="5">
        <f t="shared" si="81"/>
        <v>4107.5420620321238</v>
      </c>
      <c r="T24" s="4">
        <f t="shared" si="82"/>
        <v>1.4720325077476675</v>
      </c>
      <c r="U24" s="5">
        <f t="shared" si="83"/>
        <v>3491.410752727305</v>
      </c>
      <c r="V24" s="4">
        <f t="shared" si="84"/>
        <v>0.25977044254370601</v>
      </c>
      <c r="W24" s="5">
        <f t="shared" si="85"/>
        <v>616.1313093048185</v>
      </c>
      <c r="X24" t="s">
        <v>46</v>
      </c>
      <c r="Y24">
        <v>213</v>
      </c>
      <c r="Z24">
        <v>195</v>
      </c>
      <c r="AA24">
        <v>145</v>
      </c>
      <c r="AB24">
        <v>20</v>
      </c>
      <c r="AC24" s="4">
        <f t="shared" si="86"/>
        <v>1.5797812817841634</v>
      </c>
      <c r="AD24" s="4">
        <f t="shared" si="87"/>
        <v>-0.15202166850720999</v>
      </c>
      <c r="AE24" s="5">
        <f t="shared" si="88"/>
        <v>3756.9693478893264</v>
      </c>
      <c r="AF24" s="4">
        <f t="shared" si="89"/>
        <v>1.2638250254273309</v>
      </c>
      <c r="AG24" s="5">
        <f t="shared" si="90"/>
        <v>3005.5754783114612</v>
      </c>
      <c r="AH24" s="4">
        <f t="shared" si="91"/>
        <v>0.31595625635683272</v>
      </c>
      <c r="AI24" s="5">
        <f t="shared" si="92"/>
        <v>751.3938695778653</v>
      </c>
      <c r="AJ24" t="s">
        <v>46</v>
      </c>
      <c r="AK24">
        <v>242</v>
      </c>
      <c r="AL24">
        <v>185</v>
      </c>
      <c r="AM24">
        <v>144</v>
      </c>
      <c r="AN24">
        <v>15</v>
      </c>
      <c r="AO24" s="4">
        <f t="shared" si="93"/>
        <v>1.7184103408091203</v>
      </c>
      <c r="AP24" s="4">
        <f t="shared" si="94"/>
        <v>0.13862905902495681</v>
      </c>
      <c r="AQ24" s="5">
        <f t="shared" si="95"/>
        <v>4076.6947870230142</v>
      </c>
      <c r="AR24" s="4">
        <f t="shared" si="96"/>
        <v>1.4606487896877522</v>
      </c>
      <c r="AS24" s="5">
        <f t="shared" si="97"/>
        <v>3465.1905689695618</v>
      </c>
      <c r="AT24" s="4">
        <f t="shared" si="98"/>
        <v>0.257761551121368</v>
      </c>
      <c r="AU24" s="5">
        <f t="shared" si="99"/>
        <v>611.50421805345206</v>
      </c>
      <c r="AV24" t="s">
        <v>46</v>
      </c>
      <c r="AW24">
        <v>242</v>
      </c>
      <c r="AX24">
        <v>234</v>
      </c>
      <c r="AY24">
        <v>153</v>
      </c>
      <c r="AZ24">
        <v>35</v>
      </c>
      <c r="BA24" s="4">
        <f t="shared" si="100"/>
        <v>2.2688927719417382</v>
      </c>
      <c r="BB24" s="4">
        <f t="shared" si="101"/>
        <v>0.55048243113261797</v>
      </c>
      <c r="BC24" s="4">
        <f t="shared" si="102"/>
        <v>0.53708982165036478</v>
      </c>
      <c r="BD24" s="5">
        <f t="shared" si="103"/>
        <v>5339.4357676357058</v>
      </c>
      <c r="BE24" s="4">
        <f t="shared" si="104"/>
        <v>1.4747803017621299</v>
      </c>
      <c r="BF24" s="5">
        <f t="shared" si="105"/>
        <v>3470.6332489632091</v>
      </c>
      <c r="BG24" s="4">
        <f t="shared" si="106"/>
        <v>0.7941124701796084</v>
      </c>
      <c r="BH24" s="5">
        <f t="shared" si="107"/>
        <v>1868.8025186724972</v>
      </c>
      <c r="BI24" t="s">
        <v>46</v>
      </c>
      <c r="BJ24">
        <v>273</v>
      </c>
      <c r="BK24">
        <v>237</v>
      </c>
      <c r="BL24">
        <v>148</v>
      </c>
      <c r="BM24">
        <v>20</v>
      </c>
      <c r="BN24" s="4">
        <f t="shared" si="108"/>
        <v>2.5194787683626743</v>
      </c>
      <c r="BO24" s="5">
        <f t="shared" si="109"/>
        <v>5911.1596974951281</v>
      </c>
      <c r="BP24" s="4">
        <f t="shared" si="110"/>
        <v>2.0155830146901397</v>
      </c>
      <c r="BQ24" s="5">
        <f t="shared" si="111"/>
        <v>4728.9277579961026</v>
      </c>
      <c r="BR24" s="4">
        <f t="shared" si="112"/>
        <v>0.50389575367253492</v>
      </c>
      <c r="BS24" s="5">
        <f t="shared" si="113"/>
        <v>1182.2319394990257</v>
      </c>
      <c r="BT24" t="s">
        <v>46</v>
      </c>
      <c r="BU24">
        <v>193</v>
      </c>
      <c r="BV24">
        <v>185</v>
      </c>
      <c r="BW24">
        <v>148</v>
      </c>
      <c r="BX24">
        <v>20</v>
      </c>
      <c r="BY24" s="4">
        <f t="shared" si="114"/>
        <v>1.3840569178728657</v>
      </c>
      <c r="BZ24" s="5">
        <f t="shared" si="115"/>
        <v>3304.1555605021272</v>
      </c>
      <c r="CA24" t="s">
        <v>46</v>
      </c>
      <c r="CB24">
        <v>260</v>
      </c>
      <c r="CC24">
        <v>209</v>
      </c>
      <c r="CD24">
        <v>148</v>
      </c>
      <c r="CE24">
        <v>20</v>
      </c>
      <c r="CF24" s="4">
        <f t="shared" si="116"/>
        <v>2.1306692401684821</v>
      </c>
      <c r="CG24" s="5">
        <f t="shared" si="117"/>
        <v>5023.2994836451744</v>
      </c>
      <c r="CH24" s="4">
        <f t="shared" si="118"/>
        <v>1.7045353921347859</v>
      </c>
      <c r="CI24" s="5">
        <f t="shared" si="119"/>
        <v>4018.6395869161397</v>
      </c>
      <c r="CJ24" s="4">
        <f t="shared" si="120"/>
        <v>0.42613384803369647</v>
      </c>
      <c r="CK24" s="5">
        <f t="shared" si="121"/>
        <v>1004.6598967290349</v>
      </c>
    </row>
    <row r="25" spans="1:89">
      <c r="A25" t="s">
        <v>47</v>
      </c>
      <c r="B25">
        <v>148</v>
      </c>
      <c r="C25">
        <v>136</v>
      </c>
      <c r="D25">
        <v>114</v>
      </c>
      <c r="E25">
        <v>5</v>
      </c>
      <c r="F25" s="4">
        <f t="shared" si="73"/>
        <v>0.60179720553635352</v>
      </c>
      <c r="G25" s="5">
        <f t="shared" si="74"/>
        <v>1471.790895029435</v>
      </c>
      <c r="H25" s="4">
        <f t="shared" si="75"/>
        <v>0.57170734525953582</v>
      </c>
      <c r="I25" s="5">
        <f t="shared" si="76"/>
        <v>1398.2013502779632</v>
      </c>
      <c r="J25" s="4">
        <f t="shared" si="77"/>
        <v>3.0089860276817676E-2</v>
      </c>
      <c r="K25" s="5">
        <f t="shared" si="78"/>
        <v>73.589544751471749</v>
      </c>
      <c r="L25" t="s">
        <v>47</v>
      </c>
      <c r="M25">
        <v>143</v>
      </c>
      <c r="N25">
        <v>130</v>
      </c>
      <c r="O25">
        <v>116</v>
      </c>
      <c r="P25">
        <v>10</v>
      </c>
      <c r="Q25" s="4">
        <f t="shared" si="79"/>
        <v>0.56583775062520147</v>
      </c>
      <c r="R25" s="4">
        <f t="shared" si="80"/>
        <v>-3.5959454911152045E-2</v>
      </c>
      <c r="S25" s="5">
        <f t="shared" si="81"/>
        <v>1386.3211628072193</v>
      </c>
      <c r="T25" s="4">
        <f t="shared" si="82"/>
        <v>0.50925397556268137</v>
      </c>
      <c r="U25" s="5">
        <f t="shared" si="83"/>
        <v>1247.6890465264973</v>
      </c>
      <c r="V25" s="4">
        <f t="shared" si="84"/>
        <v>5.6583775062520152E-2</v>
      </c>
      <c r="W25" s="5">
        <f t="shared" si="85"/>
        <v>138.63211628072193</v>
      </c>
      <c r="X25" t="s">
        <v>47</v>
      </c>
      <c r="Y25">
        <v>173</v>
      </c>
      <c r="Z25">
        <v>154</v>
      </c>
      <c r="AA25">
        <v>118</v>
      </c>
      <c r="AB25">
        <v>15</v>
      </c>
      <c r="AC25" s="4">
        <f t="shared" si="86"/>
        <v>0.82582142877026987</v>
      </c>
      <c r="AD25" s="4">
        <f t="shared" si="87"/>
        <v>0.2599836781450684</v>
      </c>
      <c r="AE25" s="5">
        <f t="shared" si="88"/>
        <v>2001.2274424743277</v>
      </c>
      <c r="AF25" s="4">
        <f t="shared" si="89"/>
        <v>0.70194821445472932</v>
      </c>
      <c r="AG25" s="5">
        <f t="shared" si="90"/>
        <v>1701.0433261031785</v>
      </c>
      <c r="AH25" s="4">
        <f t="shared" si="91"/>
        <v>0.12387321431554048</v>
      </c>
      <c r="AI25" s="5">
        <f t="shared" si="92"/>
        <v>300.18411637114917</v>
      </c>
      <c r="AJ25" t="s">
        <v>47</v>
      </c>
      <c r="AK25">
        <v>166</v>
      </c>
      <c r="AL25">
        <v>167</v>
      </c>
      <c r="AM25">
        <v>122</v>
      </c>
      <c r="AN25">
        <v>15</v>
      </c>
      <c r="AO25" s="4">
        <f t="shared" si="93"/>
        <v>0.88543550556662631</v>
      </c>
      <c r="AP25" s="4">
        <f t="shared" si="94"/>
        <v>5.9614076796356441E-2</v>
      </c>
      <c r="AQ25" s="5">
        <f t="shared" si="95"/>
        <v>2141.3585012363242</v>
      </c>
      <c r="AR25" s="4">
        <f t="shared" si="96"/>
        <v>0.75262017973163231</v>
      </c>
      <c r="AS25" s="5">
        <f t="shared" si="97"/>
        <v>1820.1547260508755</v>
      </c>
      <c r="AT25" s="4">
        <f t="shared" si="98"/>
        <v>0.13281532583499395</v>
      </c>
      <c r="AU25" s="5">
        <f t="shared" si="99"/>
        <v>321.20377518544859</v>
      </c>
      <c r="AV25" t="s">
        <v>47</v>
      </c>
      <c r="AW25">
        <v>158</v>
      </c>
      <c r="AX25">
        <v>159</v>
      </c>
      <c r="AY25">
        <v>121</v>
      </c>
      <c r="AZ25">
        <v>25</v>
      </c>
      <c r="BA25" s="4">
        <f t="shared" si="100"/>
        <v>0.79581575008659888</v>
      </c>
      <c r="BB25" s="4">
        <f t="shared" si="101"/>
        <v>-8.961975548002743E-2</v>
      </c>
      <c r="BC25" s="4">
        <f t="shared" si="102"/>
        <v>0.22997799946139741</v>
      </c>
      <c r="BD25" s="5">
        <f t="shared" si="103"/>
        <v>1930.5851740535322</v>
      </c>
      <c r="BE25" s="4">
        <f t="shared" si="104"/>
        <v>0.59686181256494919</v>
      </c>
      <c r="BF25" s="5">
        <f t="shared" si="105"/>
        <v>1447.9388805401491</v>
      </c>
      <c r="BG25" s="4">
        <f t="shared" si="106"/>
        <v>0.19895393752164972</v>
      </c>
      <c r="BH25" s="5">
        <f t="shared" si="107"/>
        <v>482.64629351338306</v>
      </c>
      <c r="BI25" t="s">
        <v>47</v>
      </c>
      <c r="BJ25">
        <v>177</v>
      </c>
      <c r="BK25">
        <v>150</v>
      </c>
      <c r="BL25">
        <v>120</v>
      </c>
      <c r="BM25">
        <v>40</v>
      </c>
      <c r="BN25" s="4">
        <f t="shared" si="108"/>
        <v>0.83981840213925751</v>
      </c>
      <c r="BO25" s="5">
        <f t="shared" si="109"/>
        <v>2034.1548498516952</v>
      </c>
      <c r="BP25" s="4">
        <f t="shared" si="110"/>
        <v>0.50389104128355444</v>
      </c>
      <c r="BQ25" s="5">
        <f t="shared" si="111"/>
        <v>1220.492909911017</v>
      </c>
      <c r="BR25" s="4">
        <f t="shared" si="112"/>
        <v>0.33592736085570302</v>
      </c>
      <c r="BS25" s="5">
        <f t="shared" si="113"/>
        <v>813.66193994067817</v>
      </c>
      <c r="BT25" t="s">
        <v>47</v>
      </c>
      <c r="BU25">
        <v>163</v>
      </c>
      <c r="BV25">
        <v>143</v>
      </c>
      <c r="BW25">
        <v>120</v>
      </c>
      <c r="BX25">
        <v>40</v>
      </c>
      <c r="BY25" s="4">
        <f t="shared" si="114"/>
        <v>0.73541542427883466</v>
      </c>
      <c r="BZ25" s="5">
        <f t="shared" si="115"/>
        <v>1788.147274309883</v>
      </c>
      <c r="CA25" t="s">
        <v>47</v>
      </c>
      <c r="CB25">
        <v>160</v>
      </c>
      <c r="CC25">
        <v>142</v>
      </c>
      <c r="CD25">
        <v>117</v>
      </c>
      <c r="CE25">
        <v>20</v>
      </c>
      <c r="CF25" s="4">
        <f t="shared" si="116"/>
        <v>0.69840667742138351</v>
      </c>
      <c r="CG25" s="5">
        <f t="shared" si="117"/>
        <v>1700.7059843027487</v>
      </c>
      <c r="CH25" s="4">
        <f t="shared" si="118"/>
        <v>0.55872534193710688</v>
      </c>
      <c r="CI25" s="5">
        <f t="shared" si="119"/>
        <v>1360.5647874421991</v>
      </c>
      <c r="CJ25" s="4">
        <f t="shared" si="120"/>
        <v>0.13968133548427672</v>
      </c>
      <c r="CK25" s="5">
        <f t="shared" si="121"/>
        <v>340.14119686054977</v>
      </c>
    </row>
    <row r="26" spans="1:89">
      <c r="A26" t="s">
        <v>48</v>
      </c>
      <c r="B26">
        <v>198</v>
      </c>
      <c r="C26">
        <v>168</v>
      </c>
      <c r="D26">
        <v>140</v>
      </c>
      <c r="E26">
        <v>5</v>
      </c>
      <c r="F26" s="4">
        <f>PI()*((B26+C26)/4)^2*D26/3000000</f>
        <v>1.2274359577208001</v>
      </c>
      <c r="G26" s="5">
        <f t="shared" si="74"/>
        <v>2940.4775999733406</v>
      </c>
      <c r="H26" s="4">
        <f>F26*(1-(E26*1/100))</f>
        <v>1.1660641598347601</v>
      </c>
      <c r="I26" s="5">
        <f>G26*(1-(E26*1/100))</f>
        <v>2793.4537199746733</v>
      </c>
      <c r="J26" s="4">
        <f>F26*(E26*(1/100))</f>
        <v>6.1371797886040004E-2</v>
      </c>
      <c r="K26" s="5">
        <f>G26*(E26*(1/100))</f>
        <v>147.02387999866704</v>
      </c>
      <c r="L26" t="s">
        <v>48</v>
      </c>
      <c r="M26">
        <v>172</v>
      </c>
      <c r="N26">
        <v>172</v>
      </c>
      <c r="O26">
        <v>130</v>
      </c>
      <c r="P26">
        <v>5</v>
      </c>
      <c r="Q26" s="4">
        <f t="shared" si="79"/>
        <v>1.0068595015245048</v>
      </c>
      <c r="R26" s="4">
        <f t="shared" si="80"/>
        <v>-0.22057645619629529</v>
      </c>
      <c r="S26" s="5">
        <f t="shared" si="81"/>
        <v>2425.9551941303762</v>
      </c>
      <c r="T26" s="4">
        <f t="shared" si="82"/>
        <v>0.95651652644827945</v>
      </c>
      <c r="U26" s="5">
        <f t="shared" si="83"/>
        <v>2304.6574344238575</v>
      </c>
      <c r="V26" s="4">
        <f t="shared" si="84"/>
        <v>5.034297507622524E-2</v>
      </c>
      <c r="W26" s="5">
        <f t="shared" si="85"/>
        <v>121.29775970651882</v>
      </c>
      <c r="X26" t="s">
        <v>48</v>
      </c>
      <c r="Y26">
        <v>202</v>
      </c>
      <c r="Z26">
        <v>164</v>
      </c>
      <c r="AA26">
        <v>130</v>
      </c>
      <c r="AB26">
        <v>15</v>
      </c>
      <c r="AC26" s="4">
        <f t="shared" si="86"/>
        <v>1.139761960740743</v>
      </c>
      <c r="AD26" s="4">
        <f t="shared" si="87"/>
        <v>0.13290245921623822</v>
      </c>
      <c r="AE26" s="5">
        <f t="shared" si="88"/>
        <v>2736.3178771117555</v>
      </c>
      <c r="AF26" s="4">
        <f t="shared" si="89"/>
        <v>0.96879766662963152</v>
      </c>
      <c r="AG26" s="5">
        <f t="shared" si="90"/>
        <v>2325.8701955449919</v>
      </c>
      <c r="AH26" s="4">
        <f t="shared" si="91"/>
        <v>0.17096429411111144</v>
      </c>
      <c r="AI26" s="5">
        <f t="shared" si="92"/>
        <v>410.44768156676332</v>
      </c>
      <c r="AJ26" t="s">
        <v>48</v>
      </c>
      <c r="AK26">
        <v>194</v>
      </c>
      <c r="AL26">
        <v>186</v>
      </c>
      <c r="AM26">
        <v>133</v>
      </c>
      <c r="AN26">
        <v>10</v>
      </c>
      <c r="AO26" s="4">
        <f t="shared" si="93"/>
        <v>1.2569774006400563</v>
      </c>
      <c r="AP26" s="4">
        <f t="shared" si="94"/>
        <v>0.11721543989931327</v>
      </c>
      <c r="AQ26" s="5">
        <f t="shared" si="95"/>
        <v>3009.1717283710855</v>
      </c>
      <c r="AR26" s="4">
        <f t="shared" si="96"/>
        <v>1.1312796605760507</v>
      </c>
      <c r="AS26" s="5">
        <f t="shared" si="97"/>
        <v>2708.2545555339771</v>
      </c>
      <c r="AT26" s="4">
        <f t="shared" si="98"/>
        <v>0.12569774006400564</v>
      </c>
      <c r="AU26" s="5">
        <f t="shared" si="99"/>
        <v>300.91717283710858</v>
      </c>
      <c r="AV26" t="s">
        <v>48</v>
      </c>
      <c r="AW26">
        <v>187</v>
      </c>
      <c r="AX26">
        <v>181</v>
      </c>
      <c r="AY26">
        <v>133</v>
      </c>
      <c r="AZ26">
        <v>25</v>
      </c>
      <c r="BA26" s="4">
        <f t="shared" si="100"/>
        <v>1.1788428497526244</v>
      </c>
      <c r="BB26" s="4">
        <f t="shared" si="101"/>
        <v>-7.813455088743182E-2</v>
      </c>
      <c r="BC26" s="4">
        <f t="shared" si="102"/>
        <v>0.17198334822811967</v>
      </c>
      <c r="BD26" s="5">
        <f t="shared" si="103"/>
        <v>2827.376813394088</v>
      </c>
      <c r="BE26" s="4">
        <f t="shared" si="104"/>
        <v>0.88413213731446838</v>
      </c>
      <c r="BF26" s="5">
        <f t="shared" si="105"/>
        <v>2120.5326100455659</v>
      </c>
      <c r="BG26" s="4">
        <f t="shared" si="106"/>
        <v>0.29471071243815611</v>
      </c>
      <c r="BH26" s="5">
        <f t="shared" si="107"/>
        <v>706.844203348522</v>
      </c>
      <c r="BI26" t="s">
        <v>48</v>
      </c>
      <c r="BJ26">
        <v>203</v>
      </c>
      <c r="BK26">
        <v>189</v>
      </c>
      <c r="BL26">
        <v>131</v>
      </c>
      <c r="BM26">
        <v>20</v>
      </c>
      <c r="BN26" s="4">
        <f t="shared" si="108"/>
        <v>1.3175043719016684</v>
      </c>
      <c r="BO26" s="5">
        <f t="shared" si="109"/>
        <v>3149.7729945232959</v>
      </c>
      <c r="BP26" s="4">
        <f t="shared" si="110"/>
        <v>1.0540034975213348</v>
      </c>
      <c r="BQ26" s="5">
        <f t="shared" si="111"/>
        <v>2519.8183956186367</v>
      </c>
      <c r="BR26" s="4">
        <f t="shared" si="112"/>
        <v>0.26350087438033371</v>
      </c>
      <c r="BS26" s="5">
        <f t="shared" si="113"/>
        <v>629.95459890465918</v>
      </c>
      <c r="BT26" t="s">
        <v>48</v>
      </c>
      <c r="BU26">
        <v>184</v>
      </c>
      <c r="BV26">
        <v>150</v>
      </c>
      <c r="BW26">
        <v>132</v>
      </c>
      <c r="BX26">
        <v>20</v>
      </c>
      <c r="BY26" s="4">
        <f t="shared" si="114"/>
        <v>0.96377465267562312</v>
      </c>
      <c r="BZ26" s="5">
        <f t="shared" si="115"/>
        <v>2325.0923681825657</v>
      </c>
      <c r="CA26" t="s">
        <v>48</v>
      </c>
      <c r="CB26">
        <v>172</v>
      </c>
      <c r="CC26">
        <v>200</v>
      </c>
      <c r="CD26">
        <v>120</v>
      </c>
      <c r="CE26">
        <v>15</v>
      </c>
      <c r="CF26" s="4">
        <f t="shared" si="116"/>
        <v>1.0868653944359248</v>
      </c>
      <c r="CG26" s="5">
        <f t="shared" si="117"/>
        <v>2612.923314827317</v>
      </c>
      <c r="CH26" s="4">
        <f t="shared" si="118"/>
        <v>0.923835585270536</v>
      </c>
      <c r="CI26" s="5">
        <f t="shared" si="119"/>
        <v>2220.9848176032192</v>
      </c>
      <c r="CJ26" s="4">
        <f t="shared" si="120"/>
        <v>0.1630298091653887</v>
      </c>
      <c r="CK26" s="5">
        <f t="shared" si="121"/>
        <v>391.93849722409755</v>
      </c>
    </row>
    <row r="27" spans="1:89" ht="23">
      <c r="A27" t="s">
        <v>36</v>
      </c>
      <c r="B27" s="6">
        <f>AVERAGE(B17:B26)</f>
        <v>196.4</v>
      </c>
      <c r="C27" s="6">
        <f>AVERAGE(C17:C26)</f>
        <v>174.6</v>
      </c>
      <c r="D27" s="6">
        <f>AVERAGE(D17:D26)</f>
        <v>130.9</v>
      </c>
      <c r="E27" s="7">
        <f>AVERAGE(E17:E26)</f>
        <v>13.5</v>
      </c>
      <c r="F27" s="6">
        <f t="shared" ref="F27:K27" si="122">AVERAGE(F17:F26)</f>
        <v>1.2588693724558029</v>
      </c>
      <c r="G27" s="7">
        <f t="shared" si="122"/>
        <v>3005.5319921300556</v>
      </c>
      <c r="H27" s="6">
        <f t="shared" si="122"/>
        <v>1.0626494507740851</v>
      </c>
      <c r="I27" s="7">
        <f t="shared" si="122"/>
        <v>2538.7461066087421</v>
      </c>
      <c r="J27" s="6">
        <f t="shared" si="122"/>
        <v>0.19621992168171803</v>
      </c>
      <c r="K27" s="7">
        <f t="shared" si="122"/>
        <v>466.78588552131367</v>
      </c>
      <c r="L27" t="s">
        <v>36</v>
      </c>
      <c r="M27" s="6">
        <f>AVERAGE(M17:M26)</f>
        <v>187.4</v>
      </c>
      <c r="N27" s="6">
        <f>AVERAGE(N17:N26)</f>
        <v>175.9</v>
      </c>
      <c r="O27" s="6">
        <f>AVERAGE(O17:O26)</f>
        <v>124.8</v>
      </c>
      <c r="P27" s="7">
        <f>AVERAGE(P17:P26)</f>
        <v>25.5</v>
      </c>
      <c r="Q27" s="6">
        <f t="shared" ref="Q27:W27" si="123">AVERAGE(Q17:Q26)</f>
        <v>1.1828193206539055</v>
      </c>
      <c r="R27" s="6">
        <f t="shared" si="123"/>
        <v>-7.6050051801897278E-2</v>
      </c>
      <c r="S27" s="7">
        <f t="shared" si="123"/>
        <v>2826.3649175380629</v>
      </c>
      <c r="T27" s="6">
        <f t="shared" si="123"/>
        <v>0.81503072297563395</v>
      </c>
      <c r="U27" s="7">
        <f t="shared" si="123"/>
        <v>1951.2813445387487</v>
      </c>
      <c r="V27" s="6">
        <f t="shared" si="123"/>
        <v>0.36778859767827177</v>
      </c>
      <c r="W27" s="7">
        <f t="shared" si="123"/>
        <v>875.08357299931413</v>
      </c>
      <c r="X27" t="s">
        <v>36</v>
      </c>
      <c r="Y27" s="6">
        <f t="shared" ref="Y27:AI27" si="124">AVERAGE(Y17:Y26)</f>
        <v>181.7</v>
      </c>
      <c r="Z27" s="6">
        <f t="shared" si="124"/>
        <v>149</v>
      </c>
      <c r="AA27" s="6">
        <f t="shared" si="124"/>
        <v>131.6</v>
      </c>
      <c r="AB27" s="6">
        <f t="shared" si="124"/>
        <v>25.5</v>
      </c>
      <c r="AC27" s="6">
        <f t="shared" si="124"/>
        <v>0.9747360425081254</v>
      </c>
      <c r="AD27" s="6">
        <f t="shared" si="124"/>
        <v>-0.20808327814578026</v>
      </c>
      <c r="AE27" s="6">
        <f t="shared" si="124"/>
        <v>2346.8177102997761</v>
      </c>
      <c r="AF27" s="6">
        <f t="shared" si="124"/>
        <v>0.74308090315411068</v>
      </c>
      <c r="AG27" s="6">
        <f t="shared" si="124"/>
        <v>1787.9558081361956</v>
      </c>
      <c r="AH27" s="6">
        <f t="shared" si="124"/>
        <v>0.23165513935401494</v>
      </c>
      <c r="AI27" s="6">
        <f t="shared" si="124"/>
        <v>558.86190216358034</v>
      </c>
      <c r="AJ27" t="s">
        <v>36</v>
      </c>
      <c r="AK27" s="6">
        <f t="shared" ref="AK27:AU27" si="125">AVERAGE(AK17:AK26)</f>
        <v>191.2</v>
      </c>
      <c r="AL27" s="6">
        <f t="shared" si="125"/>
        <v>150.30000000000001</v>
      </c>
      <c r="AM27" s="6">
        <f t="shared" si="125"/>
        <v>132.1</v>
      </c>
      <c r="AN27" s="6">
        <f t="shared" si="125"/>
        <v>23.5</v>
      </c>
      <c r="AO27" s="6">
        <f t="shared" si="125"/>
        <v>1.0499889282641437</v>
      </c>
      <c r="AP27" s="6">
        <f t="shared" si="125"/>
        <v>7.5252885756018364E-2</v>
      </c>
      <c r="AQ27" s="6">
        <f t="shared" si="125"/>
        <v>2522.0416853903462</v>
      </c>
      <c r="AR27" s="6">
        <f t="shared" si="125"/>
        <v>0.8158162598927069</v>
      </c>
      <c r="AS27" s="6">
        <f t="shared" si="125"/>
        <v>1958.729022594724</v>
      </c>
      <c r="AT27" s="6">
        <f t="shared" si="125"/>
        <v>0.23417266837143699</v>
      </c>
      <c r="AU27" s="6">
        <f t="shared" si="125"/>
        <v>563.31266279562226</v>
      </c>
      <c r="AV27" t="s">
        <v>36</v>
      </c>
      <c r="AW27" s="6">
        <f t="shared" ref="AW27:BH27" si="126">AVERAGE(AW17:AW26)</f>
        <v>203.4</v>
      </c>
      <c r="AX27" s="6">
        <f t="shared" si="126"/>
        <v>196.7</v>
      </c>
      <c r="AY27" s="6">
        <f t="shared" si="126"/>
        <v>134.5</v>
      </c>
      <c r="AZ27" s="7">
        <f t="shared" si="126"/>
        <v>36</v>
      </c>
      <c r="BA27" s="6">
        <f t="shared" si="126"/>
        <v>1.4950646295935475</v>
      </c>
      <c r="BB27" s="6">
        <f t="shared" si="126"/>
        <v>0.44507570132940372</v>
      </c>
      <c r="BC27" s="6">
        <f t="shared" si="126"/>
        <v>0.31224530893964203</v>
      </c>
      <c r="BD27" s="7">
        <f t="shared" si="126"/>
        <v>3551.9581801380468</v>
      </c>
      <c r="BE27" s="6">
        <f t="shared" si="126"/>
        <v>0.92088881717636162</v>
      </c>
      <c r="BF27" s="7">
        <f t="shared" si="126"/>
        <v>2190.0569571780666</v>
      </c>
      <c r="BG27" s="6">
        <f t="shared" si="126"/>
        <v>0.57417581241718596</v>
      </c>
      <c r="BH27" s="7">
        <f t="shared" si="126"/>
        <v>1361.9012229599796</v>
      </c>
      <c r="BI27" t="s">
        <v>36</v>
      </c>
      <c r="BJ27" s="6">
        <f t="shared" ref="BJ27:BS27" si="127">AVERAGE(BJ17:BJ26)</f>
        <v>226.7</v>
      </c>
      <c r="BK27" s="6">
        <f t="shared" si="127"/>
        <v>192.7</v>
      </c>
      <c r="BL27" s="6">
        <f t="shared" si="127"/>
        <v>130.1</v>
      </c>
      <c r="BM27" s="7">
        <f t="shared" si="127"/>
        <v>32</v>
      </c>
      <c r="BN27" s="6">
        <f t="shared" si="127"/>
        <v>1.6079408362698762</v>
      </c>
      <c r="BO27" s="7">
        <f t="shared" si="127"/>
        <v>3810.6292778549746</v>
      </c>
      <c r="BP27" s="6">
        <f t="shared" si="127"/>
        <v>1.0940626889575193</v>
      </c>
      <c r="BQ27" s="7">
        <f t="shared" si="127"/>
        <v>2592.4186821157055</v>
      </c>
      <c r="BR27" s="6">
        <f t="shared" si="127"/>
        <v>0.51387814731235637</v>
      </c>
      <c r="BS27" s="7">
        <f t="shared" si="127"/>
        <v>1218.2105957392698</v>
      </c>
      <c r="BT27" t="s">
        <v>36</v>
      </c>
      <c r="BU27" s="6">
        <f t="shared" ref="BU27:BZ27" si="128">AVERAGE(BU17:BU26)</f>
        <v>172.7</v>
      </c>
      <c r="BV27" s="6">
        <f t="shared" si="128"/>
        <v>142.19999999999999</v>
      </c>
      <c r="BW27" s="6">
        <f t="shared" si="128"/>
        <v>127.3</v>
      </c>
      <c r="BX27" s="6">
        <f t="shared" si="128"/>
        <v>32</v>
      </c>
      <c r="BY27" s="6">
        <f t="shared" si="128"/>
        <v>0.86273061332054102</v>
      </c>
      <c r="BZ27" s="6">
        <f t="shared" si="128"/>
        <v>2083.7460829487773</v>
      </c>
      <c r="CA27" t="s">
        <v>36</v>
      </c>
      <c r="CB27" s="6">
        <f t="shared" ref="CB27:CK27" si="129">AVERAGE(CB17:CB26)</f>
        <v>212.7</v>
      </c>
      <c r="CC27" s="6">
        <f t="shared" si="129"/>
        <v>174.8</v>
      </c>
      <c r="CD27" s="6">
        <f t="shared" si="129"/>
        <v>123</v>
      </c>
      <c r="CE27" s="7">
        <f t="shared" si="129"/>
        <v>29.5</v>
      </c>
      <c r="CF27" s="6">
        <f t="shared" si="129"/>
        <v>1.3040046602898663</v>
      </c>
      <c r="CG27" s="7">
        <f t="shared" si="129"/>
        <v>3108.6139652117645</v>
      </c>
      <c r="CH27" s="6">
        <f t="shared" si="129"/>
        <v>0.90702344381463607</v>
      </c>
      <c r="CI27" s="7">
        <f t="shared" si="129"/>
        <v>2163.2027687244868</v>
      </c>
      <c r="CJ27" s="6">
        <f t="shared" si="129"/>
        <v>0.39698121647523033</v>
      </c>
      <c r="CK27" s="7">
        <f t="shared" si="129"/>
        <v>945.41119648727749</v>
      </c>
    </row>
    <row r="28" spans="1:89" ht="18">
      <c r="A28" t="s">
        <v>37</v>
      </c>
      <c r="B28" s="6">
        <f>STDEV(B17:B26)</f>
        <v>36.911907142396359</v>
      </c>
      <c r="C28" s="6">
        <f>STDEV(C17:C26)</f>
        <v>44.470214750999375</v>
      </c>
      <c r="D28" s="6">
        <f>STDEV(D17:D26)</f>
        <v>18.399577289830432</v>
      </c>
      <c r="E28" s="6">
        <f>STDEV(E17:E26)</f>
        <v>8.8349055204657141</v>
      </c>
      <c r="F28" s="6">
        <f t="shared" ref="F28:K28" si="130">STDEV(F17:F26)</f>
        <v>0.53772546516048236</v>
      </c>
      <c r="G28" s="6">
        <f t="shared" si="130"/>
        <v>1256.1007361947329</v>
      </c>
      <c r="H28" s="6">
        <f t="shared" si="130"/>
        <v>0.40494330211542717</v>
      </c>
      <c r="I28" s="6">
        <f t="shared" si="130"/>
        <v>945.87033722282706</v>
      </c>
      <c r="J28" s="6">
        <f t="shared" si="130"/>
        <v>0.19502843071627088</v>
      </c>
      <c r="K28" s="6">
        <f t="shared" si="130"/>
        <v>460.0732135215689</v>
      </c>
      <c r="L28" t="s">
        <v>37</v>
      </c>
      <c r="M28" s="6">
        <f>STDEV(M17:M26)</f>
        <v>47.089040951985638</v>
      </c>
      <c r="N28" s="6">
        <f>STDEV(N17:N26)</f>
        <v>44.52577281131061</v>
      </c>
      <c r="O28" s="6">
        <f>STDEV(O17:O26)</f>
        <v>29.127306775601493</v>
      </c>
      <c r="P28" s="6">
        <f>STDEV(P17:P26)</f>
        <v>22.041627284148813</v>
      </c>
      <c r="Q28" s="6">
        <f t="shared" ref="Q28:W28" si="131">STDEV(Q17:Q26)</f>
        <v>0.57346340184061895</v>
      </c>
      <c r="R28" s="6">
        <f t="shared" si="131"/>
        <v>0.13599523581391715</v>
      </c>
      <c r="S28" s="6">
        <f t="shared" si="131"/>
        <v>1344.1736546748323</v>
      </c>
      <c r="T28" s="6">
        <f t="shared" si="131"/>
        <v>0.39531744532910607</v>
      </c>
      <c r="U28" s="6">
        <f t="shared" si="131"/>
        <v>932.2675626748113</v>
      </c>
      <c r="V28" s="6">
        <f t="shared" si="131"/>
        <v>0.41876355946572646</v>
      </c>
      <c r="W28" s="6">
        <f t="shared" si="131"/>
        <v>991.64155869723868</v>
      </c>
      <c r="X28" t="s">
        <v>37</v>
      </c>
      <c r="Y28" s="6">
        <f>STDEV(Y17:Y26)</f>
        <v>17.782950636307049</v>
      </c>
      <c r="Z28" s="6">
        <f>STDEV(Z17:Z26)</f>
        <v>31.927000067863148</v>
      </c>
      <c r="AA28" s="6">
        <f>STDEV(AA17:AA26)</f>
        <v>19.500427345744658</v>
      </c>
      <c r="AB28" s="6">
        <f>STDEV(AB17:AB26)</f>
        <v>13.218253372598902</v>
      </c>
      <c r="AC28" s="6">
        <f t="shared" ref="AC28:AI28" si="132">STDEV(AC17:AC26)</f>
        <v>0.35112187631596786</v>
      </c>
      <c r="AD28" s="6">
        <f t="shared" si="132"/>
        <v>0.49207280483187443</v>
      </c>
      <c r="AE28" s="6">
        <f t="shared" si="132"/>
        <v>822.49320602174623</v>
      </c>
      <c r="AF28" s="6">
        <f t="shared" si="132"/>
        <v>0.33477431561281568</v>
      </c>
      <c r="AG28" s="6">
        <f t="shared" si="132"/>
        <v>789.56368620299952</v>
      </c>
      <c r="AH28" s="6">
        <f t="shared" si="132"/>
        <v>0.11134890198275968</v>
      </c>
      <c r="AI28" s="6">
        <f t="shared" si="132"/>
        <v>267.16048334472708</v>
      </c>
      <c r="AJ28" t="s">
        <v>37</v>
      </c>
      <c r="AK28" s="6">
        <f>STDEV(AK17:AK26)</f>
        <v>23.892351170289661</v>
      </c>
      <c r="AL28" s="6">
        <f>STDEV(AL17:AL26)</f>
        <v>38.666810344560659</v>
      </c>
      <c r="AM28" s="6">
        <f>STDEV(AM17:AM26)</f>
        <v>16.017004852482369</v>
      </c>
      <c r="AN28" s="6">
        <f>STDEV(AN17:AN26)</f>
        <v>11.067971810589327</v>
      </c>
      <c r="AO28" s="6">
        <f t="shared" ref="AO28:AU28" si="133">STDEV(AO17:AO26)</f>
        <v>0.39247542705246452</v>
      </c>
      <c r="AP28" s="6">
        <f t="shared" si="133"/>
        <v>0.10107410643202093</v>
      </c>
      <c r="AQ28" s="6">
        <f t="shared" si="133"/>
        <v>918.7605497468254</v>
      </c>
      <c r="AR28" s="6">
        <f t="shared" si="133"/>
        <v>0.36460213177369555</v>
      </c>
      <c r="AS28" s="6">
        <f t="shared" si="133"/>
        <v>857.31122496803096</v>
      </c>
      <c r="AT28" s="6">
        <f t="shared" si="133"/>
        <v>0.13143494952205362</v>
      </c>
      <c r="AU28" s="6">
        <f t="shared" si="133"/>
        <v>313.71983595332489</v>
      </c>
      <c r="AV28" t="s">
        <v>37</v>
      </c>
      <c r="AW28" s="6">
        <f t="shared" ref="AW28:BH28" si="134">STDEV(AW17:AW26)</f>
        <v>31.605906620967794</v>
      </c>
      <c r="AX28" s="6">
        <f t="shared" si="134"/>
        <v>51.43291207431718</v>
      </c>
      <c r="AY28" s="6">
        <f t="shared" si="134"/>
        <v>16.641647888488823</v>
      </c>
      <c r="AZ28" s="6">
        <f t="shared" si="134"/>
        <v>11.737877907772672</v>
      </c>
      <c r="BA28" s="6">
        <f t="shared" si="134"/>
        <v>0.65271999657239055</v>
      </c>
      <c r="BB28" s="6">
        <f t="shared" si="134"/>
        <v>0.42980879783731701</v>
      </c>
      <c r="BC28" s="6">
        <f t="shared" si="134"/>
        <v>0.32797587474070838</v>
      </c>
      <c r="BD28" s="6">
        <f t="shared" si="134"/>
        <v>1512.8150502174512</v>
      </c>
      <c r="BE28" s="6">
        <f t="shared" si="134"/>
        <v>0.37196213586859705</v>
      </c>
      <c r="BF28" s="6">
        <f t="shared" si="134"/>
        <v>863.67366497202056</v>
      </c>
      <c r="BG28" s="6">
        <f t="shared" si="134"/>
        <v>0.39142262110489273</v>
      </c>
      <c r="BH28" s="6">
        <f t="shared" si="134"/>
        <v>914.125582672105</v>
      </c>
      <c r="BI28" t="s">
        <v>37</v>
      </c>
      <c r="BJ28" s="6">
        <f t="shared" ref="BJ28:BS28" si="135">STDEV(BJ17:BJ26)</f>
        <v>45.796773297301655</v>
      </c>
      <c r="BK28" s="6">
        <f t="shared" si="135"/>
        <v>46.854502926020267</v>
      </c>
      <c r="BL28" s="6">
        <f t="shared" si="135"/>
        <v>18.722832169424684</v>
      </c>
      <c r="BM28" s="6">
        <f t="shared" si="135"/>
        <v>12.952906151816965</v>
      </c>
      <c r="BN28" s="6">
        <f t="shared" si="135"/>
        <v>0.73485798576341055</v>
      </c>
      <c r="BO28" s="6">
        <f t="shared" si="135"/>
        <v>1702.6733066184465</v>
      </c>
      <c r="BP28" s="6">
        <f t="shared" si="135"/>
        <v>0.56205310407226383</v>
      </c>
      <c r="BQ28" s="6">
        <f t="shared" si="135"/>
        <v>1306.1383464818532</v>
      </c>
      <c r="BR28" s="6">
        <f t="shared" si="135"/>
        <v>0.30929685608812946</v>
      </c>
      <c r="BS28" s="6">
        <f t="shared" si="135"/>
        <v>722.96960278357631</v>
      </c>
      <c r="BT28" t="s">
        <v>37</v>
      </c>
      <c r="BU28" s="6">
        <f t="shared" ref="BU28:BZ28" si="136">STDEV(BU17:BU26)</f>
        <v>22.75497503599787</v>
      </c>
      <c r="BV28" s="6">
        <f t="shared" si="136"/>
        <v>32.896470597585058</v>
      </c>
      <c r="BW28" s="6">
        <f t="shared" si="136"/>
        <v>20.149717395316287</v>
      </c>
      <c r="BX28" s="6">
        <f t="shared" si="136"/>
        <v>12.952906151816965</v>
      </c>
      <c r="BY28" s="6">
        <f t="shared" si="136"/>
        <v>0.35003531580245723</v>
      </c>
      <c r="BZ28" s="6">
        <f t="shared" si="136"/>
        <v>821.33894175828357</v>
      </c>
      <c r="CA28" t="s">
        <v>37</v>
      </c>
      <c r="CB28" s="6">
        <f>STDEV(CB17:CB26)</f>
        <v>43.207638213630673</v>
      </c>
      <c r="CC28" s="6">
        <f>STDEV(CC17:CC26)</f>
        <v>39.188433667771548</v>
      </c>
      <c r="CD28" s="6">
        <f>STDEV(CD17:CD26)</f>
        <v>25.390286856722721</v>
      </c>
      <c r="CE28" s="6">
        <f t="shared" ref="CE28:CK28" si="137">STDEV(CE17:CE26)</f>
        <v>14.990737881179239</v>
      </c>
      <c r="CF28" s="6">
        <f t="shared" si="137"/>
        <v>0.62440725332604541</v>
      </c>
      <c r="CG28" s="6">
        <f t="shared" si="137"/>
        <v>1452.9190414439634</v>
      </c>
      <c r="CH28" s="6">
        <f t="shared" si="137"/>
        <v>0.45827130348650374</v>
      </c>
      <c r="CI28" s="6">
        <f t="shared" si="137"/>
        <v>1072.1855711388428</v>
      </c>
      <c r="CJ28" s="6">
        <f t="shared" si="137"/>
        <v>0.33750232110838813</v>
      </c>
      <c r="CK28" s="6">
        <f t="shared" si="137"/>
        <v>792.17188494666152</v>
      </c>
    </row>
    <row r="29" spans="1:89" ht="18">
      <c r="A29" t="s">
        <v>49</v>
      </c>
      <c r="B29" s="6">
        <f>CONFIDENCE(0.05,B28,10)</f>
        <v>22.877816679744523</v>
      </c>
      <c r="C29" s="6">
        <f>CONFIDENCE(0.05,C28,10)</f>
        <v>27.562418188186442</v>
      </c>
      <c r="D29" s="6">
        <f>CONFIDENCE(0.05,D28,10)</f>
        <v>11.403966600740727</v>
      </c>
      <c r="E29" s="6">
        <f>CONFIDENCE(0.05,E28,10)</f>
        <v>5.475830552464795</v>
      </c>
      <c r="F29" s="6">
        <f t="shared" ref="F29:K29" si="138">CONFIDENCE(0.05,F28,10)</f>
        <v>0.33327957205012648</v>
      </c>
      <c r="G29" s="6">
        <f t="shared" si="138"/>
        <v>778.52499636759785</v>
      </c>
      <c r="H29" s="6">
        <f t="shared" si="138"/>
        <v>0.2509818470161469</v>
      </c>
      <c r="I29" s="6">
        <f t="shared" si="138"/>
        <v>586.24573621494847</v>
      </c>
      <c r="J29" s="6">
        <f t="shared" si="138"/>
        <v>0.12087765251609903</v>
      </c>
      <c r="K29" s="6">
        <f t="shared" si="138"/>
        <v>285.15109223706418</v>
      </c>
      <c r="L29" t="s">
        <v>49</v>
      </c>
      <c r="M29" s="6">
        <f>CONFIDENCE(0.05,M28,10)</f>
        <v>29.185553658026752</v>
      </c>
      <c r="N29" s="6">
        <f>CONFIDENCE(0.05,N28,10)</f>
        <v>27.59685279797182</v>
      </c>
      <c r="O29" s="6">
        <f>CONFIDENCE(0.05,O28,10)</f>
        <v>18.052960043928795</v>
      </c>
      <c r="P29" s="6">
        <f>CONFIDENCE(0.05,P28,10)</f>
        <v>13.661291094624117</v>
      </c>
      <c r="Q29" s="6">
        <f t="shared" ref="Q29:W29" si="139">CONFIDENCE(0.05,Q28,10)</f>
        <v>0.35542976766929008</v>
      </c>
      <c r="R29" s="6">
        <f t="shared" si="139"/>
        <v>8.4289171574553221E-2</v>
      </c>
      <c r="S29" s="6">
        <f t="shared" si="139"/>
        <v>833.11215372212803</v>
      </c>
      <c r="T29" s="6">
        <f t="shared" si="139"/>
        <v>0.24501578879830999</v>
      </c>
      <c r="U29" s="6">
        <f t="shared" si="139"/>
        <v>577.81480412452936</v>
      </c>
      <c r="V29" s="6">
        <f t="shared" si="139"/>
        <v>0.25954757386703303</v>
      </c>
      <c r="W29" s="6">
        <f t="shared" si="139"/>
        <v>614.61451190730065</v>
      </c>
      <c r="X29" t="s">
        <v>49</v>
      </c>
      <c r="Y29" s="6">
        <f t="shared" ref="Y29:AI29" si="140">CONFIDENCE(0.05,Y28,10)</f>
        <v>11.021784464100348</v>
      </c>
      <c r="Z29" s="6">
        <f t="shared" si="140"/>
        <v>19.788196038448973</v>
      </c>
      <c r="AA29" s="6">
        <f t="shared" si="140"/>
        <v>12.086267996708562</v>
      </c>
      <c r="AB29" s="6">
        <f t="shared" si="140"/>
        <v>8.1926077760798126</v>
      </c>
      <c r="AC29" s="6">
        <f t="shared" si="140"/>
        <v>0.21762359467409351</v>
      </c>
      <c r="AD29" s="6">
        <f t="shared" si="140"/>
        <v>0.3049842799669677</v>
      </c>
      <c r="AE29" s="6">
        <f t="shared" si="140"/>
        <v>509.77720319653048</v>
      </c>
      <c r="AF29" s="6">
        <f t="shared" si="140"/>
        <v>0.20749145775998251</v>
      </c>
      <c r="AG29" s="6">
        <f t="shared" si="140"/>
        <v>489.36765039669666</v>
      </c>
      <c r="AH29" s="6">
        <f t="shared" si="140"/>
        <v>6.9013496301481972E-2</v>
      </c>
      <c r="AI29" s="6">
        <f t="shared" si="140"/>
        <v>165.58474040514736</v>
      </c>
      <c r="AJ29" t="s">
        <v>49</v>
      </c>
      <c r="AK29" s="6">
        <f t="shared" ref="AK29:AU29" si="141">CONFIDENCE(0.05,AK28,10)</f>
        <v>14.808360565421605</v>
      </c>
      <c r="AL29" s="6">
        <f t="shared" si="141"/>
        <v>23.965496966621323</v>
      </c>
      <c r="AM29" s="6">
        <f t="shared" si="141"/>
        <v>9.927260039966626</v>
      </c>
      <c r="AN29" s="6">
        <f t="shared" si="141"/>
        <v>6.859873945890187</v>
      </c>
      <c r="AO29" s="6">
        <f t="shared" si="141"/>
        <v>0.24325431998872879</v>
      </c>
      <c r="AP29" s="6">
        <f t="shared" si="141"/>
        <v>6.2645229061189092E-2</v>
      </c>
      <c r="AQ29" s="6">
        <f t="shared" si="141"/>
        <v>569.44322461049023</v>
      </c>
      <c r="AR29" s="6">
        <f t="shared" si="141"/>
        <v>0.22597859004098958</v>
      </c>
      <c r="AS29" s="6">
        <f t="shared" si="141"/>
        <v>531.35723837412377</v>
      </c>
      <c r="AT29" s="6">
        <f t="shared" si="141"/>
        <v>8.1462728784969615E-2</v>
      </c>
      <c r="AU29" s="6">
        <f t="shared" si="141"/>
        <v>194.44199585927271</v>
      </c>
      <c r="AV29" t="s">
        <v>49</v>
      </c>
      <c r="AW29" s="6">
        <f t="shared" ref="AW29:BH29" si="142">CONFIDENCE(0.05,AW28,10)</f>
        <v>19.589183915157687</v>
      </c>
      <c r="AX29" s="6">
        <f t="shared" si="142"/>
        <v>31.877863400619081</v>
      </c>
      <c r="AY29" s="6">
        <f t="shared" si="142"/>
        <v>10.314410690647067</v>
      </c>
      <c r="AZ29" s="6">
        <f t="shared" si="142"/>
        <v>7.2750784170349609</v>
      </c>
      <c r="BA29" s="6">
        <f t="shared" si="142"/>
        <v>0.40455261136141801</v>
      </c>
      <c r="BB29" s="6">
        <f t="shared" si="142"/>
        <v>0.2663933577403646</v>
      </c>
      <c r="BC29" s="6">
        <f t="shared" si="142"/>
        <v>0.20327781788003413</v>
      </c>
      <c r="BD29" s="6">
        <f t="shared" si="142"/>
        <v>937.63525292035195</v>
      </c>
      <c r="BE29" s="6">
        <f t="shared" si="142"/>
        <v>0.23054028401675075</v>
      </c>
      <c r="BF29" s="6">
        <f t="shared" si="142"/>
        <v>535.30064708193242</v>
      </c>
      <c r="BG29" s="6">
        <f t="shared" si="142"/>
        <v>0.24260179609244309</v>
      </c>
      <c r="BH29" s="6">
        <f t="shared" si="142"/>
        <v>566.57049504268332</v>
      </c>
      <c r="BI29" t="s">
        <v>49</v>
      </c>
      <c r="BJ29" s="6">
        <f t="shared" ref="BJ29:BS29" si="143">CONFIDENCE(0.05,BJ28,10)</f>
        <v>28.384612585245755</v>
      </c>
      <c r="BK29" s="6">
        <f t="shared" si="143"/>
        <v>29.040188154646899</v>
      </c>
      <c r="BL29" s="6">
        <f t="shared" si="143"/>
        <v>11.604318369281454</v>
      </c>
      <c r="BM29" s="6">
        <f t="shared" si="143"/>
        <v>8.0281468868033485</v>
      </c>
      <c r="BN29" s="6">
        <f t="shared" si="143"/>
        <v>0.45546132902549796</v>
      </c>
      <c r="BO29" s="6">
        <f t="shared" si="143"/>
        <v>1055.3084570796943</v>
      </c>
      <c r="BP29" s="6">
        <f t="shared" si="143"/>
        <v>0.3483577217953478</v>
      </c>
      <c r="BQ29" s="6">
        <f t="shared" si="143"/>
        <v>809.53805865194659</v>
      </c>
      <c r="BR29" s="6">
        <f t="shared" si="143"/>
        <v>0.19170065491084146</v>
      </c>
      <c r="BS29" s="6">
        <f t="shared" si="143"/>
        <v>448.09296831246257</v>
      </c>
      <c r="BT29" t="s">
        <v>49</v>
      </c>
      <c r="BU29" s="6">
        <f t="shared" ref="BU29:BZ29" si="144">CONFIDENCE(0.05,BU28,10)</f>
        <v>14.103420487525788</v>
      </c>
      <c r="BV29" s="6">
        <f t="shared" si="144"/>
        <v>20.389069056736286</v>
      </c>
      <c r="BW29" s="6">
        <f t="shared" si="144"/>
        <v>12.488694743957842</v>
      </c>
      <c r="BX29" s="6">
        <f t="shared" si="144"/>
        <v>8.0281468868033485</v>
      </c>
      <c r="BY29" s="6">
        <f t="shared" si="144"/>
        <v>0.21695014986552133</v>
      </c>
      <c r="BZ29" s="6">
        <f t="shared" si="144"/>
        <v>509.0617959400696</v>
      </c>
      <c r="CA29" t="s">
        <v>49</v>
      </c>
      <c r="CB29" s="6">
        <f t="shared" ref="CB29:CK29" si="145">CONFIDENCE(0.05,CB28,10)</f>
        <v>26.779879522421023</v>
      </c>
      <c r="CC29" s="6">
        <f t="shared" si="145"/>
        <v>24.288796511081628</v>
      </c>
      <c r="CD29" s="6">
        <f t="shared" si="145"/>
        <v>15.736773662584541</v>
      </c>
      <c r="CE29" s="6">
        <f t="shared" si="145"/>
        <v>9.2911848693346979</v>
      </c>
      <c r="CF29" s="6">
        <f t="shared" si="145"/>
        <v>0.38700451374641875</v>
      </c>
      <c r="CG29" s="6">
        <f t="shared" si="145"/>
        <v>900.51200422767363</v>
      </c>
      <c r="CH29" s="6">
        <f t="shared" si="145"/>
        <v>0.28403427734867109</v>
      </c>
      <c r="CI29" s="6">
        <f t="shared" si="145"/>
        <v>664.53529070048364</v>
      </c>
      <c r="CJ29" s="6">
        <f t="shared" si="145"/>
        <v>0.20918226201423787</v>
      </c>
      <c r="CK29" s="6">
        <f t="shared" si="145"/>
        <v>490.98419902128137</v>
      </c>
    </row>
    <row r="31" spans="1:89">
      <c r="A31" t="s">
        <v>50</v>
      </c>
      <c r="B31">
        <v>158</v>
      </c>
      <c r="C31">
        <v>156</v>
      </c>
      <c r="D31">
        <v>126</v>
      </c>
      <c r="E31">
        <v>10</v>
      </c>
      <c r="F31" s="4">
        <f t="shared" ref="F31:F40" si="146">PI()*((B31+C31)/4)^2*D31/3000000</f>
        <v>0.81308973184251554</v>
      </c>
      <c r="G31" s="5">
        <f t="shared" ref="G31:G40" si="147">10^(3.382+0.971*LOG(F31))</f>
        <v>1971.2625022930483</v>
      </c>
      <c r="H31" s="4">
        <f t="shared" ref="H31:H40" si="148">F31*(1-(E31*1/100))</f>
        <v>0.73178075865826397</v>
      </c>
      <c r="I31" s="5">
        <f t="shared" ref="I31:I40" si="149">G31*(1-(E31*1/100))</f>
        <v>1774.1362520637435</v>
      </c>
      <c r="J31" s="4">
        <f t="shared" ref="J31:J40" si="150">F31*(E31*(1/100))</f>
        <v>8.1308973184251565E-2</v>
      </c>
      <c r="K31" s="5">
        <f t="shared" ref="K31:K40" si="151">G31*(E31*(1/100))</f>
        <v>197.12625022930484</v>
      </c>
      <c r="L31" t="s">
        <v>50</v>
      </c>
      <c r="M31">
        <v>153</v>
      </c>
      <c r="N31">
        <v>164</v>
      </c>
      <c r="O31">
        <v>129</v>
      </c>
      <c r="P31">
        <v>15</v>
      </c>
      <c r="Q31" s="4">
        <f t="shared" ref="Q31:Q40" si="152">PI()*((M31+N31)/4)^2*O31/3000000</f>
        <v>0.84843166744769649</v>
      </c>
      <c r="R31" s="4">
        <f t="shared" ref="R31:R40" si="153">Q31-F31</f>
        <v>3.5341935605180952E-2</v>
      </c>
      <c r="S31" s="5">
        <f t="shared" ref="S31:S40" si="154">10^(3.382+0.971*LOG(Q31))</f>
        <v>2054.4093399399085</v>
      </c>
      <c r="T31" s="4">
        <f t="shared" ref="T31:T40" si="155">Q31*(1-(P31*1/100))</f>
        <v>0.72116691733054195</v>
      </c>
      <c r="U31" s="5">
        <f t="shared" ref="U31:U40" si="156">S31*(1-(P31*1/100))</f>
        <v>1746.2479389489222</v>
      </c>
      <c r="V31" s="4">
        <f t="shared" ref="V31:V40" si="157">Q31*(P31*(1/100))</f>
        <v>0.12726475011715446</v>
      </c>
      <c r="W31" s="5">
        <f t="shared" ref="W31:W40" si="158">S31*(P31*(1/100))</f>
        <v>308.16140099098624</v>
      </c>
      <c r="X31" t="s">
        <v>50</v>
      </c>
      <c r="Y31">
        <v>181</v>
      </c>
      <c r="Z31">
        <v>165</v>
      </c>
      <c r="AA31">
        <v>138</v>
      </c>
      <c r="AB31">
        <v>20</v>
      </c>
      <c r="AC31" s="4">
        <f t="shared" ref="AC31:AC40" si="159">PI()*((Y31+Z31)/4)^2*AA31/3000000</f>
        <v>1.0812843550868225</v>
      </c>
      <c r="AD31" s="4">
        <f t="shared" ref="AD31:AD40" si="160">AC31-Q31</f>
        <v>0.23285268763912603</v>
      </c>
      <c r="AE31" s="5">
        <f t="shared" ref="AE31:AE40" si="161">10^(3.382+0.971*LOG(AC31))</f>
        <v>2599.8941190563974</v>
      </c>
      <c r="AF31" s="4">
        <f t="shared" ref="AF31:AF40" si="162">AC31*(1-(AB31*1/100))</f>
        <v>0.86502748406945806</v>
      </c>
      <c r="AG31" s="5">
        <f t="shared" ref="AG31:AG40" si="163">AE31*(1-(AB31*1/100))</f>
        <v>2079.9152952451182</v>
      </c>
      <c r="AH31" s="4">
        <f t="shared" ref="AH31:AH40" si="164">AC31*(AB31*(1/100))</f>
        <v>0.21625687101736452</v>
      </c>
      <c r="AI31" s="5">
        <f t="shared" ref="AI31:AI40" si="165">AE31*(AB31*(1/100))</f>
        <v>519.97882381127954</v>
      </c>
      <c r="AJ31" t="s">
        <v>50</v>
      </c>
      <c r="AK31">
        <v>177</v>
      </c>
      <c r="AL31">
        <v>173</v>
      </c>
      <c r="AM31">
        <v>135</v>
      </c>
      <c r="AN31">
        <v>15</v>
      </c>
      <c r="AO31" s="4">
        <f t="shared" ref="AO31:AO40" si="166">PI()*((AK31+AL31)/4)^2*AM31/3000000</f>
        <v>1.0823768439321084</v>
      </c>
      <c r="AP31" s="4">
        <f t="shared" ref="AP31:AP40" si="167">AO31-AC31</f>
        <v>1.0924888452858994E-3</v>
      </c>
      <c r="AQ31" s="5">
        <f t="shared" ref="AQ31:AQ40" si="168">10^(3.382+0.971*LOG(AO31))</f>
        <v>2602.4447382486983</v>
      </c>
      <c r="AR31" s="4">
        <f t="shared" ref="AR31:AR40" si="169">AO31*(1-(AN31*1/100))</f>
        <v>0.92002031734229217</v>
      </c>
      <c r="AS31" s="5">
        <f t="shared" ref="AS31:AS40" si="170">AQ31*(1-(AN31*1/100))</f>
        <v>2212.0780275113934</v>
      </c>
      <c r="AT31" s="4">
        <f t="shared" ref="AT31:AT40" si="171">AO31*(AN31*(1/100))</f>
        <v>0.16235652658981625</v>
      </c>
      <c r="AU31" s="5">
        <f t="shared" ref="AU31:AU40" si="172">AQ31*(AN31*(1/100))</f>
        <v>390.36671073730474</v>
      </c>
      <c r="AV31" t="s">
        <v>50</v>
      </c>
      <c r="AW31">
        <v>188</v>
      </c>
      <c r="AX31">
        <v>168</v>
      </c>
      <c r="AY31">
        <v>133</v>
      </c>
      <c r="AZ31">
        <v>35</v>
      </c>
      <c r="BA31" s="4">
        <f t="shared" ref="BA31:BA40" si="173">PI()*((AW31+AX31)/4)^2*AY31/3000000</f>
        <v>1.1032152898027572</v>
      </c>
      <c r="BB31" s="4">
        <f t="shared" ref="BB31:BB40" si="174">BA31-AO31</f>
        <v>2.0838445870648759E-2</v>
      </c>
      <c r="BC31" s="4">
        <f t="shared" ref="BC31:BC40" si="175">BA31-Q31</f>
        <v>0.25478362235506069</v>
      </c>
      <c r="BD31" s="5">
        <f t="shared" ref="BD31:BD40" si="176">10^(3.382+0.971*LOG(BA31))</f>
        <v>2651.0817761802841</v>
      </c>
      <c r="BE31" s="4">
        <f t="shared" ref="BE31:BE40" si="177">BA31*(1-(AZ31*1/100))</f>
        <v>0.71708993837179225</v>
      </c>
      <c r="BF31" s="5">
        <f t="shared" ref="BF31:BF40" si="178">BD31*(1-(AZ31*1/100))</f>
        <v>1723.2031545171847</v>
      </c>
      <c r="BG31" s="4">
        <f t="shared" ref="BG31:BG40" si="179">BA31*(AZ31*(1/100))</f>
        <v>0.38612535143096505</v>
      </c>
      <c r="BH31" s="5">
        <f t="shared" ref="BH31:BH40" si="180">BD31*(AZ31*(1/100))</f>
        <v>927.87862166309958</v>
      </c>
      <c r="BI31" t="s">
        <v>50</v>
      </c>
      <c r="BJ31">
        <v>207</v>
      </c>
      <c r="BK31">
        <v>170</v>
      </c>
      <c r="BL31">
        <v>128</v>
      </c>
      <c r="BM31">
        <v>20</v>
      </c>
      <c r="BN31" s="4">
        <f t="shared" ref="BN31:BN40" si="181">PI()*((BJ31+BK31)/4)^2*BL31/3000000</f>
        <v>1.1906971260321699</v>
      </c>
      <c r="BO31" s="5">
        <f t="shared" ref="BO31:BO40" si="182">10^(3.382+0.971*LOG(BN31))</f>
        <v>2854.9799822109339</v>
      </c>
      <c r="BP31" s="4">
        <f t="shared" ref="BP31:BP40" si="183">BN31*(1-(BM31*1/100))</f>
        <v>0.95255770082573599</v>
      </c>
      <c r="BQ31" s="5">
        <f t="shared" ref="BQ31:BQ40" si="184">BO31*(1-(BM31*1/100))</f>
        <v>2283.9839857687471</v>
      </c>
      <c r="BR31" s="4">
        <f t="shared" ref="BR31:BR40" si="185">BN31*(BM31*(1/100))</f>
        <v>0.238139425206434</v>
      </c>
      <c r="BS31" s="5">
        <f t="shared" ref="BS31:BS40" si="186">BO31*(BM31*(1/100))</f>
        <v>570.99599644218677</v>
      </c>
      <c r="BT31" t="s">
        <v>50</v>
      </c>
      <c r="BU31">
        <v>166</v>
      </c>
      <c r="BV31">
        <v>136</v>
      </c>
      <c r="BW31">
        <v>127</v>
      </c>
      <c r="BX31">
        <v>20</v>
      </c>
      <c r="BY31" s="4">
        <f t="shared" ref="BY31:BY40" si="187">PI()*((BU31+BV31)/4)^2*BW31/3000000</f>
        <v>0.75809955583346755</v>
      </c>
      <c r="BZ31" s="5">
        <f t="shared" ref="BZ31:BZ40" si="188">10^(3.382+0.971*LOG(BY31))</f>
        <v>1841.6800395471441</v>
      </c>
      <c r="CA31" t="s">
        <v>50</v>
      </c>
      <c r="CB31">
        <v>203</v>
      </c>
      <c r="CC31">
        <v>185</v>
      </c>
      <c r="CD31">
        <v>131</v>
      </c>
      <c r="CE31">
        <v>15</v>
      </c>
      <c r="CF31" s="4">
        <f t="shared" ref="CF31:CF40" si="189">PI()*((CB31+CC31)/4)^2*CD31/3000000</f>
        <v>1.2907537104563513</v>
      </c>
      <c r="CG31" s="5">
        <f t="shared" ref="CG31:CG40" si="190">10^(3.382+0.971*LOG(CF31))</f>
        <v>3087.6561071165438</v>
      </c>
      <c r="CH31" s="4">
        <f t="shared" ref="CH31:CH40" si="191">CF31*(1-(CE31*1/100))</f>
        <v>1.0971406538878987</v>
      </c>
      <c r="CI31" s="5">
        <f t="shared" ref="CI31:CI40" si="192">CG31*(1-(CE31*1/100))</f>
        <v>2624.507691049062</v>
      </c>
      <c r="CJ31" s="4">
        <f t="shared" ref="CJ31:CJ40" si="193">CF31*(CE31*(1/100))</f>
        <v>0.19361305656845271</v>
      </c>
      <c r="CK31" s="5">
        <f t="shared" ref="CK31:CK40" si="194">CG31*(CE31*(1/100))</f>
        <v>463.14841606748155</v>
      </c>
    </row>
    <row r="32" spans="1:89">
      <c r="A32" t="s">
        <v>51</v>
      </c>
      <c r="B32">
        <v>174</v>
      </c>
      <c r="C32">
        <v>142</v>
      </c>
      <c r="D32">
        <v>115</v>
      </c>
      <c r="E32">
        <v>10</v>
      </c>
      <c r="F32" s="4">
        <f t="shared" si="146"/>
        <v>0.75158939045706619</v>
      </c>
      <c r="G32" s="5">
        <f t="shared" si="147"/>
        <v>1826.3213760886272</v>
      </c>
      <c r="H32" s="4">
        <f t="shared" si="148"/>
        <v>0.6764304514113596</v>
      </c>
      <c r="I32" s="5">
        <f t="shared" si="149"/>
        <v>1643.6892384797645</v>
      </c>
      <c r="J32" s="4">
        <f t="shared" si="150"/>
        <v>7.5158939045706627E-2</v>
      </c>
      <c r="K32" s="5">
        <f t="shared" si="151"/>
        <v>182.63213760886273</v>
      </c>
      <c r="L32" t="s">
        <v>51</v>
      </c>
      <c r="M32">
        <v>167</v>
      </c>
      <c r="N32">
        <v>142</v>
      </c>
      <c r="O32">
        <v>112</v>
      </c>
      <c r="P32">
        <v>10</v>
      </c>
      <c r="Q32" s="4">
        <f t="shared" si="152"/>
        <v>0.69991228570061648</v>
      </c>
      <c r="R32" s="4">
        <f t="shared" si="153"/>
        <v>-5.167710475644971E-2</v>
      </c>
      <c r="S32" s="5">
        <f t="shared" si="154"/>
        <v>1704.265890178672</v>
      </c>
      <c r="T32" s="4">
        <f t="shared" si="155"/>
        <v>0.6299210571305548</v>
      </c>
      <c r="U32" s="5">
        <f t="shared" si="156"/>
        <v>1533.8393011608048</v>
      </c>
      <c r="V32" s="4">
        <f t="shared" si="157"/>
        <v>6.9991228570061653E-2</v>
      </c>
      <c r="W32" s="5">
        <f t="shared" si="158"/>
        <v>170.4265890178672</v>
      </c>
      <c r="X32" t="s">
        <v>51</v>
      </c>
      <c r="Y32">
        <v>160</v>
      </c>
      <c r="Z32">
        <v>131</v>
      </c>
      <c r="AA32">
        <v>117</v>
      </c>
      <c r="AB32">
        <v>20</v>
      </c>
      <c r="AC32" s="4">
        <f t="shared" si="159"/>
        <v>0.64845594327792833</v>
      </c>
      <c r="AD32" s="4">
        <f t="shared" si="160"/>
        <v>-5.1456342422688151E-2</v>
      </c>
      <c r="AE32" s="5">
        <f t="shared" si="161"/>
        <v>1582.4716605400529</v>
      </c>
      <c r="AF32" s="4">
        <f t="shared" si="162"/>
        <v>0.51876475462234273</v>
      </c>
      <c r="AG32" s="5">
        <f t="shared" si="163"/>
        <v>1265.9773284320424</v>
      </c>
      <c r="AH32" s="4">
        <f t="shared" si="164"/>
        <v>0.12969118865558568</v>
      </c>
      <c r="AI32" s="5">
        <f t="shared" si="165"/>
        <v>316.49433210801061</v>
      </c>
      <c r="AJ32" t="s">
        <v>51</v>
      </c>
      <c r="AK32">
        <v>154</v>
      </c>
      <c r="AL32">
        <v>150</v>
      </c>
      <c r="AM32">
        <v>124</v>
      </c>
      <c r="AN32">
        <v>15</v>
      </c>
      <c r="AO32" s="4">
        <f t="shared" si="166"/>
        <v>0.75002801890823201</v>
      </c>
      <c r="AP32" s="4">
        <f t="shared" si="167"/>
        <v>0.10157207563030368</v>
      </c>
      <c r="AQ32" s="5">
        <f t="shared" si="168"/>
        <v>1822.6372444134295</v>
      </c>
      <c r="AR32" s="4">
        <f t="shared" si="169"/>
        <v>0.63752381607199715</v>
      </c>
      <c r="AS32" s="5">
        <f t="shared" si="170"/>
        <v>1549.241657751415</v>
      </c>
      <c r="AT32" s="4">
        <f t="shared" si="171"/>
        <v>0.1125042028362348</v>
      </c>
      <c r="AU32" s="5">
        <f t="shared" si="172"/>
        <v>273.39558666201441</v>
      </c>
      <c r="AV32" t="s">
        <v>51</v>
      </c>
      <c r="AW32">
        <v>190</v>
      </c>
      <c r="AX32">
        <v>143</v>
      </c>
      <c r="AY32">
        <v>116</v>
      </c>
      <c r="AZ32">
        <v>30</v>
      </c>
      <c r="BA32" s="4">
        <f t="shared" si="173"/>
        <v>0.84188949709613647</v>
      </c>
      <c r="BB32" s="4">
        <f t="shared" si="174"/>
        <v>9.1861478187904466E-2</v>
      </c>
      <c r="BC32" s="4">
        <f t="shared" si="175"/>
        <v>0.14197721139552</v>
      </c>
      <c r="BD32" s="5">
        <f t="shared" si="176"/>
        <v>2039.0256728489132</v>
      </c>
      <c r="BE32" s="4">
        <f t="shared" si="177"/>
        <v>0.5893226479672955</v>
      </c>
      <c r="BF32" s="5">
        <f t="shared" si="178"/>
        <v>1427.3179709942392</v>
      </c>
      <c r="BG32" s="4">
        <f t="shared" si="179"/>
        <v>0.25256684912884092</v>
      </c>
      <c r="BH32" s="5">
        <f t="shared" si="180"/>
        <v>611.70770185467393</v>
      </c>
      <c r="BI32" t="s">
        <v>51</v>
      </c>
      <c r="BJ32">
        <v>184</v>
      </c>
      <c r="BK32">
        <v>156</v>
      </c>
      <c r="BL32">
        <v>110</v>
      </c>
      <c r="BM32">
        <v>15</v>
      </c>
      <c r="BN32" s="4">
        <f t="shared" si="181"/>
        <v>0.832260253813496</v>
      </c>
      <c r="BO32" s="5">
        <f t="shared" si="182"/>
        <v>2016.3765547795051</v>
      </c>
      <c r="BP32" s="4">
        <f t="shared" si="183"/>
        <v>0.70742121574147154</v>
      </c>
      <c r="BQ32" s="5">
        <f t="shared" si="184"/>
        <v>1713.9200715625793</v>
      </c>
      <c r="BR32" s="4">
        <f t="shared" si="185"/>
        <v>0.1248390380720244</v>
      </c>
      <c r="BS32" s="5">
        <f t="shared" si="186"/>
        <v>302.45648321692573</v>
      </c>
      <c r="BT32" t="s">
        <v>51</v>
      </c>
      <c r="BU32">
        <v>161</v>
      </c>
      <c r="BV32">
        <v>138</v>
      </c>
      <c r="BW32">
        <v>110</v>
      </c>
      <c r="BX32">
        <v>15</v>
      </c>
      <c r="BY32" s="4">
        <f t="shared" si="187"/>
        <v>0.64364099438737332</v>
      </c>
      <c r="BZ32" s="5">
        <f t="shared" si="188"/>
        <v>1571.0609351570049</v>
      </c>
      <c r="CA32" t="s">
        <v>51</v>
      </c>
      <c r="CB32">
        <v>180</v>
      </c>
      <c r="CC32">
        <v>158</v>
      </c>
      <c r="CD32">
        <v>114</v>
      </c>
      <c r="CE32">
        <v>15</v>
      </c>
      <c r="CF32" s="4">
        <f t="shared" si="189"/>
        <v>0.85240676390219183</v>
      </c>
      <c r="CG32" s="5">
        <f t="shared" si="190"/>
        <v>2063.754947795991</v>
      </c>
      <c r="CH32" s="4">
        <f t="shared" si="191"/>
        <v>0.724545749316863</v>
      </c>
      <c r="CI32" s="5">
        <f t="shared" si="192"/>
        <v>1754.1917056265922</v>
      </c>
      <c r="CJ32" s="4">
        <f t="shared" si="193"/>
        <v>0.12786101458532878</v>
      </c>
      <c r="CK32" s="5">
        <f t="shared" si="194"/>
        <v>309.56324216939862</v>
      </c>
    </row>
    <row r="33" spans="1:89">
      <c r="A33" t="s">
        <v>52</v>
      </c>
      <c r="B33">
        <v>141</v>
      </c>
      <c r="C33">
        <v>103</v>
      </c>
      <c r="D33">
        <v>78</v>
      </c>
      <c r="E33">
        <v>30</v>
      </c>
      <c r="F33" s="4">
        <f t="shared" si="146"/>
        <v>0.30393652286419814</v>
      </c>
      <c r="G33" s="5">
        <f t="shared" si="147"/>
        <v>758.19721850557562</v>
      </c>
      <c r="H33" s="4">
        <f t="shared" si="148"/>
        <v>0.2127555660049387</v>
      </c>
      <c r="I33" s="5">
        <f t="shared" si="149"/>
        <v>530.73805295390287</v>
      </c>
      <c r="J33" s="4">
        <f t="shared" si="150"/>
        <v>9.1180956859259435E-2</v>
      </c>
      <c r="K33" s="5">
        <f t="shared" si="151"/>
        <v>227.45916555167267</v>
      </c>
      <c r="L33" t="s">
        <v>52</v>
      </c>
      <c r="M33">
        <v>122</v>
      </c>
      <c r="N33">
        <v>101</v>
      </c>
      <c r="O33">
        <v>71</v>
      </c>
      <c r="P33">
        <v>40</v>
      </c>
      <c r="Q33" s="4">
        <f t="shared" si="152"/>
        <v>0.23108763616658429</v>
      </c>
      <c r="R33" s="4">
        <f t="shared" si="153"/>
        <v>-7.2848886697613857E-2</v>
      </c>
      <c r="S33" s="5">
        <f t="shared" si="154"/>
        <v>581.06830301727553</v>
      </c>
      <c r="T33" s="4">
        <f t="shared" si="155"/>
        <v>0.13865258169995057</v>
      </c>
      <c r="U33" s="5">
        <f t="shared" si="156"/>
        <v>348.6409818103653</v>
      </c>
      <c r="V33" s="4">
        <f t="shared" si="157"/>
        <v>9.243505446663372E-2</v>
      </c>
      <c r="W33" s="5">
        <f t="shared" si="158"/>
        <v>232.42732120691022</v>
      </c>
      <c r="X33" t="s">
        <v>52</v>
      </c>
      <c r="Y33">
        <v>145</v>
      </c>
      <c r="Z33">
        <v>101</v>
      </c>
      <c r="AA33">
        <v>68</v>
      </c>
      <c r="AB33">
        <v>15</v>
      </c>
      <c r="AC33" s="4">
        <f t="shared" si="159"/>
        <v>0.26933187978490658</v>
      </c>
      <c r="AD33" s="4">
        <f t="shared" si="160"/>
        <v>3.8244243618322293E-2</v>
      </c>
      <c r="AE33" s="5">
        <f t="shared" si="161"/>
        <v>674.23208728822124</v>
      </c>
      <c r="AF33" s="4">
        <f t="shared" si="162"/>
        <v>0.22893209781717058</v>
      </c>
      <c r="AG33" s="5">
        <f t="shared" si="163"/>
        <v>573.09727419498802</v>
      </c>
      <c r="AH33" s="4">
        <f t="shared" si="164"/>
        <v>4.0399781967735984E-2</v>
      </c>
      <c r="AI33" s="5">
        <f t="shared" si="165"/>
        <v>101.13481309323318</v>
      </c>
      <c r="AJ33" t="s">
        <v>52</v>
      </c>
      <c r="AK33">
        <v>151</v>
      </c>
      <c r="AL33">
        <v>103</v>
      </c>
      <c r="AM33">
        <v>87</v>
      </c>
      <c r="AN33">
        <v>10</v>
      </c>
      <c r="AO33" s="4">
        <f t="shared" si="166"/>
        <v>0.36736292234568585</v>
      </c>
      <c r="AP33" s="4">
        <f t="shared" si="167"/>
        <v>9.8031042560779269E-2</v>
      </c>
      <c r="AQ33" s="5">
        <f t="shared" si="168"/>
        <v>911.39692058928063</v>
      </c>
      <c r="AR33" s="4">
        <f t="shared" si="169"/>
        <v>0.33062663011111726</v>
      </c>
      <c r="AS33" s="5">
        <f t="shared" si="170"/>
        <v>820.25722853035256</v>
      </c>
      <c r="AT33" s="4">
        <f t="shared" si="171"/>
        <v>3.6736292234568584E-2</v>
      </c>
      <c r="AU33" s="5">
        <f t="shared" si="172"/>
        <v>91.139692058928063</v>
      </c>
      <c r="AV33" t="s">
        <v>52</v>
      </c>
      <c r="AW33">
        <v>151</v>
      </c>
      <c r="AX33">
        <v>102</v>
      </c>
      <c r="AY33">
        <v>89</v>
      </c>
      <c r="AZ33">
        <v>20</v>
      </c>
      <c r="BA33" s="4">
        <f t="shared" si="173"/>
        <v>0.37285475355339553</v>
      </c>
      <c r="BB33" s="4">
        <f t="shared" si="174"/>
        <v>5.4918312077096854E-3</v>
      </c>
      <c r="BC33" s="4">
        <f t="shared" si="175"/>
        <v>0.14176711738681125</v>
      </c>
      <c r="BD33" s="5">
        <f t="shared" si="176"/>
        <v>924.62372633130769</v>
      </c>
      <c r="BE33" s="4">
        <f t="shared" si="177"/>
        <v>0.29828380284271644</v>
      </c>
      <c r="BF33" s="5">
        <f t="shared" si="178"/>
        <v>739.69898106504615</v>
      </c>
      <c r="BG33" s="4">
        <f t="shared" si="179"/>
        <v>7.457095071067911E-2</v>
      </c>
      <c r="BH33" s="5">
        <f t="shared" si="180"/>
        <v>184.92474526626154</v>
      </c>
      <c r="BI33" t="s">
        <v>52</v>
      </c>
      <c r="BJ33">
        <v>170</v>
      </c>
      <c r="BK33">
        <v>103</v>
      </c>
      <c r="BL33">
        <v>90</v>
      </c>
      <c r="BM33">
        <v>10</v>
      </c>
      <c r="BN33" s="4">
        <f t="shared" si="181"/>
        <v>0.43901204789886311</v>
      </c>
      <c r="BO33" s="5">
        <f t="shared" si="182"/>
        <v>1083.5391859782371</v>
      </c>
      <c r="BP33" s="4">
        <f t="shared" si="183"/>
        <v>0.39511084310897682</v>
      </c>
      <c r="BQ33" s="5">
        <f t="shared" si="184"/>
        <v>975.18526738041339</v>
      </c>
      <c r="BR33" s="4">
        <f t="shared" si="185"/>
        <v>4.3901204789886315E-2</v>
      </c>
      <c r="BS33" s="5">
        <f t="shared" si="186"/>
        <v>108.35391859782372</v>
      </c>
      <c r="BT33" t="s">
        <v>52</v>
      </c>
      <c r="BU33">
        <v>170</v>
      </c>
      <c r="BV33">
        <v>103</v>
      </c>
      <c r="BW33">
        <v>90</v>
      </c>
      <c r="BX33">
        <v>10</v>
      </c>
      <c r="BY33" s="4">
        <f t="shared" si="187"/>
        <v>0.43901204789886311</v>
      </c>
      <c r="BZ33" s="5">
        <f t="shared" si="188"/>
        <v>1083.5391859782371</v>
      </c>
      <c r="CA33" t="s">
        <v>52</v>
      </c>
      <c r="CB33">
        <v>160</v>
      </c>
      <c r="CC33">
        <v>104</v>
      </c>
      <c r="CD33">
        <v>98</v>
      </c>
      <c r="CE33">
        <v>10</v>
      </c>
      <c r="CF33" s="4">
        <f t="shared" si="189"/>
        <v>0.44703606823521325</v>
      </c>
      <c r="CG33" s="5">
        <f t="shared" si="190"/>
        <v>1102.7641278673409</v>
      </c>
      <c r="CH33" s="4">
        <f t="shared" si="191"/>
        <v>0.40233246141169193</v>
      </c>
      <c r="CI33" s="5">
        <f t="shared" si="192"/>
        <v>992.48771508060679</v>
      </c>
      <c r="CJ33" s="4">
        <f t="shared" si="193"/>
        <v>4.4703606823521327E-2</v>
      </c>
      <c r="CK33" s="5">
        <f t="shared" si="194"/>
        <v>110.2764127867341</v>
      </c>
    </row>
    <row r="34" spans="1:89">
      <c r="A34" t="s">
        <v>53</v>
      </c>
      <c r="B34">
        <v>152</v>
      </c>
      <c r="C34">
        <v>191</v>
      </c>
      <c r="D34">
        <v>115</v>
      </c>
      <c r="E34">
        <v>20</v>
      </c>
      <c r="F34" s="4">
        <f t="shared" si="146"/>
        <v>0.88551254003648627</v>
      </c>
      <c r="G34" s="5">
        <f t="shared" si="147"/>
        <v>2141.5394002625881</v>
      </c>
      <c r="H34" s="4">
        <f t="shared" si="148"/>
        <v>0.70841003202918906</v>
      </c>
      <c r="I34" s="5">
        <f t="shared" si="149"/>
        <v>1713.2315202100706</v>
      </c>
      <c r="J34" s="4">
        <f t="shared" si="150"/>
        <v>0.17710250800729727</v>
      </c>
      <c r="K34" s="5">
        <f t="shared" si="151"/>
        <v>428.30788005251765</v>
      </c>
      <c r="L34" t="s">
        <v>53</v>
      </c>
      <c r="M34">
        <v>183</v>
      </c>
      <c r="N34">
        <v>146</v>
      </c>
      <c r="O34">
        <v>113</v>
      </c>
      <c r="P34">
        <v>25</v>
      </c>
      <c r="Q34" s="4">
        <f t="shared" si="152"/>
        <v>0.80053232785718842</v>
      </c>
      <c r="R34" s="4">
        <f t="shared" si="153"/>
        <v>-8.4980212179297854E-2</v>
      </c>
      <c r="S34" s="5">
        <f t="shared" si="154"/>
        <v>1941.694441399263</v>
      </c>
      <c r="T34" s="4">
        <f t="shared" si="155"/>
        <v>0.60039924589289129</v>
      </c>
      <c r="U34" s="5">
        <f t="shared" si="156"/>
        <v>1456.2708310494472</v>
      </c>
      <c r="V34" s="4">
        <f t="shared" si="157"/>
        <v>0.2001330819642971</v>
      </c>
      <c r="W34" s="5">
        <f t="shared" si="158"/>
        <v>485.42361034981576</v>
      </c>
      <c r="X34" t="s">
        <v>53</v>
      </c>
      <c r="Y34">
        <v>204</v>
      </c>
      <c r="Z34">
        <v>159</v>
      </c>
      <c r="AA34">
        <v>113</v>
      </c>
      <c r="AB34">
        <v>20</v>
      </c>
      <c r="AC34" s="4">
        <f t="shared" si="159"/>
        <v>0.97454147974809791</v>
      </c>
      <c r="AD34" s="4">
        <f t="shared" si="160"/>
        <v>0.17400915189090949</v>
      </c>
      <c r="AE34" s="5">
        <f t="shared" si="161"/>
        <v>2350.3098426960255</v>
      </c>
      <c r="AF34" s="4">
        <f t="shared" si="162"/>
        <v>0.77963318379847835</v>
      </c>
      <c r="AG34" s="5">
        <f t="shared" si="163"/>
        <v>1880.2478741568204</v>
      </c>
      <c r="AH34" s="4">
        <f t="shared" si="164"/>
        <v>0.19490829594961959</v>
      </c>
      <c r="AI34" s="5">
        <f t="shared" si="165"/>
        <v>470.06196853920511</v>
      </c>
      <c r="AJ34" t="s">
        <v>53</v>
      </c>
      <c r="AK34">
        <v>189</v>
      </c>
      <c r="AL34">
        <v>161</v>
      </c>
      <c r="AM34">
        <v>112</v>
      </c>
      <c r="AN34">
        <v>20</v>
      </c>
      <c r="AO34" s="4">
        <f t="shared" si="166"/>
        <v>0.89797190015108252</v>
      </c>
      <c r="AP34" s="4">
        <f t="shared" si="167"/>
        <v>-7.656957959701538E-2</v>
      </c>
      <c r="AQ34" s="5">
        <f t="shared" si="168"/>
        <v>2170.7915732658184</v>
      </c>
      <c r="AR34" s="4">
        <f t="shared" si="169"/>
        <v>0.71837752012086609</v>
      </c>
      <c r="AS34" s="5">
        <f t="shared" si="170"/>
        <v>1736.6332586126548</v>
      </c>
      <c r="AT34" s="4">
        <f t="shared" si="171"/>
        <v>0.17959438003021652</v>
      </c>
      <c r="AU34" s="5">
        <f t="shared" si="172"/>
        <v>434.1583146531637</v>
      </c>
      <c r="AV34" t="s">
        <v>53</v>
      </c>
      <c r="AW34">
        <v>177</v>
      </c>
      <c r="AX34">
        <v>189</v>
      </c>
      <c r="AY34">
        <v>119</v>
      </c>
      <c r="AZ34">
        <v>35</v>
      </c>
      <c r="BA34" s="4">
        <f t="shared" si="173"/>
        <v>1.0433205640626801</v>
      </c>
      <c r="BB34" s="4">
        <f t="shared" si="174"/>
        <v>0.14534866391159762</v>
      </c>
      <c r="BC34" s="4">
        <f t="shared" si="175"/>
        <v>0.24278823620549173</v>
      </c>
      <c r="BD34" s="5">
        <f t="shared" si="176"/>
        <v>2511.213585728603</v>
      </c>
      <c r="BE34" s="4">
        <f t="shared" si="177"/>
        <v>0.67815836664074214</v>
      </c>
      <c r="BF34" s="5">
        <f t="shared" si="178"/>
        <v>1632.2888307235919</v>
      </c>
      <c r="BG34" s="4">
        <f t="shared" si="179"/>
        <v>0.36516219742193806</v>
      </c>
      <c r="BH34" s="5">
        <f t="shared" si="180"/>
        <v>878.92475500501109</v>
      </c>
      <c r="BI34" t="s">
        <v>53</v>
      </c>
      <c r="BJ34">
        <v>203</v>
      </c>
      <c r="BK34">
        <v>175</v>
      </c>
      <c r="BL34">
        <v>113</v>
      </c>
      <c r="BM34">
        <v>30</v>
      </c>
      <c r="BN34" s="4">
        <f t="shared" si="181"/>
        <v>1.0567461602677961</v>
      </c>
      <c r="BO34" s="5">
        <f t="shared" si="182"/>
        <v>2542.5852825525067</v>
      </c>
      <c r="BP34" s="4">
        <f t="shared" si="183"/>
        <v>0.73972231218745721</v>
      </c>
      <c r="BQ34" s="5">
        <f t="shared" si="184"/>
        <v>1779.8096977867547</v>
      </c>
      <c r="BR34" s="4">
        <f t="shared" si="185"/>
        <v>0.31702384808033884</v>
      </c>
      <c r="BS34" s="5">
        <f t="shared" si="186"/>
        <v>762.775584765752</v>
      </c>
      <c r="BT34" t="s">
        <v>53</v>
      </c>
      <c r="BU34">
        <v>157</v>
      </c>
      <c r="BV34">
        <v>161</v>
      </c>
      <c r="BW34">
        <v>106</v>
      </c>
      <c r="BX34">
        <v>30</v>
      </c>
      <c r="BY34" s="4">
        <f t="shared" si="187"/>
        <v>0.7015663342327314</v>
      </c>
      <c r="BZ34" s="5">
        <f t="shared" si="188"/>
        <v>1708.1765167171629</v>
      </c>
      <c r="CA34" t="s">
        <v>53</v>
      </c>
      <c r="CB34">
        <v>193</v>
      </c>
      <c r="CC34">
        <v>158</v>
      </c>
      <c r="CD34">
        <v>104</v>
      </c>
      <c r="CE34">
        <v>25</v>
      </c>
      <c r="CF34" s="4">
        <f t="shared" si="189"/>
        <v>0.83860260578231827</v>
      </c>
      <c r="CG34" s="5">
        <f t="shared" si="190"/>
        <v>2031.2953649200138</v>
      </c>
      <c r="CH34" s="4">
        <f t="shared" si="191"/>
        <v>0.62895195433673867</v>
      </c>
      <c r="CI34" s="5">
        <f t="shared" si="192"/>
        <v>1523.4715236900104</v>
      </c>
      <c r="CJ34" s="4">
        <f t="shared" si="193"/>
        <v>0.20965065144557957</v>
      </c>
      <c r="CK34" s="5">
        <f t="shared" si="194"/>
        <v>507.82384123000344</v>
      </c>
    </row>
    <row r="35" spans="1:89">
      <c r="A35" t="s">
        <v>54</v>
      </c>
      <c r="B35">
        <v>240</v>
      </c>
      <c r="C35">
        <v>208</v>
      </c>
      <c r="D35">
        <v>145</v>
      </c>
      <c r="E35">
        <v>15</v>
      </c>
      <c r="F35" s="4">
        <f t="shared" si="146"/>
        <v>1.9047266819204676</v>
      </c>
      <c r="G35" s="5">
        <f t="shared" si="147"/>
        <v>4505.2357144725484</v>
      </c>
      <c r="H35" s="4">
        <f t="shared" si="148"/>
        <v>1.6190176796323974</v>
      </c>
      <c r="I35" s="5">
        <f t="shared" si="149"/>
        <v>3829.4503573016659</v>
      </c>
      <c r="J35" s="4">
        <f t="shared" si="150"/>
        <v>0.28570900228807011</v>
      </c>
      <c r="K35" s="5">
        <f t="shared" si="151"/>
        <v>675.78535717088221</v>
      </c>
      <c r="L35" t="s">
        <v>54</v>
      </c>
      <c r="M35">
        <v>199</v>
      </c>
      <c r="N35">
        <v>188</v>
      </c>
      <c r="O35">
        <v>144</v>
      </c>
      <c r="P35">
        <v>10</v>
      </c>
      <c r="Q35" s="4">
        <f t="shared" si="152"/>
        <v>1.4115395704064693</v>
      </c>
      <c r="R35" s="4">
        <f t="shared" si="153"/>
        <v>-0.4931871115139983</v>
      </c>
      <c r="S35" s="5">
        <f t="shared" si="154"/>
        <v>3367.8439395242513</v>
      </c>
      <c r="T35" s="4">
        <f t="shared" si="155"/>
        <v>1.2703856133658225</v>
      </c>
      <c r="U35" s="5">
        <f t="shared" si="156"/>
        <v>3031.0595455718262</v>
      </c>
      <c r="V35" s="4">
        <f t="shared" si="157"/>
        <v>0.14115395704064693</v>
      </c>
      <c r="W35" s="5">
        <f t="shared" si="158"/>
        <v>336.78439395242515</v>
      </c>
      <c r="X35" t="s">
        <v>54</v>
      </c>
      <c r="Y35">
        <v>243</v>
      </c>
      <c r="Z35">
        <v>207</v>
      </c>
      <c r="AA35">
        <v>153</v>
      </c>
      <c r="AB35">
        <v>15</v>
      </c>
      <c r="AC35" s="4">
        <f t="shared" si="159"/>
        <v>2.0277998831217867</v>
      </c>
      <c r="AD35" s="4">
        <f t="shared" si="160"/>
        <v>0.61626031271531745</v>
      </c>
      <c r="AE35" s="5">
        <f t="shared" si="161"/>
        <v>4787.6386681267559</v>
      </c>
      <c r="AF35" s="4">
        <f t="shared" si="162"/>
        <v>1.7236299006535187</v>
      </c>
      <c r="AG35" s="5">
        <f t="shared" si="163"/>
        <v>4069.4928679077425</v>
      </c>
      <c r="AH35" s="4">
        <f t="shared" si="164"/>
        <v>0.30416998246826799</v>
      </c>
      <c r="AI35" s="5">
        <f t="shared" si="165"/>
        <v>718.14580021901338</v>
      </c>
      <c r="AJ35" t="s">
        <v>54</v>
      </c>
      <c r="AK35">
        <v>221</v>
      </c>
      <c r="AL35">
        <v>183</v>
      </c>
      <c r="AM35">
        <v>153</v>
      </c>
      <c r="AN35">
        <v>15</v>
      </c>
      <c r="AO35" s="4">
        <f t="shared" si="166"/>
        <v>1.6344167196227433</v>
      </c>
      <c r="AP35" s="4">
        <f t="shared" si="167"/>
        <v>-0.39338316349904345</v>
      </c>
      <c r="AQ35" s="5">
        <f t="shared" si="168"/>
        <v>3883.070497404638</v>
      </c>
      <c r="AR35" s="4">
        <f t="shared" si="169"/>
        <v>1.3892542116793318</v>
      </c>
      <c r="AS35" s="5">
        <f t="shared" si="170"/>
        <v>3300.6099227939421</v>
      </c>
      <c r="AT35" s="4">
        <f t="shared" si="171"/>
        <v>0.24516250794341149</v>
      </c>
      <c r="AU35" s="5">
        <f t="shared" si="172"/>
        <v>582.46057461069563</v>
      </c>
      <c r="AV35" t="s">
        <v>54</v>
      </c>
      <c r="AW35">
        <v>224</v>
      </c>
      <c r="AX35">
        <v>221</v>
      </c>
      <c r="AY35">
        <v>153</v>
      </c>
      <c r="AZ35">
        <v>30</v>
      </c>
      <c r="BA35" s="4">
        <f t="shared" si="173"/>
        <v>1.9829880091614409</v>
      </c>
      <c r="BB35" s="4">
        <f t="shared" si="174"/>
        <v>0.34857128953869765</v>
      </c>
      <c r="BC35" s="4">
        <f t="shared" si="175"/>
        <v>0.57144843875497164</v>
      </c>
      <c r="BD35" s="5">
        <f t="shared" si="176"/>
        <v>4684.8728192359313</v>
      </c>
      <c r="BE35" s="4">
        <f t="shared" si="177"/>
        <v>1.3880916064130087</v>
      </c>
      <c r="BF35" s="5">
        <f t="shared" si="178"/>
        <v>3279.4109734651515</v>
      </c>
      <c r="BG35" s="4">
        <f t="shared" si="179"/>
        <v>0.59489640274843225</v>
      </c>
      <c r="BH35" s="5">
        <f t="shared" si="180"/>
        <v>1405.4618457707793</v>
      </c>
      <c r="BI35" t="s">
        <v>54</v>
      </c>
      <c r="BJ35">
        <v>251</v>
      </c>
      <c r="BK35">
        <v>234</v>
      </c>
      <c r="BL35">
        <v>133</v>
      </c>
      <c r="BM35">
        <v>20</v>
      </c>
      <c r="BN35" s="4">
        <f t="shared" si="181"/>
        <v>2.0475935530855764</v>
      </c>
      <c r="BO35" s="5">
        <f t="shared" si="182"/>
        <v>4833.0098987171114</v>
      </c>
      <c r="BP35" s="4">
        <f t="shared" si="183"/>
        <v>1.6380748424684612</v>
      </c>
      <c r="BQ35" s="5">
        <f t="shared" si="184"/>
        <v>3866.4079189736894</v>
      </c>
      <c r="BR35" s="4">
        <f t="shared" si="185"/>
        <v>0.40951871061711531</v>
      </c>
      <c r="BS35" s="5">
        <f t="shared" si="186"/>
        <v>966.60197974342236</v>
      </c>
      <c r="BT35" t="s">
        <v>54</v>
      </c>
      <c r="BU35">
        <v>236</v>
      </c>
      <c r="BV35">
        <v>204</v>
      </c>
      <c r="BW35">
        <v>121</v>
      </c>
      <c r="BX35">
        <v>20</v>
      </c>
      <c r="BY35" s="4">
        <f t="shared" si="187"/>
        <v>1.5332019347069388</v>
      </c>
      <c r="BZ35" s="5">
        <f t="shared" si="188"/>
        <v>3649.3622662255252</v>
      </c>
      <c r="CA35" t="s">
        <v>54</v>
      </c>
      <c r="CB35">
        <v>240</v>
      </c>
      <c r="CC35">
        <v>232</v>
      </c>
      <c r="CD35">
        <v>110</v>
      </c>
      <c r="CE35">
        <v>35</v>
      </c>
      <c r="CF35" s="4">
        <f t="shared" si="189"/>
        <v>1.6039296573147568</v>
      </c>
      <c r="CG35" s="5">
        <f t="shared" si="190"/>
        <v>3812.7202718984481</v>
      </c>
      <c r="CH35" s="4">
        <f t="shared" si="191"/>
        <v>1.0425542772545919</v>
      </c>
      <c r="CI35" s="5">
        <f t="shared" si="192"/>
        <v>2478.2681767339914</v>
      </c>
      <c r="CJ35" s="4">
        <f t="shared" si="193"/>
        <v>0.56137538006016496</v>
      </c>
      <c r="CK35" s="5">
        <f t="shared" si="194"/>
        <v>1334.452095164457</v>
      </c>
    </row>
    <row r="36" spans="1:89">
      <c r="A36" t="s">
        <v>55</v>
      </c>
      <c r="B36">
        <v>146</v>
      </c>
      <c r="C36">
        <v>152</v>
      </c>
      <c r="D36">
        <v>128</v>
      </c>
      <c r="E36">
        <v>20</v>
      </c>
      <c r="F36" s="4">
        <f t="shared" si="146"/>
        <v>0.7439626506917012</v>
      </c>
      <c r="G36" s="5">
        <f t="shared" si="147"/>
        <v>1808.3236002036488</v>
      </c>
      <c r="H36" s="4">
        <f t="shared" si="148"/>
        <v>0.59517012055336094</v>
      </c>
      <c r="I36" s="5">
        <f t="shared" si="149"/>
        <v>1446.6588801629191</v>
      </c>
      <c r="J36" s="4">
        <f t="shared" si="150"/>
        <v>0.14879253013834023</v>
      </c>
      <c r="K36" s="5">
        <f t="shared" si="151"/>
        <v>361.66472004072978</v>
      </c>
      <c r="L36" t="s">
        <v>55</v>
      </c>
      <c r="M36">
        <v>162</v>
      </c>
      <c r="N36">
        <v>160</v>
      </c>
      <c r="O36">
        <v>120</v>
      </c>
      <c r="P36">
        <v>50</v>
      </c>
      <c r="Q36" s="4">
        <f t="shared" si="152"/>
        <v>0.8143322317370103</v>
      </c>
      <c r="R36" s="4">
        <f t="shared" si="153"/>
        <v>7.0369581045309104E-2</v>
      </c>
      <c r="S36" s="5">
        <f t="shared" si="154"/>
        <v>1974.1874085838256</v>
      </c>
      <c r="T36" s="4">
        <f t="shared" si="155"/>
        <v>0.40716611586850515</v>
      </c>
      <c r="U36" s="5">
        <f t="shared" si="156"/>
        <v>987.09370429191279</v>
      </c>
      <c r="V36" s="4">
        <f t="shared" si="157"/>
        <v>0.40716611586850515</v>
      </c>
      <c r="W36" s="5">
        <f t="shared" si="158"/>
        <v>987.09370429191279</v>
      </c>
      <c r="X36" t="s">
        <v>55</v>
      </c>
      <c r="Y36">
        <v>144</v>
      </c>
      <c r="Z36">
        <v>99</v>
      </c>
      <c r="AA36">
        <v>109</v>
      </c>
      <c r="AB36">
        <v>65</v>
      </c>
      <c r="AC36" s="4">
        <f t="shared" si="159"/>
        <v>0.42125753336664129</v>
      </c>
      <c r="AD36" s="4">
        <f t="shared" si="160"/>
        <v>-0.39307469837036901</v>
      </c>
      <c r="AE36" s="5">
        <f t="shared" si="161"/>
        <v>1040.9642092527035</v>
      </c>
      <c r="AF36" s="4">
        <f t="shared" si="162"/>
        <v>0.14744013667832445</v>
      </c>
      <c r="AG36" s="5">
        <f t="shared" si="163"/>
        <v>364.33747323844619</v>
      </c>
      <c r="AH36" s="4">
        <f t="shared" si="164"/>
        <v>0.27381739668831684</v>
      </c>
      <c r="AI36" s="5">
        <f t="shared" si="165"/>
        <v>676.62673601425729</v>
      </c>
      <c r="AJ36" t="s">
        <v>55</v>
      </c>
      <c r="AK36">
        <v>151</v>
      </c>
      <c r="AL36">
        <v>109</v>
      </c>
      <c r="AM36">
        <v>112</v>
      </c>
      <c r="AN36">
        <v>55</v>
      </c>
      <c r="AO36" s="4">
        <f t="shared" si="166"/>
        <v>0.4955338812262301</v>
      </c>
      <c r="AP36" s="4">
        <f t="shared" si="167"/>
        <v>7.4276347859588809E-2</v>
      </c>
      <c r="AQ36" s="5">
        <f t="shared" si="168"/>
        <v>1218.7544843237927</v>
      </c>
      <c r="AR36" s="4">
        <f t="shared" si="169"/>
        <v>0.22299024655180352</v>
      </c>
      <c r="AS36" s="5">
        <f t="shared" si="170"/>
        <v>548.4395179457066</v>
      </c>
      <c r="AT36" s="4">
        <f t="shared" si="171"/>
        <v>0.27254363467442655</v>
      </c>
      <c r="AU36" s="5">
        <f t="shared" si="172"/>
        <v>670.31496637808607</v>
      </c>
      <c r="AV36" t="s">
        <v>55</v>
      </c>
      <c r="AW36">
        <v>167</v>
      </c>
      <c r="AX36">
        <v>188</v>
      </c>
      <c r="AY36">
        <v>120</v>
      </c>
      <c r="AZ36">
        <v>60</v>
      </c>
      <c r="BA36" s="4">
        <f t="shared" si="173"/>
        <v>0.98979803542163414</v>
      </c>
      <c r="BB36" s="4">
        <f t="shared" si="174"/>
        <v>0.49426415419540404</v>
      </c>
      <c r="BC36" s="4">
        <f t="shared" si="175"/>
        <v>0.17546580368462383</v>
      </c>
      <c r="BD36" s="5">
        <f t="shared" si="176"/>
        <v>2386.0291023042355</v>
      </c>
      <c r="BE36" s="4">
        <f t="shared" si="177"/>
        <v>0.39591921416865367</v>
      </c>
      <c r="BF36" s="5">
        <f t="shared" si="178"/>
        <v>954.41164092169424</v>
      </c>
      <c r="BG36" s="4">
        <f t="shared" si="179"/>
        <v>0.59387882125298042</v>
      </c>
      <c r="BH36" s="5">
        <f t="shared" si="180"/>
        <v>1431.6174613825413</v>
      </c>
      <c r="BI36" t="s">
        <v>55</v>
      </c>
      <c r="BJ36">
        <v>175</v>
      </c>
      <c r="BK36">
        <v>148</v>
      </c>
      <c r="BL36">
        <v>83</v>
      </c>
      <c r="BM36">
        <v>25</v>
      </c>
      <c r="BN36" s="4">
        <f t="shared" si="181"/>
        <v>0.56675031784122232</v>
      </c>
      <c r="BO36" s="5">
        <f t="shared" si="182"/>
        <v>1388.4920930881872</v>
      </c>
      <c r="BP36" s="4">
        <f t="shared" si="183"/>
        <v>0.42506273838091674</v>
      </c>
      <c r="BQ36" s="5">
        <f t="shared" si="184"/>
        <v>1041.3690698161404</v>
      </c>
      <c r="BR36" s="4">
        <f t="shared" si="185"/>
        <v>0.14168757946030558</v>
      </c>
      <c r="BS36" s="5">
        <f t="shared" si="186"/>
        <v>347.12302327204679</v>
      </c>
      <c r="BT36" t="s">
        <v>55</v>
      </c>
      <c r="BU36">
        <v>173</v>
      </c>
      <c r="BV36">
        <v>120</v>
      </c>
      <c r="BW36">
        <v>83</v>
      </c>
      <c r="BX36">
        <v>25</v>
      </c>
      <c r="BY36" s="4">
        <f t="shared" si="187"/>
        <v>0.46636072459576045</v>
      </c>
      <c r="BZ36" s="5">
        <f t="shared" si="188"/>
        <v>1149.0238182397345</v>
      </c>
      <c r="CA36" t="s">
        <v>55</v>
      </c>
      <c r="CB36">
        <v>170</v>
      </c>
      <c r="CC36">
        <v>155</v>
      </c>
      <c r="CD36">
        <v>93</v>
      </c>
      <c r="CE36">
        <v>50</v>
      </c>
      <c r="CF36" s="4">
        <f t="shared" si="189"/>
        <v>0.64292202781862995</v>
      </c>
      <c r="CG36" s="5">
        <f t="shared" si="190"/>
        <v>1569.3568774566015</v>
      </c>
      <c r="CH36" s="4">
        <f t="shared" si="191"/>
        <v>0.32146101390931497</v>
      </c>
      <c r="CI36" s="5">
        <f t="shared" si="192"/>
        <v>784.67843872830076</v>
      </c>
      <c r="CJ36" s="4">
        <f t="shared" si="193"/>
        <v>0.32146101390931497</v>
      </c>
      <c r="CK36" s="5">
        <f t="shared" si="194"/>
        <v>784.67843872830076</v>
      </c>
    </row>
    <row r="37" spans="1:89">
      <c r="A37" t="s">
        <v>56</v>
      </c>
      <c r="B37">
        <v>156</v>
      </c>
      <c r="C37">
        <v>124</v>
      </c>
      <c r="D37">
        <v>94</v>
      </c>
      <c r="E37">
        <v>30</v>
      </c>
      <c r="F37" s="4">
        <f t="shared" si="146"/>
        <v>0.48233919208115295</v>
      </c>
      <c r="G37" s="5">
        <f t="shared" si="147"/>
        <v>1187.2312722292145</v>
      </c>
      <c r="H37" s="4">
        <f t="shared" si="148"/>
        <v>0.33763743445680705</v>
      </c>
      <c r="I37" s="5">
        <f t="shared" si="149"/>
        <v>831.06189056045014</v>
      </c>
      <c r="J37" s="4">
        <f t="shared" si="150"/>
        <v>0.14470175762434587</v>
      </c>
      <c r="K37" s="5">
        <f t="shared" si="151"/>
        <v>356.16938166876434</v>
      </c>
      <c r="L37" t="s">
        <v>56</v>
      </c>
      <c r="M37">
        <v>149</v>
      </c>
      <c r="N37">
        <v>142</v>
      </c>
      <c r="O37">
        <v>106</v>
      </c>
      <c r="P37">
        <v>20</v>
      </c>
      <c r="Q37" s="4">
        <f t="shared" si="152"/>
        <v>0.58748999989282391</v>
      </c>
      <c r="R37" s="4">
        <f t="shared" si="153"/>
        <v>0.10515080781167097</v>
      </c>
      <c r="S37" s="5">
        <f t="shared" si="154"/>
        <v>1437.80326232998</v>
      </c>
      <c r="T37" s="4">
        <f t="shared" si="155"/>
        <v>0.46999199991425916</v>
      </c>
      <c r="U37" s="5">
        <f t="shared" si="156"/>
        <v>1150.2426098639842</v>
      </c>
      <c r="V37" s="4">
        <f t="shared" si="157"/>
        <v>0.11749799997856479</v>
      </c>
      <c r="W37" s="5">
        <f t="shared" si="158"/>
        <v>287.56065246599604</v>
      </c>
      <c r="X37" t="s">
        <v>56</v>
      </c>
      <c r="Y37">
        <v>160</v>
      </c>
      <c r="Z37">
        <v>112</v>
      </c>
      <c r="AA37">
        <v>108</v>
      </c>
      <c r="AB37">
        <v>20</v>
      </c>
      <c r="AC37" s="4">
        <f t="shared" si="159"/>
        <v>0.52296207948717133</v>
      </c>
      <c r="AD37" s="4">
        <f t="shared" si="160"/>
        <v>-6.4527920405652583E-2</v>
      </c>
      <c r="AE37" s="5">
        <f t="shared" si="161"/>
        <v>1284.2056109584885</v>
      </c>
      <c r="AF37" s="4">
        <f t="shared" si="162"/>
        <v>0.4183696635897371</v>
      </c>
      <c r="AG37" s="5">
        <f t="shared" si="163"/>
        <v>1027.3644887667908</v>
      </c>
      <c r="AH37" s="4">
        <f t="shared" si="164"/>
        <v>0.10459241589743427</v>
      </c>
      <c r="AI37" s="5">
        <f t="shared" si="165"/>
        <v>256.84112219169771</v>
      </c>
      <c r="AJ37" t="s">
        <v>56</v>
      </c>
      <c r="AK37">
        <v>154</v>
      </c>
      <c r="AL37">
        <v>124</v>
      </c>
      <c r="AM37">
        <v>108</v>
      </c>
      <c r="AN37">
        <v>25</v>
      </c>
      <c r="AO37" s="4">
        <f t="shared" si="166"/>
        <v>0.54628840494007547</v>
      </c>
      <c r="AP37" s="4">
        <f t="shared" si="167"/>
        <v>2.332632545290414E-2</v>
      </c>
      <c r="AQ37" s="5">
        <f t="shared" si="168"/>
        <v>1339.7900406892188</v>
      </c>
      <c r="AR37" s="4">
        <f t="shared" si="169"/>
        <v>0.40971630370505663</v>
      </c>
      <c r="AS37" s="5">
        <f t="shared" si="170"/>
        <v>1004.8425305169142</v>
      </c>
      <c r="AT37" s="4">
        <f t="shared" si="171"/>
        <v>0.13657210123501887</v>
      </c>
      <c r="AU37" s="5">
        <f t="shared" si="172"/>
        <v>334.9475101723047</v>
      </c>
      <c r="AV37" t="s">
        <v>56</v>
      </c>
      <c r="AW37">
        <v>164</v>
      </c>
      <c r="AX37">
        <v>140</v>
      </c>
      <c r="AY37">
        <v>107</v>
      </c>
      <c r="AZ37">
        <v>30</v>
      </c>
      <c r="BA37" s="4">
        <f t="shared" si="173"/>
        <v>0.64720159696113555</v>
      </c>
      <c r="BB37" s="4">
        <f t="shared" si="174"/>
        <v>0.10091319202106008</v>
      </c>
      <c r="BC37" s="4">
        <f t="shared" si="175"/>
        <v>5.9711597068311639E-2</v>
      </c>
      <c r="BD37" s="5">
        <f t="shared" si="176"/>
        <v>1579.4992804463225</v>
      </c>
      <c r="BE37" s="4">
        <f t="shared" si="177"/>
        <v>0.45304111787279483</v>
      </c>
      <c r="BF37" s="5">
        <f t="shared" si="178"/>
        <v>1105.6494963124258</v>
      </c>
      <c r="BG37" s="4">
        <f t="shared" si="179"/>
        <v>0.19416047908834067</v>
      </c>
      <c r="BH37" s="5">
        <f t="shared" si="180"/>
        <v>473.84978413389672</v>
      </c>
      <c r="BI37" t="s">
        <v>56</v>
      </c>
      <c r="BJ37">
        <v>179</v>
      </c>
      <c r="BK37">
        <v>141</v>
      </c>
      <c r="BL37">
        <v>109</v>
      </c>
      <c r="BM37">
        <v>15</v>
      </c>
      <c r="BN37" s="4">
        <f t="shared" si="181"/>
        <v>0.7305250117147466</v>
      </c>
      <c r="BO37" s="5">
        <f t="shared" si="182"/>
        <v>1776.6000593938029</v>
      </c>
      <c r="BP37" s="4">
        <f t="shared" si="183"/>
        <v>0.62094625995753461</v>
      </c>
      <c r="BQ37" s="5">
        <f t="shared" si="184"/>
        <v>1510.1100504847325</v>
      </c>
      <c r="BR37" s="4">
        <f t="shared" si="185"/>
        <v>0.10957875175721199</v>
      </c>
      <c r="BS37" s="5">
        <f t="shared" si="186"/>
        <v>266.49000890907041</v>
      </c>
      <c r="BT37" t="s">
        <v>56</v>
      </c>
      <c r="BU37">
        <v>138</v>
      </c>
      <c r="BV37">
        <v>126</v>
      </c>
      <c r="BW37">
        <v>109</v>
      </c>
      <c r="BX37">
        <v>15</v>
      </c>
      <c r="BY37" s="4">
        <f t="shared" si="187"/>
        <v>0.49721358609834942</v>
      </c>
      <c r="BZ37" s="5">
        <f t="shared" si="188"/>
        <v>1222.7656792109406</v>
      </c>
      <c r="CA37" t="s">
        <v>56</v>
      </c>
      <c r="CB37">
        <v>155</v>
      </c>
      <c r="CC37">
        <v>140</v>
      </c>
      <c r="CD37">
        <v>110</v>
      </c>
      <c r="CE37">
        <v>20</v>
      </c>
      <c r="CF37" s="4">
        <f t="shared" si="189"/>
        <v>0.62653502238857695</v>
      </c>
      <c r="CG37" s="5">
        <f t="shared" si="190"/>
        <v>1530.5021260215642</v>
      </c>
      <c r="CH37" s="4">
        <f t="shared" si="191"/>
        <v>0.50122801791086158</v>
      </c>
      <c r="CI37" s="5">
        <f t="shared" si="192"/>
        <v>1224.4017008172514</v>
      </c>
      <c r="CJ37" s="4">
        <f t="shared" si="193"/>
        <v>0.12530700447771539</v>
      </c>
      <c r="CK37" s="5">
        <f t="shared" si="194"/>
        <v>306.10042520431284</v>
      </c>
    </row>
    <row r="38" spans="1:89">
      <c r="A38" t="s">
        <v>57</v>
      </c>
      <c r="B38">
        <v>166</v>
      </c>
      <c r="C38">
        <v>140</v>
      </c>
      <c r="D38">
        <v>102</v>
      </c>
      <c r="E38">
        <v>5</v>
      </c>
      <c r="F38" s="4">
        <f t="shared" si="146"/>
        <v>0.62510311063700941</v>
      </c>
      <c r="G38" s="5">
        <f t="shared" si="147"/>
        <v>1527.1055724319287</v>
      </c>
      <c r="H38" s="4">
        <f t="shared" si="148"/>
        <v>0.59384795510515886</v>
      </c>
      <c r="I38" s="5">
        <f t="shared" si="149"/>
        <v>1450.7502938103323</v>
      </c>
      <c r="J38" s="4">
        <f t="shared" si="150"/>
        <v>3.1255155531850473E-2</v>
      </c>
      <c r="K38" s="5">
        <f t="shared" si="151"/>
        <v>76.35527862159644</v>
      </c>
      <c r="L38" t="s">
        <v>57</v>
      </c>
      <c r="M38">
        <v>163</v>
      </c>
      <c r="N38">
        <v>141</v>
      </c>
      <c r="O38">
        <v>102</v>
      </c>
      <c r="P38">
        <v>5</v>
      </c>
      <c r="Q38" s="4">
        <f t="shared" si="152"/>
        <v>0.61695853168257797</v>
      </c>
      <c r="R38" s="4">
        <f t="shared" si="153"/>
        <v>-8.1445789544314362E-3</v>
      </c>
      <c r="S38" s="5">
        <f t="shared" si="154"/>
        <v>1507.7819884460566</v>
      </c>
      <c r="T38" s="4">
        <f t="shared" si="155"/>
        <v>0.58611060509844903</v>
      </c>
      <c r="U38" s="5">
        <f t="shared" si="156"/>
        <v>1432.3928890237537</v>
      </c>
      <c r="V38" s="4">
        <f t="shared" si="157"/>
        <v>3.0847926584128899E-2</v>
      </c>
      <c r="W38" s="5">
        <f t="shared" si="158"/>
        <v>75.389099422302834</v>
      </c>
      <c r="X38" t="s">
        <v>57</v>
      </c>
      <c r="Y38">
        <v>181</v>
      </c>
      <c r="Z38">
        <v>138</v>
      </c>
      <c r="AA38">
        <v>109</v>
      </c>
      <c r="AB38">
        <v>10</v>
      </c>
      <c r="AC38" s="4">
        <f t="shared" si="159"/>
        <v>0.72596636442484697</v>
      </c>
      <c r="AD38" s="4">
        <f t="shared" si="160"/>
        <v>0.109007832742269</v>
      </c>
      <c r="AE38" s="5">
        <f t="shared" si="161"/>
        <v>1765.8341881188592</v>
      </c>
      <c r="AF38" s="4">
        <f t="shared" si="162"/>
        <v>0.65336972798236226</v>
      </c>
      <c r="AG38" s="5">
        <f t="shared" si="163"/>
        <v>1589.2507693069733</v>
      </c>
      <c r="AH38" s="4">
        <f t="shared" si="164"/>
        <v>7.2596636442484694E-2</v>
      </c>
      <c r="AI38" s="5">
        <f t="shared" si="165"/>
        <v>176.58341881188593</v>
      </c>
      <c r="AJ38" t="s">
        <v>57</v>
      </c>
      <c r="AK38">
        <v>175</v>
      </c>
      <c r="AL38">
        <v>134</v>
      </c>
      <c r="AM38">
        <v>112</v>
      </c>
      <c r="AN38">
        <v>5</v>
      </c>
      <c r="AO38" s="4">
        <f t="shared" si="166"/>
        <v>0.69991228570061648</v>
      </c>
      <c r="AP38" s="4">
        <f t="shared" si="167"/>
        <v>-2.6054078724230489E-2</v>
      </c>
      <c r="AQ38" s="5">
        <f t="shared" si="168"/>
        <v>1704.265890178672</v>
      </c>
      <c r="AR38" s="4">
        <f t="shared" si="169"/>
        <v>0.66491667141558564</v>
      </c>
      <c r="AS38" s="5">
        <f t="shared" si="170"/>
        <v>1619.0525956697384</v>
      </c>
      <c r="AT38" s="4">
        <f t="shared" si="171"/>
        <v>3.4995614285030827E-2</v>
      </c>
      <c r="AU38" s="5">
        <f t="shared" si="172"/>
        <v>85.2132945089336</v>
      </c>
      <c r="AV38" t="s">
        <v>57</v>
      </c>
      <c r="AW38">
        <v>133</v>
      </c>
      <c r="AX38">
        <v>166</v>
      </c>
      <c r="AY38">
        <v>114</v>
      </c>
      <c r="AZ38">
        <v>20</v>
      </c>
      <c r="BA38" s="4">
        <f t="shared" si="173"/>
        <v>0.66704612145600517</v>
      </c>
      <c r="BB38" s="4">
        <f t="shared" si="174"/>
        <v>-3.2866164244611307E-2</v>
      </c>
      <c r="BC38" s="4">
        <f t="shared" si="175"/>
        <v>5.0087589773427199E-2</v>
      </c>
      <c r="BD38" s="5">
        <f t="shared" si="176"/>
        <v>1626.5047775142784</v>
      </c>
      <c r="BE38" s="4">
        <f t="shared" si="177"/>
        <v>0.53363689716480411</v>
      </c>
      <c r="BF38" s="5">
        <f t="shared" si="178"/>
        <v>1301.2038220114227</v>
      </c>
      <c r="BG38" s="4">
        <f t="shared" si="179"/>
        <v>0.13340922429120103</v>
      </c>
      <c r="BH38" s="5">
        <f t="shared" si="180"/>
        <v>325.30095550285569</v>
      </c>
      <c r="BI38" t="s">
        <v>57</v>
      </c>
      <c r="BJ38">
        <v>190</v>
      </c>
      <c r="BK38">
        <v>144</v>
      </c>
      <c r="BL38">
        <v>117</v>
      </c>
      <c r="BM38">
        <v>15</v>
      </c>
      <c r="BN38" s="4">
        <f t="shared" si="181"/>
        <v>0.85425480578066593</v>
      </c>
      <c r="BO38" s="5">
        <f t="shared" si="182"/>
        <v>2068.0993361017504</v>
      </c>
      <c r="BP38" s="4">
        <f t="shared" si="183"/>
        <v>0.72611658491356601</v>
      </c>
      <c r="BQ38" s="5">
        <f t="shared" si="184"/>
        <v>1757.8844356864877</v>
      </c>
      <c r="BR38" s="4">
        <f t="shared" si="185"/>
        <v>0.12813822086709989</v>
      </c>
      <c r="BS38" s="5">
        <f t="shared" si="186"/>
        <v>310.21490041526255</v>
      </c>
      <c r="BT38" t="s">
        <v>57</v>
      </c>
      <c r="BU38">
        <v>160</v>
      </c>
      <c r="BV38">
        <v>140</v>
      </c>
      <c r="BW38">
        <v>117</v>
      </c>
      <c r="BX38">
        <v>15</v>
      </c>
      <c r="BY38" s="4">
        <f t="shared" si="187"/>
        <v>0.68918688838126096</v>
      </c>
      <c r="BZ38" s="5">
        <f t="shared" si="188"/>
        <v>1678.9015625854772</v>
      </c>
      <c r="CA38" t="s">
        <v>57</v>
      </c>
      <c r="CB38">
        <v>167</v>
      </c>
      <c r="CC38">
        <v>148</v>
      </c>
      <c r="CD38">
        <v>108</v>
      </c>
      <c r="CE38">
        <v>10</v>
      </c>
      <c r="CF38" s="4">
        <f t="shared" si="189"/>
        <v>0.70138019486800629</v>
      </c>
      <c r="CG38" s="5">
        <f t="shared" si="190"/>
        <v>1707.7364453274699</v>
      </c>
      <c r="CH38" s="4">
        <f t="shared" si="191"/>
        <v>0.63124217538120564</v>
      </c>
      <c r="CI38" s="5">
        <f t="shared" si="192"/>
        <v>1536.9628007947231</v>
      </c>
      <c r="CJ38" s="4">
        <f t="shared" si="193"/>
        <v>7.0138019486800637E-2</v>
      </c>
      <c r="CK38" s="5">
        <f t="shared" si="194"/>
        <v>170.773644532747</v>
      </c>
    </row>
    <row r="39" spans="1:89">
      <c r="A39" t="s">
        <v>58</v>
      </c>
      <c r="B39">
        <v>164</v>
      </c>
      <c r="C39">
        <v>160</v>
      </c>
      <c r="D39">
        <v>122</v>
      </c>
      <c r="E39">
        <v>10</v>
      </c>
      <c r="F39" s="4">
        <f t="shared" si="146"/>
        <v>0.83822090227490709</v>
      </c>
      <c r="G39" s="5">
        <f t="shared" si="147"/>
        <v>2030.3975948613215</v>
      </c>
      <c r="H39" s="4">
        <f t="shared" si="148"/>
        <v>0.75439881204741643</v>
      </c>
      <c r="I39" s="5">
        <f t="shared" si="149"/>
        <v>1827.3578353751893</v>
      </c>
      <c r="J39" s="4">
        <f t="shared" si="150"/>
        <v>8.3822090227490709E-2</v>
      </c>
      <c r="K39" s="5">
        <f t="shared" si="151"/>
        <v>203.03975948613217</v>
      </c>
      <c r="L39" t="s">
        <v>58</v>
      </c>
      <c r="M39">
        <v>157</v>
      </c>
      <c r="N39">
        <v>149</v>
      </c>
      <c r="O39">
        <v>108</v>
      </c>
      <c r="P39">
        <v>10</v>
      </c>
      <c r="Q39" s="4">
        <f t="shared" si="152"/>
        <v>0.6618738818509512</v>
      </c>
      <c r="R39" s="4">
        <f t="shared" si="153"/>
        <v>-0.17634702042395589</v>
      </c>
      <c r="S39" s="5">
        <f t="shared" si="154"/>
        <v>1614.2573098463333</v>
      </c>
      <c r="T39" s="4">
        <f t="shared" si="155"/>
        <v>0.59568649366585613</v>
      </c>
      <c r="U39" s="5">
        <f t="shared" si="156"/>
        <v>1452.8315788617001</v>
      </c>
      <c r="V39" s="4">
        <f t="shared" si="157"/>
        <v>6.618738818509512E-2</v>
      </c>
      <c r="W39" s="5">
        <f t="shared" si="158"/>
        <v>161.42573098463333</v>
      </c>
      <c r="X39" t="s">
        <v>58</v>
      </c>
      <c r="Y39">
        <v>174</v>
      </c>
      <c r="Z39">
        <v>125</v>
      </c>
      <c r="AA39">
        <v>123</v>
      </c>
      <c r="AB39">
        <v>25</v>
      </c>
      <c r="AC39" s="4">
        <f t="shared" si="159"/>
        <v>0.71970765736042663</v>
      </c>
      <c r="AD39" s="4">
        <f t="shared" si="160"/>
        <v>5.7833775509475438E-2</v>
      </c>
      <c r="AE39" s="5">
        <f t="shared" si="161"/>
        <v>1751.0501959294816</v>
      </c>
      <c r="AF39" s="4">
        <f t="shared" si="162"/>
        <v>0.53978074302031998</v>
      </c>
      <c r="AG39" s="5">
        <f t="shared" si="163"/>
        <v>1313.2876469471112</v>
      </c>
      <c r="AH39" s="4">
        <f t="shared" si="164"/>
        <v>0.17992691434010666</v>
      </c>
      <c r="AI39" s="5">
        <f t="shared" si="165"/>
        <v>437.76254898237039</v>
      </c>
      <c r="AJ39" t="s">
        <v>58</v>
      </c>
      <c r="AK39">
        <v>166</v>
      </c>
      <c r="AL39">
        <v>154</v>
      </c>
      <c r="AM39">
        <v>117</v>
      </c>
      <c r="AN39">
        <v>15</v>
      </c>
      <c r="AO39" s="4">
        <f t="shared" si="166"/>
        <v>0.78414152633601242</v>
      </c>
      <c r="AP39" s="4">
        <f t="shared" si="167"/>
        <v>6.4433868975585784E-2</v>
      </c>
      <c r="AQ39" s="5">
        <f t="shared" si="168"/>
        <v>1903.0798658564163</v>
      </c>
      <c r="AR39" s="4">
        <f t="shared" si="169"/>
        <v>0.66652029738561058</v>
      </c>
      <c r="AS39" s="5">
        <f t="shared" si="170"/>
        <v>1617.6178859779538</v>
      </c>
      <c r="AT39" s="4">
        <f t="shared" si="171"/>
        <v>0.11762122895040186</v>
      </c>
      <c r="AU39" s="5">
        <f t="shared" si="172"/>
        <v>285.46197987846244</v>
      </c>
      <c r="AV39" t="s">
        <v>58</v>
      </c>
      <c r="AW39">
        <v>190</v>
      </c>
      <c r="AX39">
        <v>167</v>
      </c>
      <c r="AY39">
        <v>131</v>
      </c>
      <c r="AZ39">
        <v>30</v>
      </c>
      <c r="BA39" s="4">
        <f t="shared" si="173"/>
        <v>1.0927387982513519</v>
      </c>
      <c r="BB39" s="4">
        <f t="shared" si="174"/>
        <v>0.30859727191533948</v>
      </c>
      <c r="BC39" s="4">
        <f t="shared" si="175"/>
        <v>0.4308649164004007</v>
      </c>
      <c r="BD39" s="5">
        <f t="shared" si="176"/>
        <v>2626.632954013819</v>
      </c>
      <c r="BE39" s="4">
        <f t="shared" si="177"/>
        <v>0.76491715877594624</v>
      </c>
      <c r="BF39" s="5">
        <f t="shared" si="178"/>
        <v>1838.6430678096731</v>
      </c>
      <c r="BG39" s="4">
        <f t="shared" si="179"/>
        <v>0.32782163947540555</v>
      </c>
      <c r="BH39" s="5">
        <f t="shared" si="180"/>
        <v>787.98988620414571</v>
      </c>
      <c r="BI39" t="s">
        <v>58</v>
      </c>
      <c r="BJ39">
        <v>188</v>
      </c>
      <c r="BK39">
        <v>193</v>
      </c>
      <c r="BL39">
        <v>110</v>
      </c>
      <c r="BM39">
        <v>20</v>
      </c>
      <c r="BN39" s="4">
        <f t="shared" si="181"/>
        <v>1.0450841756385891</v>
      </c>
      <c r="BO39" s="5">
        <f t="shared" si="182"/>
        <v>2515.3352955836203</v>
      </c>
      <c r="BP39" s="4">
        <f t="shared" si="183"/>
        <v>0.83606734051087139</v>
      </c>
      <c r="BQ39" s="5">
        <f t="shared" si="184"/>
        <v>2012.2682364668963</v>
      </c>
      <c r="BR39" s="4">
        <f t="shared" si="185"/>
        <v>0.20901683512771785</v>
      </c>
      <c r="BS39" s="5">
        <f t="shared" si="186"/>
        <v>503.06705911672407</v>
      </c>
      <c r="BT39" t="s">
        <v>58</v>
      </c>
      <c r="BU39">
        <v>184</v>
      </c>
      <c r="BV39">
        <v>144</v>
      </c>
      <c r="BW39">
        <v>96</v>
      </c>
      <c r="BX39">
        <v>20</v>
      </c>
      <c r="BY39" s="4">
        <f t="shared" si="187"/>
        <v>0.67597020808760855</v>
      </c>
      <c r="BZ39" s="5">
        <f t="shared" si="188"/>
        <v>1647.6298698189332</v>
      </c>
      <c r="CA39" t="s">
        <v>58</v>
      </c>
      <c r="CB39">
        <v>184</v>
      </c>
      <c r="CC39">
        <v>170</v>
      </c>
      <c r="CD39">
        <v>95</v>
      </c>
      <c r="CE39">
        <v>30</v>
      </c>
      <c r="CF39" s="4">
        <f t="shared" si="189"/>
        <v>0.77918173693415738</v>
      </c>
      <c r="CG39" s="5">
        <f t="shared" si="190"/>
        <v>1891.3906617259213</v>
      </c>
      <c r="CH39" s="4">
        <f t="shared" si="191"/>
        <v>0.54542721585391007</v>
      </c>
      <c r="CI39" s="5">
        <f t="shared" si="192"/>
        <v>1323.9734632081447</v>
      </c>
      <c r="CJ39" s="4">
        <f t="shared" si="193"/>
        <v>0.23375452108024719</v>
      </c>
      <c r="CK39" s="5">
        <f t="shared" si="194"/>
        <v>567.41719851777634</v>
      </c>
    </row>
    <row r="40" spans="1:89">
      <c r="A40" t="s">
        <v>59</v>
      </c>
      <c r="B40">
        <v>235</v>
      </c>
      <c r="C40">
        <v>198</v>
      </c>
      <c r="D40">
        <v>102</v>
      </c>
      <c r="E40">
        <v>15</v>
      </c>
      <c r="F40" s="4">
        <f t="shared" si="146"/>
        <v>1.2516548881864054</v>
      </c>
      <c r="G40" s="5">
        <f t="shared" si="147"/>
        <v>2996.7985258168974</v>
      </c>
      <c r="H40" s="4">
        <f t="shared" si="148"/>
        <v>1.0639066549584446</v>
      </c>
      <c r="I40" s="5">
        <f t="shared" si="149"/>
        <v>2547.2787469443629</v>
      </c>
      <c r="J40" s="4">
        <f t="shared" si="150"/>
        <v>0.1877482332279608</v>
      </c>
      <c r="K40" s="5">
        <f t="shared" si="151"/>
        <v>449.51977887253457</v>
      </c>
      <c r="L40" t="s">
        <v>59</v>
      </c>
      <c r="M40">
        <v>201</v>
      </c>
      <c r="N40">
        <v>220</v>
      </c>
      <c r="O40">
        <v>104</v>
      </c>
      <c r="P40">
        <v>30</v>
      </c>
      <c r="Q40" s="4">
        <f t="shared" si="152"/>
        <v>1.2064412176156352</v>
      </c>
      <c r="R40" s="4">
        <f t="shared" si="153"/>
        <v>-4.5213670570770192E-2</v>
      </c>
      <c r="S40" s="5">
        <f t="shared" si="154"/>
        <v>2891.6284397258378</v>
      </c>
      <c r="T40" s="4">
        <f t="shared" si="155"/>
        <v>0.84450885233094453</v>
      </c>
      <c r="U40" s="5">
        <f t="shared" si="156"/>
        <v>2024.1399078080863</v>
      </c>
      <c r="V40" s="4">
        <f t="shared" si="157"/>
        <v>0.36193236528469053</v>
      </c>
      <c r="W40" s="5">
        <f t="shared" si="158"/>
        <v>867.48853191775129</v>
      </c>
      <c r="X40" t="s">
        <v>59</v>
      </c>
      <c r="Y40">
        <v>172</v>
      </c>
      <c r="Z40">
        <v>204</v>
      </c>
      <c r="AA40">
        <v>106</v>
      </c>
      <c r="AB40">
        <v>30</v>
      </c>
      <c r="AC40" s="4">
        <f t="shared" si="159"/>
        <v>0.98082198161155265</v>
      </c>
      <c r="AD40" s="4">
        <f t="shared" si="160"/>
        <v>-0.22561923600408251</v>
      </c>
      <c r="AE40" s="5">
        <f t="shared" si="161"/>
        <v>2365.015954842167</v>
      </c>
      <c r="AF40" s="4">
        <f t="shared" si="162"/>
        <v>0.68657538712808686</v>
      </c>
      <c r="AG40" s="5">
        <f t="shared" si="163"/>
        <v>1655.5111683895168</v>
      </c>
      <c r="AH40" s="4">
        <f t="shared" si="164"/>
        <v>0.2942465944834658</v>
      </c>
      <c r="AI40" s="5">
        <f t="shared" si="165"/>
        <v>709.50478645265014</v>
      </c>
      <c r="AJ40" t="s">
        <v>59</v>
      </c>
      <c r="AK40">
        <v>170</v>
      </c>
      <c r="AL40">
        <v>185</v>
      </c>
      <c r="AM40">
        <v>107</v>
      </c>
      <c r="AN40">
        <v>35</v>
      </c>
      <c r="AO40" s="4">
        <f t="shared" si="166"/>
        <v>0.88256991491762382</v>
      </c>
      <c r="AP40" s="4">
        <f t="shared" si="167"/>
        <v>-9.825206669392883E-2</v>
      </c>
      <c r="AQ40" s="5">
        <f t="shared" si="168"/>
        <v>2134.6289480077949</v>
      </c>
      <c r="AR40" s="4">
        <f t="shared" si="169"/>
        <v>0.57367044469645545</v>
      </c>
      <c r="AS40" s="5">
        <f t="shared" si="170"/>
        <v>1387.5088162050668</v>
      </c>
      <c r="AT40" s="4">
        <f t="shared" si="171"/>
        <v>0.30889947022116837</v>
      </c>
      <c r="AU40" s="5">
        <f t="shared" si="172"/>
        <v>747.12013180272822</v>
      </c>
      <c r="AV40" t="s">
        <v>59</v>
      </c>
      <c r="AW40">
        <v>212</v>
      </c>
      <c r="AX40">
        <v>186</v>
      </c>
      <c r="AY40">
        <v>114</v>
      </c>
      <c r="AZ40">
        <v>40</v>
      </c>
      <c r="BA40" s="4">
        <f t="shared" si="173"/>
        <v>1.1818970014106891</v>
      </c>
      <c r="BB40" s="4">
        <f t="shared" si="174"/>
        <v>0.29932708649306528</v>
      </c>
      <c r="BC40" s="4">
        <f t="shared" si="175"/>
        <v>-2.4544216204946068E-2</v>
      </c>
      <c r="BD40" s="5">
        <f t="shared" si="176"/>
        <v>2834.4892974579452</v>
      </c>
      <c r="BE40" s="4">
        <f t="shared" si="177"/>
        <v>0.70913820084641344</v>
      </c>
      <c r="BF40" s="5">
        <f t="shared" si="178"/>
        <v>1700.693578474767</v>
      </c>
      <c r="BG40" s="4">
        <f t="shared" si="179"/>
        <v>0.47275880056427566</v>
      </c>
      <c r="BH40" s="5">
        <f t="shared" si="180"/>
        <v>1133.7957189831782</v>
      </c>
      <c r="BI40" t="s">
        <v>59</v>
      </c>
      <c r="BJ40">
        <v>199</v>
      </c>
      <c r="BK40">
        <v>206</v>
      </c>
      <c r="BL40">
        <v>109</v>
      </c>
      <c r="BM40">
        <v>20</v>
      </c>
      <c r="BN40" s="4">
        <f t="shared" si="181"/>
        <v>1.1701598149073369</v>
      </c>
      <c r="BO40" s="5">
        <f t="shared" si="182"/>
        <v>2807.1529067717493</v>
      </c>
      <c r="BP40" s="4">
        <f t="shared" si="183"/>
        <v>0.93612785192586956</v>
      </c>
      <c r="BQ40" s="5">
        <f t="shared" si="184"/>
        <v>2245.7223254173996</v>
      </c>
      <c r="BR40" s="4">
        <f t="shared" si="185"/>
        <v>0.23403196298146739</v>
      </c>
      <c r="BS40" s="5">
        <f t="shared" si="186"/>
        <v>561.4305813543499</v>
      </c>
      <c r="BT40" t="s">
        <v>59</v>
      </c>
      <c r="BU40">
        <v>180</v>
      </c>
      <c r="BV40">
        <v>172</v>
      </c>
      <c r="BW40">
        <v>109</v>
      </c>
      <c r="BX40">
        <v>20</v>
      </c>
      <c r="BY40" s="4">
        <f t="shared" si="187"/>
        <v>0.88393526417484336</v>
      </c>
      <c r="BZ40" s="5">
        <f t="shared" si="188"/>
        <v>2137.8354131788769</v>
      </c>
      <c r="CA40" t="s">
        <v>59</v>
      </c>
      <c r="CB40">
        <v>168</v>
      </c>
      <c r="CC40">
        <v>188</v>
      </c>
      <c r="CD40">
        <v>110</v>
      </c>
      <c r="CE40">
        <v>30</v>
      </c>
      <c r="CF40" s="4">
        <f t="shared" si="189"/>
        <v>0.9124336983331075</v>
      </c>
      <c r="CG40" s="5">
        <f t="shared" si="190"/>
        <v>2204.730338174681</v>
      </c>
      <c r="CH40" s="4">
        <f t="shared" si="191"/>
        <v>0.63870358883317524</v>
      </c>
      <c r="CI40" s="5">
        <f t="shared" si="192"/>
        <v>1543.3112367222766</v>
      </c>
      <c r="CJ40" s="4">
        <f t="shared" si="193"/>
        <v>0.27373010949993226</v>
      </c>
      <c r="CK40" s="5">
        <f t="shared" si="194"/>
        <v>661.41910145240433</v>
      </c>
    </row>
    <row r="41" spans="1:89" ht="23">
      <c r="B41" s="6">
        <f>AVERAGE(B31:B40)</f>
        <v>173.2</v>
      </c>
      <c r="C41" s="6">
        <f>AVERAGE(C31:C40)</f>
        <v>157.4</v>
      </c>
      <c r="D41" s="6">
        <f>AVERAGE(D31:D40)</f>
        <v>112.7</v>
      </c>
      <c r="E41" s="7">
        <f>AVERAGE(E31:E40)</f>
        <v>16.5</v>
      </c>
      <c r="F41" s="6">
        <f t="shared" ref="F41:K41" si="195">AVERAGE(F31:F40)</f>
        <v>0.86001356109919092</v>
      </c>
      <c r="G41" s="7">
        <f t="shared" si="195"/>
        <v>2075.2412777165396</v>
      </c>
      <c r="H41" s="6">
        <f t="shared" si="195"/>
        <v>0.72933554648573362</v>
      </c>
      <c r="I41" s="7">
        <f t="shared" si="195"/>
        <v>1759.4353067862401</v>
      </c>
      <c r="J41" s="6">
        <f t="shared" si="195"/>
        <v>0.13067801461345729</v>
      </c>
      <c r="K41" s="7">
        <f t="shared" si="195"/>
        <v>315.80597093029968</v>
      </c>
      <c r="M41" s="6">
        <f>AVERAGE(M31:M40)</f>
        <v>165.6</v>
      </c>
      <c r="N41" s="6">
        <f>AVERAGE(N31:N40)</f>
        <v>155.30000000000001</v>
      </c>
      <c r="O41" s="6">
        <f>AVERAGE(O31:O40)</f>
        <v>110.9</v>
      </c>
      <c r="P41" s="7">
        <f>AVERAGE(P31:P40)</f>
        <v>21.5</v>
      </c>
      <c r="Q41" s="6">
        <f t="shared" ref="Q41:W41" si="196">AVERAGE(Q31:Q40)</f>
        <v>0.78785993503575535</v>
      </c>
      <c r="R41" s="6">
        <f t="shared" si="196"/>
        <v>-7.215362606343563E-2</v>
      </c>
      <c r="S41" s="7">
        <f t="shared" si="196"/>
        <v>1907.4940322991406</v>
      </c>
      <c r="T41" s="6">
        <f t="shared" si="196"/>
        <v>0.6263989482297776</v>
      </c>
      <c r="U41" s="7">
        <f t="shared" si="196"/>
        <v>1516.2759288390803</v>
      </c>
      <c r="V41" s="6">
        <f t="shared" si="196"/>
        <v>0.16146098680597784</v>
      </c>
      <c r="W41" s="7">
        <f t="shared" si="196"/>
        <v>391.21810346006015</v>
      </c>
      <c r="Y41" s="6">
        <f t="shared" ref="Y41:AI41" si="197">AVERAGE(Y31:Y40)</f>
        <v>176.4</v>
      </c>
      <c r="Z41" s="6">
        <f t="shared" si="197"/>
        <v>144.1</v>
      </c>
      <c r="AA41" s="6">
        <f t="shared" si="197"/>
        <v>114.4</v>
      </c>
      <c r="AB41" s="6">
        <f t="shared" si="197"/>
        <v>24</v>
      </c>
      <c r="AC41" s="6">
        <f t="shared" si="197"/>
        <v>0.83721291572701806</v>
      </c>
      <c r="AD41" s="6">
        <f t="shared" si="197"/>
        <v>4.9352980691262739E-2</v>
      </c>
      <c r="AE41" s="6">
        <f t="shared" si="197"/>
        <v>2020.1616536809154</v>
      </c>
      <c r="AF41" s="6">
        <f t="shared" si="197"/>
        <v>0.65615230793597978</v>
      </c>
      <c r="AG41" s="6">
        <f t="shared" si="197"/>
        <v>1581.848218658555</v>
      </c>
      <c r="AH41" s="6">
        <f t="shared" si="197"/>
        <v>0.18106060779103822</v>
      </c>
      <c r="AI41" s="6">
        <f t="shared" si="197"/>
        <v>438.31343502236041</v>
      </c>
      <c r="AK41" s="6">
        <f t="shared" ref="AK41:AU41" si="198">AVERAGE(AK31:AK40)</f>
        <v>170.8</v>
      </c>
      <c r="AL41" s="6">
        <f t="shared" si="198"/>
        <v>147.6</v>
      </c>
      <c r="AM41" s="6">
        <f t="shared" si="198"/>
        <v>116.7</v>
      </c>
      <c r="AN41" s="6">
        <f t="shared" si="198"/>
        <v>21</v>
      </c>
      <c r="AO41" s="6">
        <f t="shared" si="198"/>
        <v>0.81406024180804104</v>
      </c>
      <c r="AP41" s="6">
        <f t="shared" si="198"/>
        <v>-2.3152673918977056E-2</v>
      </c>
      <c r="AQ41" s="6">
        <f t="shared" si="198"/>
        <v>1969.0860202977758</v>
      </c>
      <c r="AR41" s="6">
        <f t="shared" si="198"/>
        <v>0.65336164590801171</v>
      </c>
      <c r="AS41" s="6">
        <f t="shared" si="198"/>
        <v>1579.6281441515137</v>
      </c>
      <c r="AT41" s="6">
        <f t="shared" si="198"/>
        <v>0.16069859590002941</v>
      </c>
      <c r="AU41" s="6">
        <f t="shared" si="198"/>
        <v>389.45787614626221</v>
      </c>
      <c r="AW41" s="6">
        <f t="shared" ref="AW41:BH41" si="199">AVERAGE(AW31:AW40)</f>
        <v>179.6</v>
      </c>
      <c r="AX41" s="6">
        <f t="shared" si="199"/>
        <v>167</v>
      </c>
      <c r="AY41" s="6">
        <f t="shared" si="199"/>
        <v>119.6</v>
      </c>
      <c r="AZ41" s="7">
        <f t="shared" si="199"/>
        <v>33</v>
      </c>
      <c r="BA41" s="6">
        <f t="shared" si="199"/>
        <v>0.99229496671772266</v>
      </c>
      <c r="BB41" s="6">
        <f t="shared" si="199"/>
        <v>0.17823472490968159</v>
      </c>
      <c r="BC41" s="6">
        <f t="shared" si="199"/>
        <v>0.20443503168196728</v>
      </c>
      <c r="BD41" s="7">
        <f t="shared" si="199"/>
        <v>2386.3972992061636</v>
      </c>
      <c r="BE41" s="6">
        <f t="shared" si="199"/>
        <v>0.65275989510641685</v>
      </c>
      <c r="BF41" s="7">
        <f t="shared" si="199"/>
        <v>1570.2521516295196</v>
      </c>
      <c r="BG41" s="6">
        <f t="shared" si="199"/>
        <v>0.33953507161130586</v>
      </c>
      <c r="BH41" s="7">
        <f t="shared" si="199"/>
        <v>816.14514757664438</v>
      </c>
      <c r="BJ41" s="6">
        <f t="shared" ref="BJ41:BS41" si="200">AVERAGE(BJ31:BJ40)</f>
        <v>194.6</v>
      </c>
      <c r="BK41" s="6">
        <f t="shared" si="200"/>
        <v>167</v>
      </c>
      <c r="BL41" s="6">
        <f t="shared" si="200"/>
        <v>110.2</v>
      </c>
      <c r="BM41" s="7">
        <f t="shared" si="200"/>
        <v>19</v>
      </c>
      <c r="BN41" s="6">
        <f t="shared" si="200"/>
        <v>0.99330832669804625</v>
      </c>
      <c r="BO41" s="7">
        <f t="shared" si="200"/>
        <v>2388.6170595177405</v>
      </c>
      <c r="BP41" s="6">
        <f t="shared" si="200"/>
        <v>0.79772076900208622</v>
      </c>
      <c r="BQ41" s="7">
        <f t="shared" si="200"/>
        <v>1918.6661059343842</v>
      </c>
      <c r="BR41" s="6">
        <f t="shared" si="200"/>
        <v>0.19558755769596017</v>
      </c>
      <c r="BS41" s="7">
        <f t="shared" si="200"/>
        <v>469.95095358335647</v>
      </c>
      <c r="BU41" s="6">
        <f t="shared" ref="BU41:BZ41" si="201">AVERAGE(BU31:BU40)</f>
        <v>172.5</v>
      </c>
      <c r="BV41" s="6">
        <f t="shared" si="201"/>
        <v>144.4</v>
      </c>
      <c r="BW41" s="6">
        <f t="shared" si="201"/>
        <v>106.8</v>
      </c>
      <c r="BX41" s="6">
        <f t="shared" si="201"/>
        <v>19</v>
      </c>
      <c r="BY41" s="6">
        <f t="shared" si="201"/>
        <v>0.72881875383971972</v>
      </c>
      <c r="BZ41" s="6">
        <f t="shared" si="201"/>
        <v>1768.9975286659039</v>
      </c>
      <c r="CB41" s="6">
        <f t="shared" ref="CB41:CK41" si="202">AVERAGE(CB31:CB40)</f>
        <v>182</v>
      </c>
      <c r="CC41" s="6">
        <f t="shared" si="202"/>
        <v>163.80000000000001</v>
      </c>
      <c r="CD41" s="6">
        <f t="shared" si="202"/>
        <v>107.3</v>
      </c>
      <c r="CE41" s="7">
        <f t="shared" si="202"/>
        <v>24</v>
      </c>
      <c r="CF41" s="6">
        <f t="shared" si="202"/>
        <v>0.86951814860333099</v>
      </c>
      <c r="CG41" s="7">
        <f t="shared" si="202"/>
        <v>2100.1907268304576</v>
      </c>
      <c r="CH41" s="6">
        <f t="shared" si="202"/>
        <v>0.65335871080962515</v>
      </c>
      <c r="CI41" s="7">
        <f t="shared" si="202"/>
        <v>1578.6254452450962</v>
      </c>
      <c r="CJ41" s="6">
        <f t="shared" si="202"/>
        <v>0.21615943779370578</v>
      </c>
      <c r="CK41" s="7">
        <f t="shared" si="202"/>
        <v>521.5652815853615</v>
      </c>
    </row>
    <row r="42" spans="1:89" ht="18">
      <c r="B42" s="6">
        <f>STDEV(B31:B40)</f>
        <v>35.231929962590556</v>
      </c>
      <c r="C42" s="6">
        <f>STDEV(C31:C40)</f>
        <v>33.317329491489019</v>
      </c>
      <c r="D42" s="6">
        <f>STDEV(D31:D40)</f>
        <v>19.247222021776448</v>
      </c>
      <c r="E42" s="6">
        <f>STDEV(E31:E40)</f>
        <v>8.5146931829632013</v>
      </c>
      <c r="F42" s="6">
        <f t="shared" ref="F42:K42" si="203">STDEV(F31:F40)</f>
        <v>0.44477229296997384</v>
      </c>
      <c r="G42" s="6">
        <f t="shared" si="203"/>
        <v>1039.6679195261695</v>
      </c>
      <c r="H42" s="6">
        <f t="shared" si="203"/>
        <v>0.38929889022626718</v>
      </c>
      <c r="I42" s="6">
        <f t="shared" si="203"/>
        <v>912.30543114573038</v>
      </c>
      <c r="J42" s="6">
        <f t="shared" si="203"/>
        <v>7.3885588545537187E-2</v>
      </c>
      <c r="K42" s="6">
        <f t="shared" si="203"/>
        <v>174.33416405267593</v>
      </c>
      <c r="M42" s="6">
        <f>STDEV(M31:M40)</f>
        <v>23.810361890012</v>
      </c>
      <c r="N42" s="6">
        <f>STDEV(N31:N40)</f>
        <v>31.598347354815193</v>
      </c>
      <c r="O42" s="6">
        <f>STDEV(O31:O40)</f>
        <v>19.040599897178758</v>
      </c>
      <c r="P42" s="6">
        <f>STDEV(P31:P40)</f>
        <v>14.729034063523802</v>
      </c>
      <c r="Q42" s="6">
        <f t="shared" ref="Q42:W42" si="204">STDEV(Q31:Q40)</f>
        <v>0.32857858057061429</v>
      </c>
      <c r="R42" s="6">
        <f t="shared" si="204"/>
        <v>0.16893052281637483</v>
      </c>
      <c r="S42" s="6">
        <f t="shared" si="204"/>
        <v>774.2679676311102</v>
      </c>
      <c r="T42" s="6">
        <f t="shared" si="204"/>
        <v>0.29532453046840196</v>
      </c>
      <c r="U42" s="6">
        <f t="shared" si="204"/>
        <v>699.0261934935121</v>
      </c>
      <c r="V42" s="6">
        <f t="shared" si="204"/>
        <v>0.12685860166816523</v>
      </c>
      <c r="W42" s="6">
        <f t="shared" si="204"/>
        <v>305.12258766643379</v>
      </c>
      <c r="Y42" s="6">
        <f>STDEV(Y31:Y40)</f>
        <v>29.511579648221744</v>
      </c>
      <c r="Z42" s="6">
        <f>STDEV(Z31:Z40)</f>
        <v>39.014100015250889</v>
      </c>
      <c r="AA42" s="6">
        <f>STDEV(AA31:AA40)</f>
        <v>22.242102218790166</v>
      </c>
      <c r="AB42" s="6">
        <f>STDEV(AB31:AB40)</f>
        <v>15.420044674960502</v>
      </c>
      <c r="AC42" s="6">
        <f t="shared" ref="AC42:AI42" si="205">STDEV(AC31:AC40)</f>
        <v>0.49132753360270193</v>
      </c>
      <c r="AD42" s="6">
        <f t="shared" si="205"/>
        <v>0.27260728902776843</v>
      </c>
      <c r="AE42" s="6">
        <f t="shared" si="205"/>
        <v>1148.1193496249107</v>
      </c>
      <c r="AF42" s="6">
        <f t="shared" si="205"/>
        <v>0.43837851875591605</v>
      </c>
      <c r="AG42" s="6">
        <f t="shared" si="205"/>
        <v>1027.9554889787014</v>
      </c>
      <c r="AH42" s="6">
        <f t="shared" si="205"/>
        <v>9.3118043884899179E-2</v>
      </c>
      <c r="AI42" s="6">
        <f t="shared" si="205"/>
        <v>222.68207490208144</v>
      </c>
      <c r="AK42" s="6">
        <f>STDEV(AK31:AK40)</f>
        <v>21.806217258183697</v>
      </c>
      <c r="AL42" s="6">
        <f>STDEV(AL31:AL40)</f>
        <v>29.334090899308407</v>
      </c>
      <c r="AM42" s="6">
        <f>STDEV(AM31:AM40)</f>
        <v>17.714087300476123</v>
      </c>
      <c r="AN42" s="6">
        <f>STDEV(AN31:AN40)</f>
        <v>14.491376746189438</v>
      </c>
      <c r="AO42" s="6">
        <f t="shared" ref="AO42:AU42" si="206">STDEV(AO31:AO40)</f>
        <v>0.35706171215629945</v>
      </c>
      <c r="AP42" s="6">
        <f t="shared" si="206"/>
        <v>0.14746977714581444</v>
      </c>
      <c r="AQ42" s="6">
        <f t="shared" si="206"/>
        <v>837.07296034008459</v>
      </c>
      <c r="AR42" s="6">
        <f t="shared" si="206"/>
        <v>0.32872150607709366</v>
      </c>
      <c r="AS42" s="6">
        <f t="shared" si="206"/>
        <v>774.42631798461514</v>
      </c>
      <c r="AT42" s="6">
        <f t="shared" si="206"/>
        <v>9.3032313863759264E-2</v>
      </c>
      <c r="AU42" s="6">
        <f t="shared" si="206"/>
        <v>224.81287946118277</v>
      </c>
      <c r="AW42" s="6">
        <f t="shared" ref="AW42:BH42" si="207">STDEV(AW31:AW40)</f>
        <v>27.297537536480434</v>
      </c>
      <c r="AX42" s="6">
        <f t="shared" si="207"/>
        <v>32.887011958454899</v>
      </c>
      <c r="AY42" s="6">
        <f t="shared" si="207"/>
        <v>16.984960667864033</v>
      </c>
      <c r="AZ42" s="6">
        <f t="shared" si="207"/>
        <v>11.352924243950934</v>
      </c>
      <c r="BA42" s="6">
        <f t="shared" si="207"/>
        <v>0.43122924963849962</v>
      </c>
      <c r="BB42" s="6">
        <f t="shared" si="207"/>
        <v>0.17456123749020039</v>
      </c>
      <c r="BC42" s="6">
        <f t="shared" si="207"/>
        <v>0.18130460765906539</v>
      </c>
      <c r="BD42" s="6">
        <f t="shared" si="207"/>
        <v>1006.2635241642303</v>
      </c>
      <c r="BE42" s="6">
        <f t="shared" si="207"/>
        <v>0.30018078366615297</v>
      </c>
      <c r="BF42" s="6">
        <f t="shared" si="207"/>
        <v>700.4178119424945</v>
      </c>
      <c r="BG42" s="6">
        <f t="shared" si="207"/>
        <v>0.18012477674979999</v>
      </c>
      <c r="BH42" s="6">
        <f t="shared" si="207"/>
        <v>427.20650674707383</v>
      </c>
      <c r="BJ42" s="6">
        <f t="shared" ref="BJ42:BS42" si="208">STDEV(BJ31:BJ40)</f>
        <v>23.176616568333657</v>
      </c>
      <c r="BK42" s="6">
        <f t="shared" si="208"/>
        <v>37.330357024217648</v>
      </c>
      <c r="BL42" s="6">
        <f t="shared" si="208"/>
        <v>15.061355996205823</v>
      </c>
      <c r="BM42" s="6">
        <f t="shared" si="208"/>
        <v>5.676462121975467</v>
      </c>
      <c r="BN42" s="6">
        <f t="shared" si="208"/>
        <v>0.44621678295649952</v>
      </c>
      <c r="BO42" s="6">
        <f t="shared" si="208"/>
        <v>1039.5952377832875</v>
      </c>
      <c r="BP42" s="6">
        <f t="shared" si="208"/>
        <v>0.34954882048959657</v>
      </c>
      <c r="BQ42" s="6">
        <f t="shared" si="208"/>
        <v>813.54228682269786</v>
      </c>
      <c r="BR42" s="6">
        <f t="shared" si="208"/>
        <v>0.10895897704570023</v>
      </c>
      <c r="BS42" s="6">
        <f t="shared" si="208"/>
        <v>256.66434680982002</v>
      </c>
      <c r="BU42" s="6">
        <f t="shared" ref="BU42:BZ42" si="209">STDEV(BU31:BU40)</f>
        <v>25.795133046543661</v>
      </c>
      <c r="BV42" s="6">
        <f t="shared" si="209"/>
        <v>28.613128299979895</v>
      </c>
      <c r="BW42" s="6">
        <f t="shared" si="209"/>
        <v>13.742068419435448</v>
      </c>
      <c r="BX42" s="6">
        <f t="shared" si="209"/>
        <v>5.676462121975467</v>
      </c>
      <c r="BY42" s="6">
        <f t="shared" si="209"/>
        <v>0.31461184110671614</v>
      </c>
      <c r="BZ42" s="6">
        <f t="shared" si="209"/>
        <v>737.51918509876305</v>
      </c>
      <c r="CB42" s="6">
        <f>STDEV(CB31:CB40)</f>
        <v>25.192591503588243</v>
      </c>
      <c r="CC42" s="6">
        <f>STDEV(CC31:CC40)</f>
        <v>33.766518591317272</v>
      </c>
      <c r="CD42" s="6">
        <f>STDEV(CD31:CD40)</f>
        <v>10.965096138809423</v>
      </c>
      <c r="CE42" s="6">
        <f t="shared" ref="CE42:CK42" si="210">STDEV(CE31:CE40)</f>
        <v>12.649110640673518</v>
      </c>
      <c r="CF42" s="6">
        <f t="shared" si="210"/>
        <v>0.34078320347755897</v>
      </c>
      <c r="CG42" s="6">
        <f t="shared" si="210"/>
        <v>797.4720695443699</v>
      </c>
      <c r="CH42" s="6">
        <f t="shared" si="210"/>
        <v>0.25005466387149189</v>
      </c>
      <c r="CI42" s="6">
        <f t="shared" si="210"/>
        <v>587.30140222257057</v>
      </c>
      <c r="CJ42" s="6">
        <f t="shared" si="210"/>
        <v>0.14952044612640625</v>
      </c>
      <c r="CK42" s="6">
        <f t="shared" si="210"/>
        <v>355.72455433410784</v>
      </c>
    </row>
    <row r="43" spans="1:89" ht="18">
      <c r="B43" s="6">
        <f>CONFIDENCE(0.05,B42,10)</f>
        <v>21.836575169315857</v>
      </c>
      <c r="C43" s="6">
        <f>CONFIDENCE(0.05,C42,10)</f>
        <v>20.649915308479152</v>
      </c>
      <c r="D43" s="6">
        <f>CONFIDENCE(0.05,D42,10)</f>
        <v>11.92933259476</v>
      </c>
      <c r="E43" s="6">
        <f>CONFIDENCE(0.05,E42,10)</f>
        <v>5.2773645363981059</v>
      </c>
      <c r="F43" s="6">
        <f t="shared" ref="F43:K43" si="211">CONFIDENCE(0.05,F42,10)</f>
        <v>0.27566765768949875</v>
      </c>
      <c r="G43" s="6">
        <f t="shared" si="211"/>
        <v>644.3810117687384</v>
      </c>
      <c r="H43" s="6">
        <f t="shared" si="211"/>
        <v>0.24128551824391917</v>
      </c>
      <c r="I43" s="6">
        <f t="shared" si="211"/>
        <v>565.44237416859482</v>
      </c>
      <c r="J43" s="6">
        <f t="shared" si="211"/>
        <v>4.5793920739422747E-2</v>
      </c>
      <c r="K43" s="6">
        <f t="shared" si="211"/>
        <v>108.05144884081699</v>
      </c>
      <c r="M43" s="6">
        <f>CONFIDENCE(0.05,M42,10)</f>
        <v>14.757544016803285</v>
      </c>
      <c r="N43" s="6">
        <f>CONFIDENCE(0.05,N42,10)</f>
        <v>19.584498719548435</v>
      </c>
      <c r="O43" s="6">
        <f>CONFIDENCE(0.05,O42,10)</f>
        <v>11.801269228370137</v>
      </c>
      <c r="P43" s="6">
        <f>CONFIDENCE(0.05,P42,10)</f>
        <v>9.1289821432167209</v>
      </c>
      <c r="Q43" s="6">
        <f t="shared" ref="Q43:W43" si="212">CONFIDENCE(0.05,Q42,10)</f>
        <v>0.20365137195935079</v>
      </c>
      <c r="R43" s="6">
        <f t="shared" si="212"/>
        <v>0.10470229884620148</v>
      </c>
      <c r="S43" s="6">
        <f t="shared" si="212"/>
        <v>479.88744001031108</v>
      </c>
      <c r="T43" s="6">
        <f t="shared" si="212"/>
        <v>0.18304067690199263</v>
      </c>
      <c r="U43" s="6">
        <f t="shared" si="212"/>
        <v>433.25296217804589</v>
      </c>
      <c r="V43" s="6">
        <f t="shared" si="212"/>
        <v>7.8626331119031959E-2</v>
      </c>
      <c r="W43" s="6">
        <f t="shared" si="212"/>
        <v>189.1134640795687</v>
      </c>
      <c r="Y43" s="6">
        <f t="shared" ref="Y43:AI43" si="213">CONFIDENCE(0.05,Y42,10)</f>
        <v>18.291130461428232</v>
      </c>
      <c r="Z43" s="6">
        <f t="shared" si="213"/>
        <v>24.180745379285813</v>
      </c>
      <c r="AA43" s="6">
        <f t="shared" si="213"/>
        <v>13.785544463216407</v>
      </c>
      <c r="AB43" s="6">
        <f t="shared" si="213"/>
        <v>9.5572670874549246</v>
      </c>
      <c r="AC43" s="6">
        <f t="shared" si="213"/>
        <v>0.30452236456140713</v>
      </c>
      <c r="AD43" s="6">
        <f t="shared" si="213"/>
        <v>0.16896064350942464</v>
      </c>
      <c r="AE43" s="6">
        <f t="shared" si="213"/>
        <v>711.59866939026347</v>
      </c>
      <c r="AF43" s="6">
        <f t="shared" si="213"/>
        <v>0.27170482819394876</v>
      </c>
      <c r="AG43" s="6">
        <f t="shared" si="213"/>
        <v>637.1217054992054</v>
      </c>
      <c r="AH43" s="6">
        <f t="shared" si="213"/>
        <v>5.7714101017778657E-2</v>
      </c>
      <c r="AI43" s="6">
        <f t="shared" si="213"/>
        <v>138.01724380758233</v>
      </c>
      <c r="AK43" s="6">
        <f t="shared" ref="AK43:AU43" si="214">CONFIDENCE(0.05,AK42,10)</f>
        <v>13.515385129976249</v>
      </c>
      <c r="AL43" s="6">
        <f t="shared" si="214"/>
        <v>18.181123816561794</v>
      </c>
      <c r="AM43" s="6">
        <f t="shared" si="214"/>
        <v>10.979103310644419</v>
      </c>
      <c r="AN43" s="6">
        <f t="shared" si="214"/>
        <v>8.9816833185420535</v>
      </c>
      <c r="AO43" s="6">
        <f t="shared" si="214"/>
        <v>0.2213050754206356</v>
      </c>
      <c r="AP43" s="6">
        <f t="shared" si="214"/>
        <v>9.1401035290036528E-2</v>
      </c>
      <c r="AQ43" s="6">
        <f t="shared" si="214"/>
        <v>518.81366249525763</v>
      </c>
      <c r="AR43" s="6">
        <f t="shared" si="214"/>
        <v>0.20373995647825635</v>
      </c>
      <c r="AS43" s="6">
        <f t="shared" si="214"/>
        <v>479.98558477277709</v>
      </c>
      <c r="AT43" s="6">
        <f t="shared" si="214"/>
        <v>5.7660965976556768E-2</v>
      </c>
      <c r="AU43" s="6">
        <f t="shared" si="214"/>
        <v>139.33790588812522</v>
      </c>
      <c r="AW43" s="6">
        <f t="shared" ref="AW43:BH43" si="215">CONFIDENCE(0.05,AW42,10)</f>
        <v>16.918878159257869</v>
      </c>
      <c r="AX43" s="6">
        <f t="shared" si="215"/>
        <v>20.383206639191048</v>
      </c>
      <c r="AY43" s="6">
        <f t="shared" si="215"/>
        <v>10.527194245830493</v>
      </c>
      <c r="AZ43" s="6">
        <f t="shared" si="215"/>
        <v>7.0364860485308069</v>
      </c>
      <c r="BA43" s="6">
        <f t="shared" si="215"/>
        <v>0.26727374671036563</v>
      </c>
      <c r="BB43" s="6">
        <f t="shared" si="215"/>
        <v>0.10819218782936296</v>
      </c>
      <c r="BC43" s="6">
        <f t="shared" si="215"/>
        <v>0.11237169516101626</v>
      </c>
      <c r="BD43" s="6">
        <f t="shared" si="215"/>
        <v>623.6771334662709</v>
      </c>
      <c r="BE43" s="6">
        <f t="shared" si="215"/>
        <v>0.18605055850957183</v>
      </c>
      <c r="BF43" s="6">
        <f t="shared" si="215"/>
        <v>434.11548037958863</v>
      </c>
      <c r="BG43" s="6">
        <f t="shared" si="215"/>
        <v>0.11164044182449419</v>
      </c>
      <c r="BH43" s="6">
        <f t="shared" si="215"/>
        <v>264.78047065002147</v>
      </c>
      <c r="BJ43" s="6">
        <f t="shared" ref="BJ43:BS43" si="216">CONFIDENCE(0.05,BJ42,10)</f>
        <v>14.364751814680792</v>
      </c>
      <c r="BK43" s="6">
        <f t="shared" si="216"/>
        <v>23.137169837765786</v>
      </c>
      <c r="BL43" s="6">
        <f t="shared" si="216"/>
        <v>9.334953626218887</v>
      </c>
      <c r="BM43" s="6">
        <f t="shared" si="216"/>
        <v>3.5182430242654035</v>
      </c>
      <c r="BN43" s="6">
        <f t="shared" si="216"/>
        <v>0.27656294540736109</v>
      </c>
      <c r="BO43" s="6">
        <f t="shared" si="216"/>
        <v>644.33596398556085</v>
      </c>
      <c r="BP43" s="6">
        <f t="shared" si="216"/>
        <v>0.21664862248737085</v>
      </c>
      <c r="BQ43" s="6">
        <f t="shared" si="216"/>
        <v>504.22946794240079</v>
      </c>
      <c r="BR43" s="6">
        <f t="shared" si="216"/>
        <v>6.753223269791174E-2</v>
      </c>
      <c r="BS43" s="6">
        <f t="shared" si="216"/>
        <v>159.07928712242153</v>
      </c>
      <c r="BU43" s="6">
        <f t="shared" ref="BU43:BZ43" si="217">CONFIDENCE(0.05,BU42,10)</f>
        <v>15.987695319882988</v>
      </c>
      <c r="BV43" s="6">
        <f t="shared" si="217"/>
        <v>17.734274779020598</v>
      </c>
      <c r="BW43" s="6">
        <f t="shared" si="217"/>
        <v>8.5172657399554854</v>
      </c>
      <c r="BX43" s="6">
        <f t="shared" si="217"/>
        <v>3.5182430242654035</v>
      </c>
      <c r="BY43" s="6">
        <f t="shared" si="217"/>
        <v>0.19499485622213467</v>
      </c>
      <c r="BZ43" s="6">
        <f t="shared" si="217"/>
        <v>457.11072715352162</v>
      </c>
      <c r="CB43" s="6">
        <f t="shared" ref="CB43:CK43" si="218">CONFIDENCE(0.05,CB42,10)</f>
        <v>15.614243064802094</v>
      </c>
      <c r="CC43" s="6">
        <f t="shared" si="218"/>
        <v>20.92832048111806</v>
      </c>
      <c r="CD43" s="6">
        <f t="shared" si="218"/>
        <v>6.7961121155760083</v>
      </c>
      <c r="CE43" s="6">
        <f t="shared" si="218"/>
        <v>7.8398559381602144</v>
      </c>
      <c r="CF43" s="6">
        <f t="shared" si="218"/>
        <v>0.21121573660822557</v>
      </c>
      <c r="CG43" s="6">
        <f t="shared" si="218"/>
        <v>494.26922710523814</v>
      </c>
      <c r="CH43" s="6">
        <f t="shared" si="218"/>
        <v>0.15498263847213756</v>
      </c>
      <c r="CI43" s="6">
        <f t="shared" si="218"/>
        <v>364.00649156305229</v>
      </c>
      <c r="CJ43" s="6">
        <f t="shared" si="218"/>
        <v>9.2672029737108391E-2</v>
      </c>
      <c r="CK43" s="6">
        <f t="shared" si="218"/>
        <v>220.47631164503409</v>
      </c>
    </row>
    <row r="45" spans="1:89">
      <c r="A45" t="s">
        <v>60</v>
      </c>
      <c r="B45">
        <v>311</v>
      </c>
      <c r="C45">
        <v>267</v>
      </c>
      <c r="D45">
        <v>184</v>
      </c>
      <c r="E45">
        <v>20</v>
      </c>
      <c r="F45" s="4">
        <f t="shared" ref="F45:F54" si="219">PI()*((B45+C45)/4)^2*D45/3000000</f>
        <v>4.0232973869805875</v>
      </c>
      <c r="G45" s="5">
        <f t="shared" ref="G45:G54" si="220">10^(3.382+0.971*LOG(F45))</f>
        <v>9312.1347821149284</v>
      </c>
      <c r="H45" s="4">
        <f t="shared" ref="H45:H54" si="221">F45*(1-(E45*1/100))</f>
        <v>3.2186379095844702</v>
      </c>
      <c r="I45" s="5">
        <f t="shared" ref="I45:I54" si="222">G45*(1-(E45*1/100))</f>
        <v>7449.7078256919431</v>
      </c>
      <c r="J45" s="4">
        <f t="shared" ref="J45:J54" si="223">F45*(E45*(1/100))</f>
        <v>0.80465947739611754</v>
      </c>
      <c r="K45" s="5">
        <f t="shared" ref="K45:K54" si="224">G45*(E45*(1/100))</f>
        <v>1862.4269564229858</v>
      </c>
      <c r="L45" t="s">
        <v>60</v>
      </c>
      <c r="M45">
        <v>299</v>
      </c>
      <c r="N45">
        <v>245</v>
      </c>
      <c r="O45">
        <v>181</v>
      </c>
      <c r="P45">
        <v>15</v>
      </c>
      <c r="Q45" s="4">
        <f t="shared" ref="Q45:Q54" si="225">PI()*((M45+N45)/4)^2*O45/3000000</f>
        <v>3.5057828291547408</v>
      </c>
      <c r="R45" s="4">
        <f t="shared" ref="R45:R54" si="226">Q45-F45</f>
        <v>-0.51751455782584665</v>
      </c>
      <c r="S45" s="5">
        <f t="shared" ref="S45:S54" si="227">10^(3.382+0.971*LOG(Q45))</f>
        <v>8146.7847976659432</v>
      </c>
      <c r="T45" s="4">
        <f t="shared" ref="T45:T54" si="228">Q45*(1-(P45*1/100))</f>
        <v>2.9799154047815297</v>
      </c>
      <c r="U45" s="5">
        <f t="shared" ref="U45:U54" si="229">S45*(1-(P45*1/100))</f>
        <v>6924.7670780160515</v>
      </c>
      <c r="V45" s="4">
        <f t="shared" ref="V45:V54" si="230">Q45*(P45*(1/100))</f>
        <v>0.5258674243732111</v>
      </c>
      <c r="W45" s="5">
        <f t="shared" ref="W45:W54" si="231">S45*(P45*(1/100))</f>
        <v>1222.0177196498914</v>
      </c>
      <c r="X45" t="s">
        <v>60</v>
      </c>
      <c r="Y45">
        <v>318</v>
      </c>
      <c r="Z45">
        <v>276</v>
      </c>
      <c r="AA45">
        <v>189</v>
      </c>
      <c r="AB45">
        <v>30</v>
      </c>
      <c r="AC45" s="4">
        <f t="shared" ref="AC45:AC54" si="232">PI()*((Y45+Z45)/4)^2*AA45/3000000</f>
        <v>4.3645887554929077</v>
      </c>
      <c r="AD45" s="4">
        <f t="shared" ref="AD45:AD54" si="233">AC45-Q45</f>
        <v>0.85880592633816688</v>
      </c>
      <c r="AE45" s="5">
        <f t="shared" ref="AE45:AE54" si="234">10^(3.382+0.971*LOG(AC45))</f>
        <v>10078.246418934692</v>
      </c>
      <c r="AF45" s="4">
        <f t="shared" ref="AF45:AF54" si="235">AC45*(1-(AB45*1/100))</f>
        <v>3.0552121288450351</v>
      </c>
      <c r="AG45" s="5">
        <f t="shared" ref="AG45:AG54" si="236">AE45*(1-(AB45*1/100))</f>
        <v>7054.7724932542842</v>
      </c>
      <c r="AH45" s="4">
        <f t="shared" ref="AH45:AH54" si="237">AC45*(AB45*(1/100))</f>
        <v>1.3093766266478724</v>
      </c>
      <c r="AI45" s="5">
        <f t="shared" ref="AI45:AI54" si="238">AE45*(AB45*(1/100))</f>
        <v>3023.4739256804073</v>
      </c>
      <c r="AJ45" t="s">
        <v>60</v>
      </c>
      <c r="AK45">
        <v>339</v>
      </c>
      <c r="AL45">
        <v>276</v>
      </c>
      <c r="AM45">
        <v>193</v>
      </c>
      <c r="AN45">
        <v>20</v>
      </c>
      <c r="AO45" s="4">
        <f t="shared" ref="AO45:AO54" si="239">PI()*((AK45+AL45)/4)^2*AM45/3000000</f>
        <v>4.7776702939785816</v>
      </c>
      <c r="AP45" s="4">
        <f t="shared" ref="AP45:AP54" si="240">AO45-AC45</f>
        <v>0.41308153848567386</v>
      </c>
      <c r="AQ45" s="5">
        <f t="shared" ref="AQ45:AQ54" si="241">10^(3.382+0.971*LOG(AO45))</f>
        <v>11003.197460814816</v>
      </c>
      <c r="AR45" s="4">
        <f t="shared" ref="AR45:AR54" si="242">AO45*(1-(AN45*1/100))</f>
        <v>3.8221362351828656</v>
      </c>
      <c r="AS45" s="5">
        <f t="shared" ref="AS45:AS54" si="243">AQ45*(1-(AN45*1/100))</f>
        <v>8802.5579686518522</v>
      </c>
      <c r="AT45" s="4">
        <f t="shared" ref="AT45:AT54" si="244">AO45*(AN45*(1/100))</f>
        <v>0.9555340587957164</v>
      </c>
      <c r="AU45" s="5">
        <f t="shared" ref="AU45:AU54" si="245">AQ45*(AN45*(1/100))</f>
        <v>2200.6394921629631</v>
      </c>
      <c r="AV45" t="s">
        <v>60</v>
      </c>
      <c r="AW45">
        <v>304</v>
      </c>
      <c r="AX45">
        <v>352</v>
      </c>
      <c r="AY45">
        <v>192</v>
      </c>
      <c r="AZ45">
        <v>50</v>
      </c>
      <c r="BA45" s="4">
        <f t="shared" ref="BA45:BA54" si="246">PI()*((AW45+AX45)/4)^2*AY45/3000000</f>
        <v>5.4077616647008684</v>
      </c>
      <c r="BB45" s="4">
        <f t="shared" ref="BB45:BB54" si="247">BA45-AO45</f>
        <v>0.63009137072228683</v>
      </c>
      <c r="BC45" s="4">
        <f t="shared" ref="BC45:BC54" si="248">BA45-Q45</f>
        <v>1.9019788355461276</v>
      </c>
      <c r="BD45" s="5">
        <f t="shared" ref="BD45:BD54" si="249">10^(3.382+0.971*LOG(BA45))</f>
        <v>12409.66431975486</v>
      </c>
      <c r="BE45" s="4">
        <f t="shared" ref="BE45:BE54" si="250">BA45*(1-(AZ45*1/100))</f>
        <v>2.7038808323504342</v>
      </c>
      <c r="BF45" s="5">
        <f t="shared" ref="BF45:BF54" si="251">BD45*(1-(AZ45*1/100))</f>
        <v>6204.8321598774301</v>
      </c>
      <c r="BG45" s="4">
        <f t="shared" ref="BG45:BG54" si="252">BA45*(AZ45*(1/100))</f>
        <v>2.7038808323504342</v>
      </c>
      <c r="BH45" s="5">
        <f t="shared" ref="BH45:BH54" si="253">BD45*(AZ45*(1/100))</f>
        <v>6204.8321598774301</v>
      </c>
      <c r="BI45" t="s">
        <v>60</v>
      </c>
      <c r="BJ45">
        <v>357</v>
      </c>
      <c r="BK45">
        <v>318</v>
      </c>
      <c r="BL45">
        <v>193</v>
      </c>
      <c r="BM45">
        <v>40</v>
      </c>
      <c r="BN45" s="4">
        <f t="shared" ref="BN45:BN54" si="254">PI()*((BJ45+BK45)/4)^2*BL45/3000000</f>
        <v>5.7553731976838955</v>
      </c>
      <c r="BO45" s="5">
        <f t="shared" ref="BO45:BO54" si="255">10^(3.382+0.971*LOG(BN45))</f>
        <v>13183.519283770642</v>
      </c>
      <c r="BP45" s="4">
        <f t="shared" ref="BP45:BP54" si="256">BN45*(1-(BM45*1/100))</f>
        <v>3.4532239186103371</v>
      </c>
      <c r="BQ45" s="5">
        <f t="shared" ref="BQ45:BQ54" si="257">BO45*(1-(BM45*1/100))</f>
        <v>7910.1115702623847</v>
      </c>
      <c r="BR45" s="4">
        <f t="shared" ref="BR45:BR54" si="258">BN45*(BM45*(1/100))</f>
        <v>2.3021492790735585</v>
      </c>
      <c r="BS45" s="5">
        <f t="shared" ref="BS45:BS54" si="259">BO45*(BM45*(1/100))</f>
        <v>5273.4077135082571</v>
      </c>
      <c r="BT45" t="s">
        <v>60</v>
      </c>
      <c r="BU45">
        <v>331</v>
      </c>
      <c r="BV45">
        <v>239</v>
      </c>
      <c r="BW45">
        <v>193</v>
      </c>
      <c r="BX45">
        <v>40</v>
      </c>
      <c r="BY45" s="4">
        <f t="shared" ref="BY45:BY54" si="260">PI()*((BU45+BV45)/4)^2*BW45/3000000</f>
        <v>4.1040784678792814</v>
      </c>
      <c r="BZ45" s="5">
        <f t="shared" ref="BZ45:BZ54" si="261">10^(3.382+0.971*LOG(BY45))</f>
        <v>9493.6321842662019</v>
      </c>
      <c r="CA45" t="s">
        <v>60</v>
      </c>
      <c r="CB45">
        <v>331</v>
      </c>
      <c r="CC45">
        <v>290</v>
      </c>
      <c r="CD45">
        <v>192</v>
      </c>
      <c r="CE45">
        <v>40</v>
      </c>
      <c r="CF45" s="4">
        <f t="shared" ref="CF45:CF54" si="262">PI()*((CB45+CC45)/4)^2*CD45/3000000</f>
        <v>4.8461077300920863</v>
      </c>
      <c r="CG45" s="5">
        <f t="shared" ref="CG45:CG54" si="263">10^(3.382+0.971*LOG(CF45))</f>
        <v>11156.20961090602</v>
      </c>
      <c r="CH45" s="4">
        <f t="shared" ref="CH45:CH54" si="264">CF45*(1-(CE45*1/100))</f>
        <v>2.9076646380552518</v>
      </c>
      <c r="CI45" s="5">
        <f t="shared" ref="CI45:CI54" si="265">CG45*(1-(CE45*1/100))</f>
        <v>6693.7257665436118</v>
      </c>
      <c r="CJ45" s="4">
        <f t="shared" ref="CJ45:CJ54" si="266">CF45*(CE45*(1/100))</f>
        <v>1.9384430920368345</v>
      </c>
      <c r="CK45" s="5">
        <f t="shared" ref="CK45:CK54" si="267">CG45*(CE45*(1/100))</f>
        <v>4462.4838443624085</v>
      </c>
    </row>
    <row r="46" spans="1:89">
      <c r="A46" t="s">
        <v>61</v>
      </c>
      <c r="B46">
        <v>146</v>
      </c>
      <c r="C46">
        <v>146</v>
      </c>
      <c r="D46">
        <v>133</v>
      </c>
      <c r="E46">
        <v>5</v>
      </c>
      <c r="F46" s="4">
        <f t="shared" si="219"/>
        <v>0.74220859479344714</v>
      </c>
      <c r="G46" s="5">
        <f t="shared" si="220"/>
        <v>1804.1835792865322</v>
      </c>
      <c r="H46" s="4">
        <f t="shared" si="221"/>
        <v>0.70509816505377476</v>
      </c>
      <c r="I46" s="5">
        <f t="shared" si="222"/>
        <v>1713.9744003222056</v>
      </c>
      <c r="J46" s="4">
        <f t="shared" si="223"/>
        <v>3.7110429739672358E-2</v>
      </c>
      <c r="K46" s="5">
        <f t="shared" si="224"/>
        <v>90.209178964326611</v>
      </c>
      <c r="L46" t="s">
        <v>61</v>
      </c>
      <c r="M46">
        <v>156</v>
      </c>
      <c r="N46">
        <v>154</v>
      </c>
      <c r="O46">
        <v>124</v>
      </c>
      <c r="P46">
        <v>30</v>
      </c>
      <c r="Q46" s="4">
        <f t="shared" si="225"/>
        <v>0.779926556192446</v>
      </c>
      <c r="R46" s="4">
        <f t="shared" si="226"/>
        <v>3.7717961398998856E-2</v>
      </c>
      <c r="S46" s="5">
        <f t="shared" si="227"/>
        <v>1893.1461849754664</v>
      </c>
      <c r="T46" s="4">
        <f t="shared" si="228"/>
        <v>0.54594858933471213</v>
      </c>
      <c r="U46" s="5">
        <f t="shared" si="229"/>
        <v>1325.2023294828264</v>
      </c>
      <c r="V46" s="4">
        <f t="shared" si="230"/>
        <v>0.23397796685773378</v>
      </c>
      <c r="W46" s="5">
        <f t="shared" si="231"/>
        <v>567.94385549263995</v>
      </c>
      <c r="X46" t="s">
        <v>61</v>
      </c>
      <c r="Y46">
        <v>157</v>
      </c>
      <c r="Z46">
        <v>136</v>
      </c>
      <c r="AA46">
        <v>132</v>
      </c>
      <c r="AB46">
        <v>20</v>
      </c>
      <c r="AC46" s="4">
        <f t="shared" si="232"/>
        <v>0.74168211622458291</v>
      </c>
      <c r="AD46" s="4">
        <f t="shared" si="233"/>
        <v>-3.8244439967863086E-2</v>
      </c>
      <c r="AE46" s="5">
        <f t="shared" si="234"/>
        <v>1802.9408997644441</v>
      </c>
      <c r="AF46" s="4">
        <f t="shared" si="235"/>
        <v>0.59334569297966633</v>
      </c>
      <c r="AG46" s="5">
        <f t="shared" si="236"/>
        <v>1442.3527198115553</v>
      </c>
      <c r="AH46" s="4">
        <f t="shared" si="237"/>
        <v>0.14833642324491658</v>
      </c>
      <c r="AI46" s="5">
        <f t="shared" si="238"/>
        <v>360.58817995288882</v>
      </c>
      <c r="AJ46" t="s">
        <v>61</v>
      </c>
      <c r="AK46">
        <v>163</v>
      </c>
      <c r="AL46">
        <v>151</v>
      </c>
      <c r="AM46">
        <v>138</v>
      </c>
      <c r="AN46">
        <v>10</v>
      </c>
      <c r="AO46" s="4">
        <f t="shared" si="239"/>
        <v>0.89052684916085034</v>
      </c>
      <c r="AP46" s="4">
        <f t="shared" si="240"/>
        <v>0.14884473293626743</v>
      </c>
      <c r="AQ46" s="5">
        <f t="shared" si="241"/>
        <v>2153.3134562283644</v>
      </c>
      <c r="AR46" s="4">
        <f t="shared" si="242"/>
        <v>0.80147416424476536</v>
      </c>
      <c r="AS46" s="5">
        <f t="shared" si="243"/>
        <v>1937.9821106055281</v>
      </c>
      <c r="AT46" s="4">
        <f t="shared" si="244"/>
        <v>8.9052684916085034E-2</v>
      </c>
      <c r="AU46" s="5">
        <f t="shared" si="245"/>
        <v>215.33134562283647</v>
      </c>
      <c r="AV46" t="s">
        <v>61</v>
      </c>
      <c r="AW46">
        <v>172</v>
      </c>
      <c r="AX46">
        <v>158</v>
      </c>
      <c r="AY46">
        <v>135</v>
      </c>
      <c r="AZ46">
        <v>30</v>
      </c>
      <c r="BA46" s="4">
        <f t="shared" si="246"/>
        <v>0.96221092493229876</v>
      </c>
      <c r="BB46" s="4">
        <f t="shared" si="247"/>
        <v>7.1684075771448419E-2</v>
      </c>
      <c r="BC46" s="4">
        <f t="shared" si="248"/>
        <v>0.18228436873985276</v>
      </c>
      <c r="BD46" s="5">
        <f t="shared" si="249"/>
        <v>2321.4292131045845</v>
      </c>
      <c r="BE46" s="4">
        <f t="shared" si="250"/>
        <v>0.67354764745260909</v>
      </c>
      <c r="BF46" s="5">
        <f t="shared" si="251"/>
        <v>1625.0004491732091</v>
      </c>
      <c r="BG46" s="4">
        <f t="shared" si="252"/>
        <v>0.28866327747968962</v>
      </c>
      <c r="BH46" s="5">
        <f t="shared" si="253"/>
        <v>696.42876393137533</v>
      </c>
      <c r="BI46" t="s">
        <v>61</v>
      </c>
      <c r="BJ46">
        <v>184</v>
      </c>
      <c r="BK46">
        <v>146</v>
      </c>
      <c r="BL46">
        <v>128</v>
      </c>
      <c r="BM46">
        <v>15</v>
      </c>
      <c r="BN46" s="4">
        <f t="shared" si="254"/>
        <v>0.91231850660247593</v>
      </c>
      <c r="BO46" s="5">
        <f t="shared" si="255"/>
        <v>2204.4600696382045</v>
      </c>
      <c r="BP46" s="4">
        <f t="shared" si="256"/>
        <v>0.77547073061210448</v>
      </c>
      <c r="BQ46" s="5">
        <f t="shared" si="257"/>
        <v>1873.7910591924738</v>
      </c>
      <c r="BR46" s="4">
        <f t="shared" si="258"/>
        <v>0.13684777599037137</v>
      </c>
      <c r="BS46" s="5">
        <f t="shared" si="259"/>
        <v>330.66901044573063</v>
      </c>
      <c r="BT46" t="s">
        <v>61</v>
      </c>
      <c r="BU46">
        <v>163</v>
      </c>
      <c r="BV46">
        <v>138</v>
      </c>
      <c r="BW46">
        <v>113</v>
      </c>
      <c r="BX46">
        <v>15</v>
      </c>
      <c r="BY46" s="4">
        <f t="shared" si="260"/>
        <v>0.67006983893523842</v>
      </c>
      <c r="BZ46" s="5">
        <f t="shared" si="261"/>
        <v>1633.6634322734126</v>
      </c>
      <c r="CA46" t="s">
        <v>61</v>
      </c>
      <c r="CB46">
        <v>175</v>
      </c>
      <c r="CC46">
        <v>165</v>
      </c>
      <c r="CD46">
        <v>120</v>
      </c>
      <c r="CE46">
        <v>10</v>
      </c>
      <c r="CF46" s="4">
        <f t="shared" si="262"/>
        <v>0.90792027688745025</v>
      </c>
      <c r="CG46" s="5">
        <f t="shared" si="263"/>
        <v>2194.1399840700847</v>
      </c>
      <c r="CH46" s="4">
        <f t="shared" si="264"/>
        <v>0.81712824919870519</v>
      </c>
      <c r="CI46" s="5">
        <f t="shared" si="265"/>
        <v>1974.7259856630762</v>
      </c>
      <c r="CJ46" s="4">
        <f t="shared" si="266"/>
        <v>9.0792027688745031E-2</v>
      </c>
      <c r="CK46" s="5">
        <f t="shared" si="267"/>
        <v>219.41399840700848</v>
      </c>
    </row>
    <row r="47" spans="1:89">
      <c r="A47" t="s">
        <v>62</v>
      </c>
      <c r="B47">
        <v>226</v>
      </c>
      <c r="C47">
        <v>237</v>
      </c>
      <c r="D47">
        <v>174</v>
      </c>
      <c r="E47">
        <v>10</v>
      </c>
      <c r="F47" s="4">
        <f t="shared" si="219"/>
        <v>2.4412927738955399</v>
      </c>
      <c r="G47" s="5">
        <f t="shared" si="220"/>
        <v>5732.9597083604631</v>
      </c>
      <c r="H47" s="4">
        <f t="shared" si="221"/>
        <v>2.1971634965059859</v>
      </c>
      <c r="I47" s="5">
        <f t="shared" si="222"/>
        <v>5159.6637375244172</v>
      </c>
      <c r="J47" s="4">
        <f t="shared" si="223"/>
        <v>0.24412927738955401</v>
      </c>
      <c r="K47" s="5">
        <f t="shared" si="224"/>
        <v>573.29597083604631</v>
      </c>
      <c r="L47" t="s">
        <v>62</v>
      </c>
      <c r="M47">
        <v>208</v>
      </c>
      <c r="N47">
        <v>232</v>
      </c>
      <c r="O47">
        <v>176</v>
      </c>
      <c r="P47">
        <v>5</v>
      </c>
      <c r="Q47" s="4">
        <f t="shared" si="225"/>
        <v>2.2301119050282745</v>
      </c>
      <c r="R47" s="4">
        <f t="shared" si="226"/>
        <v>-0.21118086886726539</v>
      </c>
      <c r="S47" s="5">
        <f t="shared" si="227"/>
        <v>5250.7964515486346</v>
      </c>
      <c r="T47" s="4">
        <f t="shared" si="228"/>
        <v>2.1186063097768608</v>
      </c>
      <c r="U47" s="5">
        <f t="shared" si="229"/>
        <v>4988.2566289712031</v>
      </c>
      <c r="V47" s="4">
        <f t="shared" si="230"/>
        <v>0.11150559525141374</v>
      </c>
      <c r="W47" s="5">
        <f t="shared" si="231"/>
        <v>262.53982257743172</v>
      </c>
      <c r="X47" t="s">
        <v>62</v>
      </c>
      <c r="Y47">
        <v>257</v>
      </c>
      <c r="Z47">
        <v>213</v>
      </c>
      <c r="AA47">
        <v>176</v>
      </c>
      <c r="AB47">
        <v>10</v>
      </c>
      <c r="AC47" s="4">
        <f t="shared" si="232"/>
        <v>2.5445853296526129</v>
      </c>
      <c r="AD47" s="4">
        <f t="shared" si="233"/>
        <v>0.31447342462433836</v>
      </c>
      <c r="AE47" s="5">
        <f t="shared" si="234"/>
        <v>5968.3478293806975</v>
      </c>
      <c r="AF47" s="4">
        <f t="shared" si="235"/>
        <v>2.2901267966873515</v>
      </c>
      <c r="AG47" s="5">
        <f t="shared" si="236"/>
        <v>5371.5130464426275</v>
      </c>
      <c r="AH47" s="4">
        <f t="shared" si="237"/>
        <v>0.25445853296526127</v>
      </c>
      <c r="AI47" s="5">
        <f t="shared" si="238"/>
        <v>596.83478293806979</v>
      </c>
      <c r="AJ47" t="s">
        <v>62</v>
      </c>
      <c r="AK47">
        <v>277</v>
      </c>
      <c r="AL47">
        <v>263</v>
      </c>
      <c r="AM47">
        <v>180</v>
      </c>
      <c r="AN47">
        <v>5</v>
      </c>
      <c r="AO47" s="4">
        <f t="shared" si="239"/>
        <v>3.4353315667004387</v>
      </c>
      <c r="AP47" s="4">
        <f t="shared" si="240"/>
        <v>0.89074623704782585</v>
      </c>
      <c r="AQ47" s="5">
        <f t="shared" si="241"/>
        <v>7987.7703242716898</v>
      </c>
      <c r="AR47" s="4">
        <f t="shared" si="242"/>
        <v>3.2635649883654168</v>
      </c>
      <c r="AS47" s="5">
        <f t="shared" si="243"/>
        <v>7588.381808058105</v>
      </c>
      <c r="AT47" s="4">
        <f t="shared" si="244"/>
        <v>0.17176657833502196</v>
      </c>
      <c r="AU47" s="5">
        <f t="shared" si="245"/>
        <v>399.38851621358452</v>
      </c>
      <c r="AV47" t="s">
        <v>62</v>
      </c>
      <c r="AW47">
        <v>268</v>
      </c>
      <c r="AX47">
        <v>266</v>
      </c>
      <c r="AY47">
        <v>179</v>
      </c>
      <c r="AZ47">
        <v>40</v>
      </c>
      <c r="BA47" s="4">
        <f t="shared" si="246"/>
        <v>3.3407515636696274</v>
      </c>
      <c r="BB47" s="4">
        <f t="shared" si="247"/>
        <v>-9.4580003030811266E-2</v>
      </c>
      <c r="BC47" s="4">
        <f t="shared" si="248"/>
        <v>1.1106396586413529</v>
      </c>
      <c r="BD47" s="5">
        <f t="shared" si="249"/>
        <v>7774.1461184504724</v>
      </c>
      <c r="BE47" s="4">
        <f t="shared" si="250"/>
        <v>2.0044509382017766</v>
      </c>
      <c r="BF47" s="5">
        <f t="shared" si="251"/>
        <v>4664.4876710702829</v>
      </c>
      <c r="BG47" s="4">
        <f t="shared" si="252"/>
        <v>1.3363006254678511</v>
      </c>
      <c r="BH47" s="5">
        <f t="shared" si="253"/>
        <v>3109.658447380189</v>
      </c>
      <c r="BI47" t="s">
        <v>62</v>
      </c>
      <c r="BJ47">
        <v>277</v>
      </c>
      <c r="BK47">
        <v>279</v>
      </c>
      <c r="BL47">
        <v>171</v>
      </c>
      <c r="BM47">
        <v>35</v>
      </c>
      <c r="BN47" s="4">
        <f t="shared" si="254"/>
        <v>3.459826564620478</v>
      </c>
      <c r="BO47" s="5">
        <f t="shared" si="255"/>
        <v>8043.0682385926793</v>
      </c>
      <c r="BP47" s="4">
        <f t="shared" si="256"/>
        <v>2.2488872670033109</v>
      </c>
      <c r="BQ47" s="5">
        <f t="shared" si="257"/>
        <v>5227.9943550852413</v>
      </c>
      <c r="BR47" s="4">
        <f t="shared" si="258"/>
        <v>1.2109392976171673</v>
      </c>
      <c r="BS47" s="5">
        <f t="shared" si="259"/>
        <v>2815.073883507438</v>
      </c>
      <c r="BT47" t="s">
        <v>62</v>
      </c>
      <c r="BU47">
        <v>231</v>
      </c>
      <c r="BV47">
        <v>260</v>
      </c>
      <c r="BW47">
        <v>169</v>
      </c>
      <c r="BX47">
        <v>35</v>
      </c>
      <c r="BY47" s="4">
        <f t="shared" si="260"/>
        <v>2.6666027593727848</v>
      </c>
      <c r="BZ47" s="5">
        <f t="shared" si="261"/>
        <v>6246.0510975794859</v>
      </c>
      <c r="CA47" t="s">
        <v>62</v>
      </c>
      <c r="CB47">
        <v>286</v>
      </c>
      <c r="CC47">
        <v>271</v>
      </c>
      <c r="CD47">
        <v>170</v>
      </c>
      <c r="CE47">
        <v>25</v>
      </c>
      <c r="CF47" s="4">
        <f t="shared" si="262"/>
        <v>3.4519774262751781</v>
      </c>
      <c r="CG47" s="5">
        <f t="shared" si="263"/>
        <v>8025.3499025001593</v>
      </c>
      <c r="CH47" s="4">
        <f t="shared" si="264"/>
        <v>2.5889830697063836</v>
      </c>
      <c r="CI47" s="5">
        <f t="shared" si="265"/>
        <v>6019.0124268751197</v>
      </c>
      <c r="CJ47" s="4">
        <f t="shared" si="266"/>
        <v>0.86299435656879453</v>
      </c>
      <c r="CK47" s="5">
        <f t="shared" si="267"/>
        <v>2006.3374756250398</v>
      </c>
    </row>
    <row r="48" spans="1:89">
      <c r="A48" t="s">
        <v>63</v>
      </c>
      <c r="B48">
        <v>307</v>
      </c>
      <c r="C48">
        <v>276</v>
      </c>
      <c r="D48">
        <v>164</v>
      </c>
      <c r="E48">
        <v>5</v>
      </c>
      <c r="F48" s="4">
        <f t="shared" si="219"/>
        <v>3.6482920169062689</v>
      </c>
      <c r="G48" s="5">
        <f t="shared" si="220"/>
        <v>8468.1588217589288</v>
      </c>
      <c r="H48" s="4">
        <f t="shared" si="221"/>
        <v>3.4658774160609553</v>
      </c>
      <c r="I48" s="5">
        <f t="shared" si="222"/>
        <v>8044.750880670982</v>
      </c>
      <c r="J48" s="4">
        <f t="shared" si="223"/>
        <v>0.18241460084531347</v>
      </c>
      <c r="K48" s="5">
        <f t="shared" si="224"/>
        <v>423.40794108794648</v>
      </c>
      <c r="L48" t="s">
        <v>63</v>
      </c>
      <c r="M48">
        <v>263</v>
      </c>
      <c r="N48">
        <v>285</v>
      </c>
      <c r="O48">
        <v>161</v>
      </c>
      <c r="P48">
        <v>10</v>
      </c>
      <c r="Q48" s="4">
        <f t="shared" si="225"/>
        <v>3.1644309849838397</v>
      </c>
      <c r="R48" s="4">
        <f t="shared" si="226"/>
        <v>-0.48386103192242924</v>
      </c>
      <c r="S48" s="5">
        <f t="shared" si="227"/>
        <v>7375.4250684250046</v>
      </c>
      <c r="T48" s="4">
        <f t="shared" si="228"/>
        <v>2.847987886485456</v>
      </c>
      <c r="U48" s="5">
        <f t="shared" si="229"/>
        <v>6637.8825615825044</v>
      </c>
      <c r="V48" s="4">
        <f t="shared" si="230"/>
        <v>0.31644309849838398</v>
      </c>
      <c r="W48" s="5">
        <f t="shared" si="231"/>
        <v>737.54250684250053</v>
      </c>
      <c r="X48" t="s">
        <v>63</v>
      </c>
      <c r="Y48">
        <v>308</v>
      </c>
      <c r="Z48">
        <v>285</v>
      </c>
      <c r="AA48">
        <v>173</v>
      </c>
      <c r="AB48">
        <v>15</v>
      </c>
      <c r="AC48" s="4">
        <f t="shared" si="232"/>
        <v>3.9816595687979186</v>
      </c>
      <c r="AD48" s="4">
        <f t="shared" si="233"/>
        <v>0.81722858381407892</v>
      </c>
      <c r="AE48" s="5">
        <f t="shared" si="234"/>
        <v>9218.5425701286804</v>
      </c>
      <c r="AF48" s="4">
        <f t="shared" si="235"/>
        <v>3.3844106334782307</v>
      </c>
      <c r="AG48" s="5">
        <f t="shared" si="236"/>
        <v>7835.7611846093778</v>
      </c>
      <c r="AH48" s="4">
        <f t="shared" si="237"/>
        <v>0.59724893531968781</v>
      </c>
      <c r="AI48" s="5">
        <f t="shared" si="238"/>
        <v>1382.7813855193019</v>
      </c>
      <c r="AJ48" t="s">
        <v>63</v>
      </c>
      <c r="AK48">
        <v>320</v>
      </c>
      <c r="AL48">
        <v>271</v>
      </c>
      <c r="AM48">
        <v>169</v>
      </c>
      <c r="AN48">
        <v>15</v>
      </c>
      <c r="AO48" s="4">
        <f t="shared" si="239"/>
        <v>3.8634055707272061</v>
      </c>
      <c r="AP48" s="4">
        <f t="shared" si="240"/>
        <v>-0.11825399807071246</v>
      </c>
      <c r="AQ48" s="5">
        <f t="shared" si="241"/>
        <v>8952.5790187942584</v>
      </c>
      <c r="AR48" s="4">
        <f t="shared" si="242"/>
        <v>3.2838947351181251</v>
      </c>
      <c r="AS48" s="5">
        <f t="shared" si="243"/>
        <v>7609.6921659751197</v>
      </c>
      <c r="AT48" s="4">
        <f t="shared" si="244"/>
        <v>0.5795108356090809</v>
      </c>
      <c r="AU48" s="5">
        <f t="shared" si="245"/>
        <v>1342.8868528191388</v>
      </c>
      <c r="AV48" t="s">
        <v>63</v>
      </c>
      <c r="AW48">
        <v>319</v>
      </c>
      <c r="AX48">
        <v>287</v>
      </c>
      <c r="AY48">
        <v>172</v>
      </c>
      <c r="AZ48">
        <v>35</v>
      </c>
      <c r="BA48" s="4">
        <f t="shared" si="246"/>
        <v>4.1341128790457624</v>
      </c>
      <c r="BB48" s="4">
        <f t="shared" si="247"/>
        <v>0.27070730831855627</v>
      </c>
      <c r="BC48" s="4">
        <f t="shared" si="248"/>
        <v>0.96968189406192273</v>
      </c>
      <c r="BD48" s="5">
        <f t="shared" si="249"/>
        <v>9561.0864044647733</v>
      </c>
      <c r="BE48" s="4">
        <f t="shared" si="250"/>
        <v>2.6871733713797457</v>
      </c>
      <c r="BF48" s="5">
        <f t="shared" si="251"/>
        <v>6214.7061629021027</v>
      </c>
      <c r="BG48" s="4">
        <f t="shared" si="252"/>
        <v>1.446939507666017</v>
      </c>
      <c r="BH48" s="5">
        <f t="shared" si="253"/>
        <v>3346.380241562671</v>
      </c>
      <c r="BI48" t="s">
        <v>63</v>
      </c>
      <c r="BJ48">
        <v>340</v>
      </c>
      <c r="BK48">
        <v>290</v>
      </c>
      <c r="BL48">
        <v>169</v>
      </c>
      <c r="BM48">
        <v>15</v>
      </c>
      <c r="BN48" s="4">
        <f t="shared" si="254"/>
        <v>4.3901204789886314</v>
      </c>
      <c r="BO48" s="5">
        <f t="shared" si="255"/>
        <v>10135.487027252637</v>
      </c>
      <c r="BP48" s="4">
        <f t="shared" si="256"/>
        <v>3.7316024071403366</v>
      </c>
      <c r="BQ48" s="5">
        <f t="shared" si="257"/>
        <v>8615.163973164741</v>
      </c>
      <c r="BR48" s="4">
        <f t="shared" si="258"/>
        <v>0.65851807184829469</v>
      </c>
      <c r="BS48" s="5">
        <f t="shared" si="259"/>
        <v>1520.3230540878956</v>
      </c>
      <c r="BT48" t="s">
        <v>63</v>
      </c>
      <c r="BU48">
        <v>338</v>
      </c>
      <c r="BV48">
        <v>292</v>
      </c>
      <c r="BW48">
        <v>168</v>
      </c>
      <c r="BX48">
        <v>15</v>
      </c>
      <c r="BY48" s="4">
        <f t="shared" si="260"/>
        <v>4.3641434347342614</v>
      </c>
      <c r="BZ48" s="5">
        <f t="shared" si="261"/>
        <v>10077.247950232413</v>
      </c>
      <c r="CA48" t="s">
        <v>63</v>
      </c>
      <c r="CB48">
        <v>301</v>
      </c>
      <c r="CC48">
        <v>276</v>
      </c>
      <c r="CD48">
        <v>152</v>
      </c>
      <c r="CE48">
        <v>15</v>
      </c>
      <c r="CF48" s="4">
        <f t="shared" si="262"/>
        <v>3.3121031184621548</v>
      </c>
      <c r="CG48" s="5">
        <f t="shared" si="263"/>
        <v>7709.4045876628034</v>
      </c>
      <c r="CH48" s="4">
        <f t="shared" si="264"/>
        <v>2.8152876506928313</v>
      </c>
      <c r="CI48" s="5">
        <f t="shared" si="265"/>
        <v>6552.9938995133825</v>
      </c>
      <c r="CJ48" s="4">
        <f t="shared" si="266"/>
        <v>0.49681546776932317</v>
      </c>
      <c r="CK48" s="5">
        <f t="shared" si="267"/>
        <v>1156.4106881494204</v>
      </c>
    </row>
    <row r="49" spans="1:89">
      <c r="A49" t="s">
        <v>64</v>
      </c>
      <c r="B49">
        <v>249</v>
      </c>
      <c r="C49">
        <v>230</v>
      </c>
      <c r="D49">
        <v>156</v>
      </c>
      <c r="E49">
        <v>15</v>
      </c>
      <c r="F49" s="4">
        <f t="shared" si="219"/>
        <v>2.342633020104961</v>
      </c>
      <c r="G49" s="5">
        <f t="shared" si="220"/>
        <v>5507.8592925208313</v>
      </c>
      <c r="H49" s="4">
        <f t="shared" si="221"/>
        <v>1.9912380670892167</v>
      </c>
      <c r="I49" s="5">
        <f t="shared" si="222"/>
        <v>4681.6803986427067</v>
      </c>
      <c r="J49" s="4">
        <f t="shared" si="223"/>
        <v>0.35139495301574414</v>
      </c>
      <c r="K49" s="5">
        <f t="shared" si="224"/>
        <v>826.17889387812465</v>
      </c>
      <c r="L49" t="s">
        <v>64</v>
      </c>
      <c r="M49">
        <v>241</v>
      </c>
      <c r="N49">
        <v>230</v>
      </c>
      <c r="O49">
        <v>154</v>
      </c>
      <c r="P49">
        <v>5</v>
      </c>
      <c r="Q49" s="4">
        <f t="shared" si="225"/>
        <v>2.2359967625669177</v>
      </c>
      <c r="R49" s="4">
        <f t="shared" si="226"/>
        <v>-0.10663625753804329</v>
      </c>
      <c r="S49" s="5">
        <f t="shared" si="227"/>
        <v>5264.25000808397</v>
      </c>
      <c r="T49" s="4">
        <f t="shared" si="228"/>
        <v>2.1241969244385719</v>
      </c>
      <c r="U49" s="5">
        <f t="shared" si="229"/>
        <v>5001.0375076797709</v>
      </c>
      <c r="V49" s="4">
        <f t="shared" si="230"/>
        <v>0.11179983812834589</v>
      </c>
      <c r="W49" s="5">
        <f t="shared" si="231"/>
        <v>263.21250040419852</v>
      </c>
      <c r="X49" t="s">
        <v>64</v>
      </c>
      <c r="Y49">
        <v>246</v>
      </c>
      <c r="Z49">
        <v>244</v>
      </c>
      <c r="AA49">
        <v>157</v>
      </c>
      <c r="AB49">
        <v>10</v>
      </c>
      <c r="AC49" s="4">
        <f t="shared" si="232"/>
        <v>2.4671777956650991</v>
      </c>
      <c r="AD49" s="4">
        <f t="shared" si="233"/>
        <v>0.23118103309818139</v>
      </c>
      <c r="AE49" s="5">
        <f t="shared" si="234"/>
        <v>5791.9744153079482</v>
      </c>
      <c r="AF49" s="4">
        <f t="shared" si="235"/>
        <v>2.2204600160985892</v>
      </c>
      <c r="AG49" s="5">
        <f t="shared" si="236"/>
        <v>5212.7769737771532</v>
      </c>
      <c r="AH49" s="4">
        <f t="shared" si="237"/>
        <v>0.24671777956650992</v>
      </c>
      <c r="AI49" s="5">
        <f t="shared" si="238"/>
        <v>579.19744153079489</v>
      </c>
      <c r="AJ49" t="s">
        <v>64</v>
      </c>
      <c r="AK49">
        <v>247</v>
      </c>
      <c r="AL49">
        <v>243</v>
      </c>
      <c r="AM49">
        <v>153</v>
      </c>
      <c r="AN49">
        <v>10</v>
      </c>
      <c r="AO49" s="4">
        <f t="shared" si="239"/>
        <v>2.4043197626545232</v>
      </c>
      <c r="AP49" s="4">
        <f t="shared" si="240"/>
        <v>-6.2858033010575909E-2</v>
      </c>
      <c r="AQ49" s="5">
        <f t="shared" si="241"/>
        <v>5648.6342061195674</v>
      </c>
      <c r="AR49" s="4">
        <f t="shared" si="242"/>
        <v>2.1638877863890711</v>
      </c>
      <c r="AS49" s="5">
        <f t="shared" si="243"/>
        <v>5083.7707855076105</v>
      </c>
      <c r="AT49" s="4">
        <f t="shared" si="244"/>
        <v>0.24043197626545232</v>
      </c>
      <c r="AU49" s="5">
        <f t="shared" si="245"/>
        <v>564.86342061195671</v>
      </c>
      <c r="AV49" t="s">
        <v>64</v>
      </c>
      <c r="AW49">
        <v>277</v>
      </c>
      <c r="AX49">
        <v>257</v>
      </c>
      <c r="AY49">
        <v>153</v>
      </c>
      <c r="AZ49">
        <v>25</v>
      </c>
      <c r="BA49" s="4">
        <f t="shared" si="246"/>
        <v>2.8555027331924747</v>
      </c>
      <c r="BB49" s="4">
        <f t="shared" si="247"/>
        <v>0.45118297053795153</v>
      </c>
      <c r="BC49" s="4">
        <f t="shared" si="248"/>
        <v>0.61950597062555701</v>
      </c>
      <c r="BD49" s="5">
        <f t="shared" si="249"/>
        <v>6675.2538414265418</v>
      </c>
      <c r="BE49" s="4">
        <f t="shared" si="250"/>
        <v>2.1416270498943559</v>
      </c>
      <c r="BF49" s="5">
        <f t="shared" si="251"/>
        <v>5006.4403810699059</v>
      </c>
      <c r="BG49" s="4">
        <f t="shared" si="252"/>
        <v>0.71387568329811868</v>
      </c>
      <c r="BH49" s="5">
        <f t="shared" si="253"/>
        <v>1668.8134603566355</v>
      </c>
      <c r="BI49" t="s">
        <v>64</v>
      </c>
      <c r="BJ49">
        <v>279</v>
      </c>
      <c r="BK49">
        <v>274</v>
      </c>
      <c r="BL49">
        <v>138</v>
      </c>
      <c r="BM49">
        <v>25</v>
      </c>
      <c r="BN49" s="4">
        <f t="shared" si="254"/>
        <v>2.7620910099297182</v>
      </c>
      <c r="BO49" s="5">
        <f t="shared" si="255"/>
        <v>6463.1179655097503</v>
      </c>
      <c r="BP49" s="4">
        <f t="shared" si="256"/>
        <v>2.0715682574472885</v>
      </c>
      <c r="BQ49" s="5">
        <f t="shared" si="257"/>
        <v>4847.3384741323125</v>
      </c>
      <c r="BR49" s="4">
        <f t="shared" si="258"/>
        <v>0.69052275248242956</v>
      </c>
      <c r="BS49" s="5">
        <f t="shared" si="259"/>
        <v>1615.7794913774376</v>
      </c>
      <c r="BT49" t="s">
        <v>64</v>
      </c>
      <c r="BU49">
        <v>213</v>
      </c>
      <c r="BV49">
        <v>195</v>
      </c>
      <c r="BW49">
        <v>134</v>
      </c>
      <c r="BX49">
        <v>25</v>
      </c>
      <c r="BY49" s="4">
        <f t="shared" si="260"/>
        <v>1.45993580523502</v>
      </c>
      <c r="BZ49" s="5">
        <f t="shared" si="261"/>
        <v>3479.9105511163507</v>
      </c>
      <c r="CA49" t="s">
        <v>64</v>
      </c>
      <c r="CB49">
        <v>250</v>
      </c>
      <c r="CC49">
        <v>245</v>
      </c>
      <c r="CD49">
        <v>140</v>
      </c>
      <c r="CE49">
        <v>20</v>
      </c>
      <c r="CF49" s="4">
        <f t="shared" si="262"/>
        <v>2.2451588248420307</v>
      </c>
      <c r="CG49" s="5">
        <f t="shared" si="263"/>
        <v>5285.193641975492</v>
      </c>
      <c r="CH49" s="4">
        <f t="shared" si="264"/>
        <v>1.7961270598736245</v>
      </c>
      <c r="CI49" s="5">
        <f t="shared" si="265"/>
        <v>4228.1549135803934</v>
      </c>
      <c r="CJ49" s="4">
        <f t="shared" si="266"/>
        <v>0.44903176496840613</v>
      </c>
      <c r="CK49" s="5">
        <f t="shared" si="267"/>
        <v>1057.0387283950984</v>
      </c>
    </row>
    <row r="50" spans="1:89">
      <c r="A50" t="s">
        <v>65</v>
      </c>
      <c r="B50">
        <v>207</v>
      </c>
      <c r="C50">
        <v>202</v>
      </c>
      <c r="D50">
        <v>152</v>
      </c>
      <c r="E50">
        <v>15</v>
      </c>
      <c r="F50" s="4">
        <f t="shared" si="219"/>
        <v>1.664174408836322</v>
      </c>
      <c r="G50" s="5">
        <f t="shared" si="220"/>
        <v>3951.7009642639628</v>
      </c>
      <c r="H50" s="4">
        <f t="shared" si="221"/>
        <v>1.4145482475108737</v>
      </c>
      <c r="I50" s="5">
        <f t="shared" si="222"/>
        <v>3358.9458196243681</v>
      </c>
      <c r="J50" s="4">
        <f t="shared" si="223"/>
        <v>0.24962616132544829</v>
      </c>
      <c r="K50" s="5">
        <f t="shared" si="224"/>
        <v>592.75514463959439</v>
      </c>
      <c r="L50" t="s">
        <v>65</v>
      </c>
      <c r="M50">
        <v>190</v>
      </c>
      <c r="N50">
        <v>200</v>
      </c>
      <c r="O50">
        <v>138</v>
      </c>
      <c r="P50">
        <v>10</v>
      </c>
      <c r="Q50" s="4">
        <f t="shared" si="225"/>
        <v>1.3737791975066467</v>
      </c>
      <c r="R50" s="4">
        <f t="shared" si="226"/>
        <v>-0.29039521132967527</v>
      </c>
      <c r="S50" s="5">
        <f t="shared" si="227"/>
        <v>3280.328556271807</v>
      </c>
      <c r="T50" s="4">
        <f t="shared" si="228"/>
        <v>1.2364012777559821</v>
      </c>
      <c r="U50" s="5">
        <f t="shared" si="229"/>
        <v>2952.2957006446263</v>
      </c>
      <c r="V50" s="4">
        <f t="shared" si="230"/>
        <v>0.13737791975066468</v>
      </c>
      <c r="W50" s="5">
        <f t="shared" si="231"/>
        <v>328.03285562718071</v>
      </c>
      <c r="X50" t="s">
        <v>65</v>
      </c>
      <c r="Y50">
        <v>201</v>
      </c>
      <c r="Z50">
        <v>208</v>
      </c>
      <c r="AA50">
        <v>153</v>
      </c>
      <c r="AB50">
        <v>15</v>
      </c>
      <c r="AC50" s="4">
        <f t="shared" si="232"/>
        <v>1.6751229246839292</v>
      </c>
      <c r="AD50" s="4">
        <f t="shared" si="233"/>
        <v>0.30134372717728253</v>
      </c>
      <c r="AE50" s="5">
        <f t="shared" si="234"/>
        <v>3976.9426512392924</v>
      </c>
      <c r="AF50" s="4">
        <f t="shared" si="235"/>
        <v>1.4238544859813398</v>
      </c>
      <c r="AG50" s="5">
        <f t="shared" si="236"/>
        <v>3380.4012535533984</v>
      </c>
      <c r="AH50" s="4">
        <f t="shared" si="237"/>
        <v>0.25126843870258936</v>
      </c>
      <c r="AI50" s="5">
        <f t="shared" si="238"/>
        <v>596.5413976858938</v>
      </c>
      <c r="AJ50" t="s">
        <v>65</v>
      </c>
      <c r="AK50">
        <v>216</v>
      </c>
      <c r="AL50">
        <v>210</v>
      </c>
      <c r="AM50">
        <v>148</v>
      </c>
      <c r="AN50">
        <v>10</v>
      </c>
      <c r="AO50" s="4">
        <f t="shared" si="239"/>
        <v>1.7578813109088223</v>
      </c>
      <c r="AP50" s="4">
        <f t="shared" si="240"/>
        <v>8.2758386224893066E-2</v>
      </c>
      <c r="AQ50" s="5">
        <f t="shared" si="241"/>
        <v>4167.5887017884234</v>
      </c>
      <c r="AR50" s="4">
        <f t="shared" si="242"/>
        <v>1.5820931798179401</v>
      </c>
      <c r="AS50" s="5">
        <f t="shared" si="243"/>
        <v>3750.8298316095811</v>
      </c>
      <c r="AT50" s="4">
        <f t="shared" si="244"/>
        <v>0.17578813109088223</v>
      </c>
      <c r="AU50" s="5">
        <f t="shared" si="245"/>
        <v>416.75887017884236</v>
      </c>
      <c r="AV50" t="s">
        <v>65</v>
      </c>
      <c r="AW50">
        <v>219</v>
      </c>
      <c r="AX50">
        <v>209</v>
      </c>
      <c r="AY50">
        <v>151</v>
      </c>
      <c r="AZ50">
        <v>25</v>
      </c>
      <c r="BA50" s="4">
        <f t="shared" si="246"/>
        <v>1.8103940793111268</v>
      </c>
      <c r="BB50" s="4">
        <f t="shared" si="247"/>
        <v>5.2512768402304566E-2</v>
      </c>
      <c r="BC50" s="4">
        <f t="shared" si="248"/>
        <v>0.43661488180448016</v>
      </c>
      <c r="BD50" s="5">
        <f t="shared" si="249"/>
        <v>4288.4238250263488</v>
      </c>
      <c r="BE50" s="4">
        <f t="shared" si="250"/>
        <v>1.3577955594833451</v>
      </c>
      <c r="BF50" s="5">
        <f t="shared" si="251"/>
        <v>3216.3178687697618</v>
      </c>
      <c r="BG50" s="4">
        <f t="shared" si="252"/>
        <v>0.45259851982778171</v>
      </c>
      <c r="BH50" s="5">
        <f t="shared" si="253"/>
        <v>1072.1059562565872</v>
      </c>
      <c r="BI50" t="s">
        <v>65</v>
      </c>
      <c r="BJ50">
        <v>225</v>
      </c>
      <c r="BK50">
        <v>242</v>
      </c>
      <c r="BL50">
        <v>129</v>
      </c>
      <c r="BM50">
        <v>25</v>
      </c>
      <c r="BN50" s="4">
        <f t="shared" si="254"/>
        <v>1.8413320256147505</v>
      </c>
      <c r="BO50" s="5">
        <f t="shared" si="255"/>
        <v>4359.5661883978946</v>
      </c>
      <c r="BP50" s="4">
        <f t="shared" si="256"/>
        <v>1.3809990192110628</v>
      </c>
      <c r="BQ50" s="5">
        <f t="shared" si="257"/>
        <v>3269.6746412984212</v>
      </c>
      <c r="BR50" s="4">
        <f t="shared" si="258"/>
        <v>0.46033300640368763</v>
      </c>
      <c r="BS50" s="5">
        <f t="shared" si="259"/>
        <v>1089.8915470994737</v>
      </c>
      <c r="BT50" t="s">
        <v>65</v>
      </c>
      <c r="BU50">
        <v>211</v>
      </c>
      <c r="BV50">
        <v>207</v>
      </c>
      <c r="BW50">
        <v>129</v>
      </c>
      <c r="BX50">
        <v>25</v>
      </c>
      <c r="BY50" s="4">
        <f t="shared" si="260"/>
        <v>1.4752000185406493</v>
      </c>
      <c r="BZ50" s="5">
        <f t="shared" si="261"/>
        <v>3515.2339403291421</v>
      </c>
      <c r="CA50" t="s">
        <v>65</v>
      </c>
      <c r="CB50">
        <v>222</v>
      </c>
      <c r="CC50">
        <v>238</v>
      </c>
      <c r="CD50">
        <v>133</v>
      </c>
      <c r="CE50">
        <v>20</v>
      </c>
      <c r="CF50" s="4">
        <f t="shared" si="262"/>
        <v>1.8419419527384757</v>
      </c>
      <c r="CG50" s="5">
        <f t="shared" si="263"/>
        <v>4360.968376443413</v>
      </c>
      <c r="CH50" s="4">
        <f t="shared" si="264"/>
        <v>1.4735535621907807</v>
      </c>
      <c r="CI50" s="5">
        <f t="shared" si="265"/>
        <v>3488.7747011547308</v>
      </c>
      <c r="CJ50" s="4">
        <f t="shared" si="266"/>
        <v>0.36838839054769518</v>
      </c>
      <c r="CK50" s="5">
        <f t="shared" si="267"/>
        <v>872.1936752886827</v>
      </c>
    </row>
    <row r="51" spans="1:89">
      <c r="A51" t="s">
        <v>66</v>
      </c>
      <c r="B51">
        <v>200</v>
      </c>
      <c r="C51">
        <v>217</v>
      </c>
      <c r="D51">
        <v>126</v>
      </c>
      <c r="E51">
        <v>5</v>
      </c>
      <c r="F51" s="4">
        <f t="shared" si="219"/>
        <v>1.4340070629676984</v>
      </c>
      <c r="G51" s="5">
        <f t="shared" si="220"/>
        <v>3419.8834299777241</v>
      </c>
      <c r="H51" s="4">
        <f t="shared" si="221"/>
        <v>1.3623067098193133</v>
      </c>
      <c r="I51" s="5">
        <f t="shared" si="222"/>
        <v>3248.8892584788377</v>
      </c>
      <c r="J51" s="4">
        <f t="shared" si="223"/>
        <v>7.1700353148384924E-2</v>
      </c>
      <c r="K51" s="5">
        <f t="shared" si="224"/>
        <v>170.9941714988862</v>
      </c>
      <c r="L51" t="s">
        <v>66</v>
      </c>
      <c r="M51">
        <v>202</v>
      </c>
      <c r="N51">
        <v>195</v>
      </c>
      <c r="O51">
        <v>120</v>
      </c>
      <c r="P51">
        <v>10</v>
      </c>
      <c r="Q51" s="4">
        <f t="shared" si="225"/>
        <v>1.2378581913490843</v>
      </c>
      <c r="R51" s="4">
        <f t="shared" si="226"/>
        <v>-0.19614887161861416</v>
      </c>
      <c r="S51" s="5">
        <f t="shared" si="227"/>
        <v>2964.7183330272978</v>
      </c>
      <c r="T51" s="4">
        <f t="shared" si="228"/>
        <v>1.1140723722141759</v>
      </c>
      <c r="U51" s="5">
        <f t="shared" si="229"/>
        <v>2668.2464997245679</v>
      </c>
      <c r="V51" s="4">
        <f t="shared" si="230"/>
        <v>0.12378581913490844</v>
      </c>
      <c r="W51" s="5">
        <f t="shared" si="231"/>
        <v>296.47183330272981</v>
      </c>
      <c r="X51" t="s">
        <v>66</v>
      </c>
      <c r="Y51">
        <v>208</v>
      </c>
      <c r="Z51">
        <v>192</v>
      </c>
      <c r="AA51">
        <v>123</v>
      </c>
      <c r="AB51">
        <v>15</v>
      </c>
      <c r="AC51" s="4">
        <f t="shared" si="232"/>
        <v>1.2880529879718152</v>
      </c>
      <c r="AD51" s="4">
        <f t="shared" si="233"/>
        <v>5.0194796622730964E-2</v>
      </c>
      <c r="AE51" s="5">
        <f t="shared" si="234"/>
        <v>3081.382780240167</v>
      </c>
      <c r="AF51" s="4">
        <f t="shared" si="235"/>
        <v>1.094845039776043</v>
      </c>
      <c r="AG51" s="5">
        <f t="shared" si="236"/>
        <v>2619.1753632041418</v>
      </c>
      <c r="AH51" s="4">
        <f t="shared" si="237"/>
        <v>0.19320794819577228</v>
      </c>
      <c r="AI51" s="5">
        <f t="shared" si="238"/>
        <v>462.20741703602505</v>
      </c>
      <c r="AJ51" t="s">
        <v>66</v>
      </c>
      <c r="AK51">
        <v>198</v>
      </c>
      <c r="AL51">
        <v>203</v>
      </c>
      <c r="AM51">
        <v>122</v>
      </c>
      <c r="AN51">
        <v>15</v>
      </c>
      <c r="AO51" s="4">
        <f t="shared" si="239"/>
        <v>1.2839769024034764</v>
      </c>
      <c r="AP51" s="4">
        <f t="shared" si="240"/>
        <v>-4.0760855683388275E-3</v>
      </c>
      <c r="AQ51" s="5">
        <f t="shared" si="241"/>
        <v>3071.9139922344243</v>
      </c>
      <c r="AR51" s="4">
        <f t="shared" si="242"/>
        <v>1.0913803670429549</v>
      </c>
      <c r="AS51" s="5">
        <f t="shared" si="243"/>
        <v>2611.1268933992606</v>
      </c>
      <c r="AT51" s="4">
        <f t="shared" si="244"/>
        <v>0.19259653536052146</v>
      </c>
      <c r="AU51" s="5">
        <f t="shared" si="245"/>
        <v>460.78709883516365</v>
      </c>
      <c r="AV51" t="s">
        <v>66</v>
      </c>
      <c r="AW51">
        <v>206</v>
      </c>
      <c r="AX51">
        <v>189</v>
      </c>
      <c r="AY51">
        <v>119</v>
      </c>
      <c r="AZ51">
        <v>30</v>
      </c>
      <c r="BA51" s="4">
        <f t="shared" si="246"/>
        <v>1.215205672070528</v>
      </c>
      <c r="BB51" s="4">
        <f t="shared" si="247"/>
        <v>-6.8771230332948408E-2</v>
      </c>
      <c r="BC51" s="4">
        <f t="shared" si="248"/>
        <v>-2.2652519278556271E-2</v>
      </c>
      <c r="BD51" s="5">
        <f t="shared" si="249"/>
        <v>2912.0239606852797</v>
      </c>
      <c r="BE51" s="4">
        <f t="shared" si="250"/>
        <v>0.85064397044936957</v>
      </c>
      <c r="BF51" s="5">
        <f t="shared" si="251"/>
        <v>2038.4167724796957</v>
      </c>
      <c r="BG51" s="4">
        <f t="shared" si="252"/>
        <v>0.36456170162115836</v>
      </c>
      <c r="BH51" s="5">
        <f t="shared" si="253"/>
        <v>873.60718820558384</v>
      </c>
      <c r="BI51" t="s">
        <v>66</v>
      </c>
      <c r="BJ51">
        <v>213</v>
      </c>
      <c r="BK51">
        <v>207</v>
      </c>
      <c r="BL51">
        <v>113</v>
      </c>
      <c r="BM51">
        <v>15</v>
      </c>
      <c r="BN51" s="4">
        <f t="shared" si="254"/>
        <v>1.3046248892195014</v>
      </c>
      <c r="BO51" s="5">
        <f t="shared" si="255"/>
        <v>3119.8705562491514</v>
      </c>
      <c r="BP51" s="4">
        <f t="shared" si="256"/>
        <v>1.1089311558365762</v>
      </c>
      <c r="BQ51" s="5">
        <f t="shared" si="257"/>
        <v>2651.8899728117785</v>
      </c>
      <c r="BR51" s="4">
        <f t="shared" si="258"/>
        <v>0.1956937333829252</v>
      </c>
      <c r="BS51" s="5">
        <f t="shared" si="259"/>
        <v>467.98058343737267</v>
      </c>
      <c r="BT51" t="s">
        <v>66</v>
      </c>
      <c r="BU51">
        <v>205</v>
      </c>
      <c r="BV51">
        <v>216</v>
      </c>
      <c r="BW51">
        <v>102</v>
      </c>
      <c r="BX51">
        <v>15</v>
      </c>
      <c r="BY51" s="4">
        <f t="shared" si="260"/>
        <v>1.1832404249691806</v>
      </c>
      <c r="BZ51" s="5">
        <f t="shared" si="261"/>
        <v>2837.6176826774222</v>
      </c>
      <c r="CA51" t="s">
        <v>66</v>
      </c>
      <c r="CB51">
        <v>206</v>
      </c>
      <c r="CC51">
        <v>208</v>
      </c>
      <c r="CD51">
        <v>104</v>
      </c>
      <c r="CE51">
        <v>10</v>
      </c>
      <c r="CF51" s="4">
        <f t="shared" si="262"/>
        <v>1.1666555646517984</v>
      </c>
      <c r="CG51" s="5">
        <f t="shared" si="263"/>
        <v>2798.9898256824313</v>
      </c>
      <c r="CH51" s="4">
        <f t="shared" si="264"/>
        <v>1.0499900081866187</v>
      </c>
      <c r="CI51" s="5">
        <f t="shared" si="265"/>
        <v>2519.0908431141884</v>
      </c>
      <c r="CJ51" s="4">
        <f t="shared" si="266"/>
        <v>0.11666555646517984</v>
      </c>
      <c r="CK51" s="5">
        <f t="shared" si="267"/>
        <v>279.89898256824313</v>
      </c>
    </row>
    <row r="52" spans="1:89">
      <c r="A52" t="s">
        <v>67</v>
      </c>
      <c r="B52">
        <v>227</v>
      </c>
      <c r="C52">
        <v>223</v>
      </c>
      <c r="D52">
        <v>128</v>
      </c>
      <c r="E52">
        <v>10</v>
      </c>
      <c r="F52" s="4">
        <f t="shared" si="219"/>
        <v>1.6964600329384882</v>
      </c>
      <c r="G52" s="5">
        <f t="shared" si="220"/>
        <v>4026.1214102303115</v>
      </c>
      <c r="H52" s="4">
        <f t="shared" si="221"/>
        <v>1.5268140296446395</v>
      </c>
      <c r="I52" s="5">
        <f t="shared" si="222"/>
        <v>3623.5092692072803</v>
      </c>
      <c r="J52" s="4">
        <f t="shared" si="223"/>
        <v>0.16964600329384882</v>
      </c>
      <c r="K52" s="5">
        <f t="shared" si="224"/>
        <v>402.6121410230312</v>
      </c>
      <c r="L52" t="s">
        <v>67</v>
      </c>
      <c r="M52">
        <v>238</v>
      </c>
      <c r="N52">
        <v>212</v>
      </c>
      <c r="O52">
        <v>132</v>
      </c>
      <c r="P52">
        <v>10</v>
      </c>
      <c r="Q52" s="4">
        <f t="shared" si="225"/>
        <v>1.749474408967816</v>
      </c>
      <c r="R52" s="4">
        <f t="shared" si="226"/>
        <v>5.3014376029327792E-2</v>
      </c>
      <c r="S52" s="5">
        <f t="shared" si="227"/>
        <v>4148.2342586972227</v>
      </c>
      <c r="T52" s="4">
        <f t="shared" si="228"/>
        <v>1.5745269680710345</v>
      </c>
      <c r="U52" s="5">
        <f t="shared" si="229"/>
        <v>3733.4108328275006</v>
      </c>
      <c r="V52" s="4">
        <f t="shared" si="230"/>
        <v>0.1749474408967816</v>
      </c>
      <c r="W52" s="5">
        <f t="shared" si="231"/>
        <v>414.82342586972231</v>
      </c>
      <c r="X52" t="s">
        <v>67</v>
      </c>
      <c r="Y52">
        <v>242</v>
      </c>
      <c r="Z52">
        <v>250</v>
      </c>
      <c r="AA52">
        <v>136</v>
      </c>
      <c r="AB52">
        <v>20</v>
      </c>
      <c r="AC52" s="4">
        <f t="shared" si="232"/>
        <v>2.1546550382792526</v>
      </c>
      <c r="AD52" s="4">
        <f t="shared" si="233"/>
        <v>0.40518062931143661</v>
      </c>
      <c r="AE52" s="5">
        <f t="shared" si="234"/>
        <v>5078.1999222762142</v>
      </c>
      <c r="AF52" s="4">
        <f t="shared" si="235"/>
        <v>1.7237240306234023</v>
      </c>
      <c r="AG52" s="5">
        <f t="shared" si="236"/>
        <v>4062.5599378209718</v>
      </c>
      <c r="AH52" s="4">
        <f t="shared" si="237"/>
        <v>0.43093100765585057</v>
      </c>
      <c r="AI52" s="5">
        <f t="shared" si="238"/>
        <v>1015.6399844552429</v>
      </c>
      <c r="AJ52" t="s">
        <v>67</v>
      </c>
      <c r="AK52">
        <v>226</v>
      </c>
      <c r="AL52">
        <v>249</v>
      </c>
      <c r="AM52">
        <v>136</v>
      </c>
      <c r="AN52">
        <v>10</v>
      </c>
      <c r="AO52" s="4">
        <f t="shared" si="239"/>
        <v>2.0083285536542252</v>
      </c>
      <c r="AP52" s="4">
        <f t="shared" si="240"/>
        <v>-0.1463264846250274</v>
      </c>
      <c r="AQ52" s="5">
        <f t="shared" si="241"/>
        <v>4742.9937767050396</v>
      </c>
      <c r="AR52" s="4">
        <f t="shared" si="242"/>
        <v>1.8074956982888029</v>
      </c>
      <c r="AS52" s="5">
        <f t="shared" si="243"/>
        <v>4268.6943990345362</v>
      </c>
      <c r="AT52" s="4">
        <f t="shared" si="244"/>
        <v>0.20083285536542253</v>
      </c>
      <c r="AU52" s="5">
        <f t="shared" si="245"/>
        <v>474.29937767050399</v>
      </c>
      <c r="AV52" t="s">
        <v>67</v>
      </c>
      <c r="AW52">
        <v>223</v>
      </c>
      <c r="AX52">
        <v>247</v>
      </c>
      <c r="AY52">
        <v>129</v>
      </c>
      <c r="AZ52">
        <v>15</v>
      </c>
      <c r="BA52" s="4">
        <f t="shared" si="246"/>
        <v>1.8650653836658355</v>
      </c>
      <c r="BB52" s="4">
        <f t="shared" si="247"/>
        <v>-0.14326316998838973</v>
      </c>
      <c r="BC52" s="4">
        <f t="shared" si="248"/>
        <v>0.11559097469801949</v>
      </c>
      <c r="BD52" s="5">
        <f t="shared" si="249"/>
        <v>4414.1179490613849</v>
      </c>
      <c r="BE52" s="4">
        <f t="shared" si="250"/>
        <v>1.5853055761159602</v>
      </c>
      <c r="BF52" s="5">
        <f t="shared" si="251"/>
        <v>3752.000256702177</v>
      </c>
      <c r="BG52" s="4">
        <f t="shared" si="252"/>
        <v>0.27975980754987534</v>
      </c>
      <c r="BH52" s="5">
        <f t="shared" si="253"/>
        <v>662.11769235920769</v>
      </c>
      <c r="BI52" t="s">
        <v>67</v>
      </c>
      <c r="BJ52">
        <v>333</v>
      </c>
      <c r="BK52">
        <v>219</v>
      </c>
      <c r="BL52">
        <v>120</v>
      </c>
      <c r="BM52">
        <v>20</v>
      </c>
      <c r="BN52" s="4">
        <f t="shared" si="254"/>
        <v>2.3931396197985606</v>
      </c>
      <c r="BO52" s="5">
        <f t="shared" si="255"/>
        <v>5623.1279253239272</v>
      </c>
      <c r="BP52" s="4">
        <f t="shared" si="256"/>
        <v>1.9145116958388486</v>
      </c>
      <c r="BQ52" s="5">
        <f t="shared" si="257"/>
        <v>4498.5023402591423</v>
      </c>
      <c r="BR52" s="4">
        <f t="shared" si="258"/>
        <v>0.47862792395971215</v>
      </c>
      <c r="BS52" s="5">
        <f t="shared" si="259"/>
        <v>1124.6255850647856</v>
      </c>
      <c r="BT52" t="s">
        <v>67</v>
      </c>
      <c r="BU52">
        <v>233</v>
      </c>
      <c r="BV52">
        <v>210</v>
      </c>
      <c r="BW52">
        <v>120</v>
      </c>
      <c r="BX52">
        <v>20</v>
      </c>
      <c r="BY52" s="4">
        <f t="shared" si="260"/>
        <v>1.5413360416858581</v>
      </c>
      <c r="BZ52" s="5">
        <f t="shared" si="261"/>
        <v>3668.1603412604359</v>
      </c>
      <c r="CA52" t="s">
        <v>67</v>
      </c>
      <c r="CB52">
        <v>245</v>
      </c>
      <c r="CC52">
        <v>215</v>
      </c>
      <c r="CD52">
        <v>114</v>
      </c>
      <c r="CE52">
        <v>15</v>
      </c>
      <c r="CF52" s="4">
        <f t="shared" si="262"/>
        <v>1.5788073880615505</v>
      </c>
      <c r="CG52" s="5">
        <f t="shared" si="263"/>
        <v>3754.7204208432645</v>
      </c>
      <c r="CH52" s="4">
        <f t="shared" si="264"/>
        <v>1.3419862798523179</v>
      </c>
      <c r="CI52" s="5">
        <f t="shared" si="265"/>
        <v>3191.5123577167747</v>
      </c>
      <c r="CJ52" s="4">
        <f t="shared" si="266"/>
        <v>0.23682110820923258</v>
      </c>
      <c r="CK52" s="5">
        <f t="shared" si="267"/>
        <v>563.20806312648961</v>
      </c>
    </row>
    <row r="53" spans="1:89">
      <c r="A53" t="s">
        <v>68</v>
      </c>
      <c r="B53">
        <v>206</v>
      </c>
      <c r="C53">
        <v>196</v>
      </c>
      <c r="D53">
        <v>156</v>
      </c>
      <c r="E53">
        <v>5</v>
      </c>
      <c r="F53" s="4">
        <f t="shared" si="219"/>
        <v>1.650005302369856</v>
      </c>
      <c r="G53" s="5">
        <f t="shared" si="220"/>
        <v>3919.0270851983473</v>
      </c>
      <c r="H53" s="4">
        <f t="shared" si="221"/>
        <v>1.567505037251363</v>
      </c>
      <c r="I53" s="5">
        <f t="shared" si="222"/>
        <v>3723.0757309384298</v>
      </c>
      <c r="J53" s="4">
        <f t="shared" si="223"/>
        <v>8.2500265118492802E-2</v>
      </c>
      <c r="K53" s="5">
        <f t="shared" si="224"/>
        <v>195.95135425991737</v>
      </c>
      <c r="L53" t="s">
        <v>68</v>
      </c>
      <c r="M53">
        <v>204</v>
      </c>
      <c r="N53">
        <v>193</v>
      </c>
      <c r="O53">
        <v>158</v>
      </c>
      <c r="P53">
        <v>5</v>
      </c>
      <c r="Q53" s="4">
        <f t="shared" si="225"/>
        <v>1.6298466186096277</v>
      </c>
      <c r="R53" s="4">
        <f t="shared" si="226"/>
        <v>-2.0158683760228335E-2</v>
      </c>
      <c r="S53" s="5">
        <f t="shared" si="227"/>
        <v>3872.5272321486887</v>
      </c>
      <c r="T53" s="4">
        <f t="shared" si="228"/>
        <v>1.5483542876791463</v>
      </c>
      <c r="U53" s="5">
        <f t="shared" si="229"/>
        <v>3678.9008705412539</v>
      </c>
      <c r="V53" s="4">
        <f t="shared" si="230"/>
        <v>8.1492330930481388E-2</v>
      </c>
      <c r="W53" s="5">
        <f t="shared" si="231"/>
        <v>193.62636160743443</v>
      </c>
      <c r="X53" t="s">
        <v>68</v>
      </c>
      <c r="Y53">
        <v>207</v>
      </c>
      <c r="Z53">
        <v>203</v>
      </c>
      <c r="AA53">
        <v>164</v>
      </c>
      <c r="AB53">
        <v>10</v>
      </c>
      <c r="AC53" s="4">
        <f t="shared" si="232"/>
        <v>1.8043475606505179</v>
      </c>
      <c r="AD53" s="4">
        <f t="shared" si="233"/>
        <v>0.17450094204089028</v>
      </c>
      <c r="AE53" s="5">
        <f t="shared" si="234"/>
        <v>4274.5156463057147</v>
      </c>
      <c r="AF53" s="4">
        <f t="shared" si="235"/>
        <v>1.6239128045854663</v>
      </c>
      <c r="AG53" s="5">
        <f t="shared" si="236"/>
        <v>3847.0640816751434</v>
      </c>
      <c r="AH53" s="4">
        <f t="shared" si="237"/>
        <v>0.1804347560650518</v>
      </c>
      <c r="AI53" s="5">
        <f t="shared" si="238"/>
        <v>427.45156463057151</v>
      </c>
      <c r="AJ53" t="s">
        <v>68</v>
      </c>
      <c r="AK53">
        <v>226</v>
      </c>
      <c r="AL53">
        <v>207</v>
      </c>
      <c r="AM53">
        <v>166</v>
      </c>
      <c r="AN53">
        <v>10</v>
      </c>
      <c r="AO53" s="4">
        <f t="shared" si="239"/>
        <v>2.0370069748916011</v>
      </c>
      <c r="AP53" s="4">
        <f t="shared" si="240"/>
        <v>0.23265941424108316</v>
      </c>
      <c r="AQ53" s="5">
        <f t="shared" si="241"/>
        <v>4808.744837806239</v>
      </c>
      <c r="AR53" s="4">
        <f t="shared" si="242"/>
        <v>1.8333062774024411</v>
      </c>
      <c r="AS53" s="5">
        <f t="shared" si="243"/>
        <v>4327.8703540256156</v>
      </c>
      <c r="AT53" s="4">
        <f t="shared" si="244"/>
        <v>0.20370069748916012</v>
      </c>
      <c r="AU53" s="5">
        <f t="shared" si="245"/>
        <v>480.8744837806239</v>
      </c>
      <c r="AV53" t="s">
        <v>68</v>
      </c>
      <c r="AW53">
        <v>210</v>
      </c>
      <c r="AX53">
        <v>218</v>
      </c>
      <c r="AY53">
        <v>169</v>
      </c>
      <c r="AZ53">
        <v>30</v>
      </c>
      <c r="BA53" s="4">
        <f t="shared" si="246"/>
        <v>2.026202645056824</v>
      </c>
      <c r="BB53" s="4">
        <f t="shared" si="247"/>
        <v>-1.0804329834777082E-2</v>
      </c>
      <c r="BC53" s="4">
        <f t="shared" si="248"/>
        <v>0.39635602644719636</v>
      </c>
      <c r="BD53" s="5">
        <f t="shared" si="249"/>
        <v>4783.9769061111501</v>
      </c>
      <c r="BE53" s="4">
        <f t="shared" si="250"/>
        <v>1.4183418515397768</v>
      </c>
      <c r="BF53" s="5">
        <f t="shared" si="251"/>
        <v>3348.783834277805</v>
      </c>
      <c r="BG53" s="4">
        <f t="shared" si="252"/>
        <v>0.60786079351704714</v>
      </c>
      <c r="BH53" s="5">
        <f t="shared" si="253"/>
        <v>1435.1930718333449</v>
      </c>
      <c r="BI53" t="s">
        <v>68</v>
      </c>
      <c r="BJ53">
        <v>246</v>
      </c>
      <c r="BK53">
        <v>219</v>
      </c>
      <c r="BL53">
        <v>171</v>
      </c>
      <c r="BM53">
        <v>20</v>
      </c>
      <c r="BN53" s="4">
        <f t="shared" si="254"/>
        <v>2.4199737297987389</v>
      </c>
      <c r="BO53" s="5">
        <f t="shared" si="255"/>
        <v>5684.3412553707294</v>
      </c>
      <c r="BP53" s="4">
        <f t="shared" si="256"/>
        <v>1.9359789838389911</v>
      </c>
      <c r="BQ53" s="5">
        <f t="shared" si="257"/>
        <v>4547.4730042965839</v>
      </c>
      <c r="BR53" s="4">
        <f t="shared" si="258"/>
        <v>0.48399474595974779</v>
      </c>
      <c r="BS53" s="5">
        <f t="shared" si="259"/>
        <v>1136.868251074146</v>
      </c>
      <c r="BT53" t="s">
        <v>68</v>
      </c>
      <c r="BU53">
        <v>215</v>
      </c>
      <c r="BV53">
        <v>181</v>
      </c>
      <c r="BW53">
        <v>171</v>
      </c>
      <c r="BX53">
        <v>20</v>
      </c>
      <c r="BY53" s="4">
        <f t="shared" si="260"/>
        <v>1.755072727076513</v>
      </c>
      <c r="BZ53" s="5">
        <f t="shared" si="261"/>
        <v>4161.1230547733676</v>
      </c>
      <c r="CA53" t="s">
        <v>68</v>
      </c>
      <c r="CB53">
        <v>228</v>
      </c>
      <c r="CC53">
        <v>189</v>
      </c>
      <c r="CD53">
        <v>169</v>
      </c>
      <c r="CE53">
        <v>10</v>
      </c>
      <c r="CF53" s="4">
        <f t="shared" si="262"/>
        <v>1.9233904257265162</v>
      </c>
      <c r="CG53" s="5">
        <f t="shared" si="263"/>
        <v>4548.0946464289073</v>
      </c>
      <c r="CH53" s="4">
        <f t="shared" si="264"/>
        <v>1.7310513831538645</v>
      </c>
      <c r="CI53" s="5">
        <f t="shared" si="265"/>
        <v>4093.2851817860164</v>
      </c>
      <c r="CJ53" s="4">
        <f t="shared" si="266"/>
        <v>0.19233904257265164</v>
      </c>
      <c r="CK53" s="5">
        <f t="shared" si="267"/>
        <v>454.80946464289076</v>
      </c>
    </row>
    <row r="54" spans="1:89">
      <c r="A54" t="s">
        <v>69</v>
      </c>
      <c r="B54">
        <v>206</v>
      </c>
      <c r="C54">
        <v>235</v>
      </c>
      <c r="D54">
        <v>145</v>
      </c>
      <c r="E54">
        <v>10</v>
      </c>
      <c r="F54" s="4">
        <f t="shared" si="219"/>
        <v>1.8456689942730311</v>
      </c>
      <c r="G54" s="5">
        <f t="shared" si="220"/>
        <v>4369.5363422933497</v>
      </c>
      <c r="H54" s="4">
        <f t="shared" si="221"/>
        <v>1.661102094845728</v>
      </c>
      <c r="I54" s="5">
        <f t="shared" si="222"/>
        <v>3932.5827080640147</v>
      </c>
      <c r="J54" s="4">
        <f t="shared" si="223"/>
        <v>0.18456689942730312</v>
      </c>
      <c r="K54" s="5">
        <f t="shared" si="224"/>
        <v>436.95363422933497</v>
      </c>
      <c r="L54" t="s">
        <v>69</v>
      </c>
      <c r="M54">
        <v>208</v>
      </c>
      <c r="N54">
        <v>201</v>
      </c>
      <c r="O54">
        <v>124</v>
      </c>
      <c r="P54">
        <v>60</v>
      </c>
      <c r="Q54" s="4">
        <f t="shared" si="225"/>
        <v>1.3576159651033153</v>
      </c>
      <c r="R54" s="4">
        <f t="shared" si="226"/>
        <v>-0.48805302916971582</v>
      </c>
      <c r="S54" s="5">
        <f t="shared" si="227"/>
        <v>3242.8466007160096</v>
      </c>
      <c r="T54" s="4">
        <f t="shared" si="228"/>
        <v>0.54304638604132616</v>
      </c>
      <c r="U54" s="5">
        <f t="shared" si="229"/>
        <v>1297.1386402864039</v>
      </c>
      <c r="V54" s="4">
        <f t="shared" si="230"/>
        <v>0.81456957906198912</v>
      </c>
      <c r="W54" s="5">
        <f t="shared" si="231"/>
        <v>1945.7079604296057</v>
      </c>
      <c r="X54" t="s">
        <v>69</v>
      </c>
      <c r="Y54">
        <v>133</v>
      </c>
      <c r="Z54">
        <v>144</v>
      </c>
      <c r="AA54">
        <v>132</v>
      </c>
      <c r="AB54">
        <v>40</v>
      </c>
      <c r="AC54" s="4">
        <f t="shared" si="232"/>
        <v>0.66289097247255102</v>
      </c>
      <c r="AD54" s="4">
        <f t="shared" si="233"/>
        <v>-0.69472499263076426</v>
      </c>
      <c r="AE54" s="5">
        <f t="shared" si="234"/>
        <v>1616.6659211806416</v>
      </c>
      <c r="AF54" s="4">
        <f t="shared" si="235"/>
        <v>0.39773458348353058</v>
      </c>
      <c r="AG54" s="5">
        <f t="shared" si="236"/>
        <v>969.99955270838495</v>
      </c>
      <c r="AH54" s="4">
        <f t="shared" si="237"/>
        <v>0.26515638898902044</v>
      </c>
      <c r="AI54" s="5">
        <f t="shared" si="238"/>
        <v>646.66636847225664</v>
      </c>
      <c r="AJ54" t="s">
        <v>69</v>
      </c>
      <c r="AK54">
        <v>145</v>
      </c>
      <c r="AL54">
        <v>161</v>
      </c>
      <c r="AM54">
        <v>130</v>
      </c>
      <c r="AN54">
        <v>35</v>
      </c>
      <c r="AO54" s="4">
        <f t="shared" si="239"/>
        <v>0.79670004296873753</v>
      </c>
      <c r="AP54" s="4">
        <f t="shared" si="240"/>
        <v>0.13380907049618651</v>
      </c>
      <c r="AQ54" s="5">
        <f t="shared" si="241"/>
        <v>1932.6681526195748</v>
      </c>
      <c r="AR54" s="4">
        <f t="shared" si="242"/>
        <v>0.51785502792967941</v>
      </c>
      <c r="AS54" s="5">
        <f t="shared" si="243"/>
        <v>1256.2342992027236</v>
      </c>
      <c r="AT54" s="4">
        <f t="shared" si="244"/>
        <v>0.27884501503905817</v>
      </c>
      <c r="AU54" s="5">
        <f t="shared" si="245"/>
        <v>676.43385341685121</v>
      </c>
      <c r="AV54" t="s">
        <v>69</v>
      </c>
      <c r="AW54">
        <v>188</v>
      </c>
      <c r="AX54">
        <v>227</v>
      </c>
      <c r="AY54">
        <v>121</v>
      </c>
      <c r="AZ54">
        <v>45</v>
      </c>
      <c r="BA54" s="4">
        <f t="shared" si="246"/>
        <v>1.3639240868021825</v>
      </c>
      <c r="BB54" s="4">
        <f t="shared" si="247"/>
        <v>0.56722404383344494</v>
      </c>
      <c r="BC54" s="4">
        <f t="shared" si="248"/>
        <v>6.3081216988671862E-3</v>
      </c>
      <c r="BD54" s="5">
        <f t="shared" si="249"/>
        <v>3257.4764397415415</v>
      </c>
      <c r="BE54" s="4">
        <f t="shared" si="250"/>
        <v>0.75015824774120043</v>
      </c>
      <c r="BF54" s="5">
        <f t="shared" si="251"/>
        <v>1791.612041857848</v>
      </c>
      <c r="BG54" s="4">
        <f t="shared" si="252"/>
        <v>0.61376583906098214</v>
      </c>
      <c r="BH54" s="5">
        <f t="shared" si="253"/>
        <v>1465.8643978836938</v>
      </c>
      <c r="BI54" t="s">
        <v>69</v>
      </c>
      <c r="BJ54">
        <v>249</v>
      </c>
      <c r="BK54">
        <v>196</v>
      </c>
      <c r="BL54">
        <v>128</v>
      </c>
      <c r="BM54">
        <v>30</v>
      </c>
      <c r="BN54" s="4">
        <f t="shared" si="254"/>
        <v>1.6589703606056501</v>
      </c>
      <c r="BO54" s="5">
        <f t="shared" si="255"/>
        <v>3939.7013996279388</v>
      </c>
      <c r="BP54" s="4">
        <f t="shared" si="256"/>
        <v>1.161279252423955</v>
      </c>
      <c r="BQ54" s="5">
        <f t="shared" si="257"/>
        <v>2757.7909797395569</v>
      </c>
      <c r="BR54" s="4">
        <f t="shared" si="258"/>
        <v>0.49769110818169499</v>
      </c>
      <c r="BS54" s="5">
        <f t="shared" si="259"/>
        <v>1181.9104198883815</v>
      </c>
      <c r="BT54" t="s">
        <v>69</v>
      </c>
      <c r="BU54">
        <v>152</v>
      </c>
      <c r="BV54">
        <v>130</v>
      </c>
      <c r="BW54">
        <v>105</v>
      </c>
      <c r="BX54">
        <v>30</v>
      </c>
      <c r="BY54" s="4">
        <f t="shared" si="260"/>
        <v>0.54650753102766347</v>
      </c>
      <c r="BZ54" s="5">
        <f t="shared" si="261"/>
        <v>1340.3118664938481</v>
      </c>
      <c r="CA54" t="s">
        <v>69</v>
      </c>
      <c r="CB54">
        <v>215</v>
      </c>
      <c r="CC54">
        <v>170</v>
      </c>
      <c r="CD54">
        <v>110</v>
      </c>
      <c r="CE54">
        <v>35</v>
      </c>
      <c r="CF54" s="4">
        <f t="shared" si="262"/>
        <v>1.0671433920545454</v>
      </c>
      <c r="CG54" s="5">
        <f t="shared" si="263"/>
        <v>2566.8726280834576</v>
      </c>
      <c r="CH54" s="4">
        <f t="shared" si="264"/>
        <v>0.69364320483545461</v>
      </c>
      <c r="CI54" s="5">
        <f t="shared" si="265"/>
        <v>1668.4672082542475</v>
      </c>
      <c r="CJ54" s="4">
        <f t="shared" si="266"/>
        <v>0.37350018721909095</v>
      </c>
      <c r="CK54" s="5">
        <f t="shared" si="267"/>
        <v>898.40541982921025</v>
      </c>
    </row>
    <row r="55" spans="1:89" ht="23">
      <c r="B55" s="6">
        <f>AVERAGE(B45:B54)</f>
        <v>228.5</v>
      </c>
      <c r="C55" s="6">
        <f>AVERAGE(C45:C54)</f>
        <v>222.9</v>
      </c>
      <c r="D55" s="6">
        <f>AVERAGE(D45:D54)</f>
        <v>151.80000000000001</v>
      </c>
      <c r="E55" s="7">
        <f>AVERAGE(E45:E54)</f>
        <v>10</v>
      </c>
      <c r="F55" s="6">
        <f t="shared" ref="F55:K55" si="268">AVERAGE(F45:F54)</f>
        <v>2.1488039594066199</v>
      </c>
      <c r="G55" s="7">
        <f t="shared" si="268"/>
        <v>5051.1565416005378</v>
      </c>
      <c r="H55" s="6">
        <f t="shared" si="268"/>
        <v>1.9110291173366316</v>
      </c>
      <c r="I55" s="7">
        <f t="shared" si="268"/>
        <v>4493.6780029165184</v>
      </c>
      <c r="J55" s="6">
        <f t="shared" si="268"/>
        <v>0.23777484206998795</v>
      </c>
      <c r="K55" s="7">
        <f t="shared" si="268"/>
        <v>557.47853868401944</v>
      </c>
      <c r="M55" s="6">
        <f>AVERAGE(M45:M54)</f>
        <v>220.9</v>
      </c>
      <c r="N55" s="6">
        <f>AVERAGE(N45:N54)</f>
        <v>214.7</v>
      </c>
      <c r="O55" s="6">
        <f>AVERAGE(O45:O54)</f>
        <v>146.80000000000001</v>
      </c>
      <c r="P55" s="7">
        <f>AVERAGE(P45:P54)</f>
        <v>16</v>
      </c>
      <c r="Q55" s="6">
        <f t="shared" ref="Q55:W55" si="269">AVERAGE(Q45:Q54)</f>
        <v>1.9264823419462709</v>
      </c>
      <c r="R55" s="6">
        <f t="shared" si="269"/>
        <v>-0.22232161746034915</v>
      </c>
      <c r="S55" s="7">
        <f t="shared" si="269"/>
        <v>4543.9057491560052</v>
      </c>
      <c r="T55" s="6">
        <f t="shared" si="269"/>
        <v>1.6633056406578794</v>
      </c>
      <c r="U55" s="7">
        <f t="shared" si="269"/>
        <v>3920.7138649756716</v>
      </c>
      <c r="V55" s="6">
        <f t="shared" si="269"/>
        <v>0.26317670128839132</v>
      </c>
      <c r="W55" s="7">
        <f t="shared" si="269"/>
        <v>623.19188418033355</v>
      </c>
      <c r="Y55" s="6">
        <f t="shared" ref="Y55:AI55" si="270">AVERAGE(Y45:Y54)</f>
        <v>227.7</v>
      </c>
      <c r="Z55" s="6">
        <f t="shared" si="270"/>
        <v>215.1</v>
      </c>
      <c r="AA55" s="6">
        <f t="shared" si="270"/>
        <v>153.5</v>
      </c>
      <c r="AB55" s="6">
        <f t="shared" si="270"/>
        <v>18.5</v>
      </c>
      <c r="AC55" s="6">
        <f t="shared" si="270"/>
        <v>2.1684763049891185</v>
      </c>
      <c r="AD55" s="6">
        <f t="shared" si="270"/>
        <v>0.24199396304284782</v>
      </c>
      <c r="AE55" s="6">
        <f t="shared" si="270"/>
        <v>5088.775905475849</v>
      </c>
      <c r="AF55" s="6">
        <f t="shared" si="270"/>
        <v>1.7807626212538654</v>
      </c>
      <c r="AG55" s="6">
        <f t="shared" si="270"/>
        <v>4179.6376606857038</v>
      </c>
      <c r="AH55" s="6">
        <f t="shared" si="270"/>
        <v>0.38771368373525322</v>
      </c>
      <c r="AI55" s="6">
        <f t="shared" si="270"/>
        <v>909.13824479014534</v>
      </c>
      <c r="AK55" s="6">
        <f t="shared" ref="AK55:AU55" si="271">AVERAGE(AK45:AK54)</f>
        <v>235.7</v>
      </c>
      <c r="AL55" s="6">
        <f t="shared" si="271"/>
        <v>223.4</v>
      </c>
      <c r="AM55" s="6">
        <f t="shared" si="271"/>
        <v>153.5</v>
      </c>
      <c r="AN55" s="6">
        <f t="shared" si="271"/>
        <v>14</v>
      </c>
      <c r="AO55" s="6">
        <f t="shared" si="271"/>
        <v>2.3255147828048459</v>
      </c>
      <c r="AP55" s="6">
        <f t="shared" si="271"/>
        <v>0.15703847781572752</v>
      </c>
      <c r="AQ55" s="6">
        <f t="shared" si="271"/>
        <v>5446.94039273824</v>
      </c>
      <c r="AR55" s="6">
        <f t="shared" si="271"/>
        <v>2.0167088459782065</v>
      </c>
      <c r="AS55" s="6">
        <f t="shared" si="271"/>
        <v>4723.7140616069937</v>
      </c>
      <c r="AT55" s="6">
        <f t="shared" si="271"/>
        <v>0.30880593682664015</v>
      </c>
      <c r="AU55" s="6">
        <f t="shared" si="271"/>
        <v>723.22633113124652</v>
      </c>
      <c r="AW55" s="6">
        <f t="shared" ref="AW55:BH55" si="272">AVERAGE(AW45:AW54)</f>
        <v>238.6</v>
      </c>
      <c r="AX55" s="6">
        <f t="shared" si="272"/>
        <v>241</v>
      </c>
      <c r="AY55" s="6">
        <f t="shared" si="272"/>
        <v>152</v>
      </c>
      <c r="AZ55" s="7">
        <f t="shared" si="272"/>
        <v>32.5</v>
      </c>
      <c r="BA55" s="6">
        <f t="shared" si="272"/>
        <v>2.4981131632447529</v>
      </c>
      <c r="BB55" s="6">
        <f t="shared" si="272"/>
        <v>0.17259838043990663</v>
      </c>
      <c r="BC55" s="6">
        <f t="shared" si="272"/>
        <v>0.57163082129848186</v>
      </c>
      <c r="BD55" s="7">
        <f t="shared" si="272"/>
        <v>5839.7598977826947</v>
      </c>
      <c r="BE55" s="6">
        <f t="shared" si="272"/>
        <v>1.6172925044608573</v>
      </c>
      <c r="BF55" s="7">
        <f t="shared" si="272"/>
        <v>3786.2597598180218</v>
      </c>
      <c r="BG55" s="6">
        <f t="shared" si="272"/>
        <v>0.88082065878389548</v>
      </c>
      <c r="BH55" s="7">
        <f t="shared" si="272"/>
        <v>2053.5001379646719</v>
      </c>
      <c r="BJ55" s="6">
        <f t="shared" ref="BJ55:BS55" si="273">AVERAGE(BJ45:BJ54)</f>
        <v>270.3</v>
      </c>
      <c r="BK55" s="6">
        <f t="shared" si="273"/>
        <v>239</v>
      </c>
      <c r="BL55" s="6">
        <f t="shared" si="273"/>
        <v>146</v>
      </c>
      <c r="BM55" s="7">
        <f t="shared" si="273"/>
        <v>24</v>
      </c>
      <c r="BN55" s="6">
        <f t="shared" si="273"/>
        <v>2.6897770382862398</v>
      </c>
      <c r="BO55" s="7">
        <f t="shared" si="273"/>
        <v>6275.6259909733562</v>
      </c>
      <c r="BP55" s="6">
        <f t="shared" si="273"/>
        <v>1.9782452687962813</v>
      </c>
      <c r="BQ55" s="7">
        <f t="shared" si="273"/>
        <v>4619.9730370242632</v>
      </c>
      <c r="BR55" s="6">
        <f t="shared" si="273"/>
        <v>0.71153176948995889</v>
      </c>
      <c r="BS55" s="7">
        <f t="shared" si="273"/>
        <v>1655.6529539490919</v>
      </c>
      <c r="BU55" s="6">
        <f t="shared" ref="BU55:BZ55" si="274">AVERAGE(BU45:BU54)</f>
        <v>229.2</v>
      </c>
      <c r="BV55" s="6">
        <f t="shared" si="274"/>
        <v>206.8</v>
      </c>
      <c r="BW55" s="6">
        <f t="shared" si="274"/>
        <v>140.4</v>
      </c>
      <c r="BX55" s="6">
        <f t="shared" si="274"/>
        <v>24</v>
      </c>
      <c r="BY55" s="6">
        <f t="shared" si="274"/>
        <v>1.9766187049456452</v>
      </c>
      <c r="BZ55" s="6">
        <f t="shared" si="274"/>
        <v>4645.2952101002074</v>
      </c>
      <c r="CB55" s="6">
        <f t="shared" ref="CB55:CJ55" si="275">AVERAGE(CB45:CB54)</f>
        <v>245.9</v>
      </c>
      <c r="CC55" s="6">
        <f t="shared" si="275"/>
        <v>226.7</v>
      </c>
      <c r="CD55" s="6">
        <f t="shared" si="275"/>
        <v>140.4</v>
      </c>
      <c r="CE55" s="7">
        <f t="shared" si="275"/>
        <v>20</v>
      </c>
      <c r="CF55" s="6">
        <f t="shared" si="275"/>
        <v>2.2341206099791791</v>
      </c>
      <c r="CG55" s="7">
        <f t="shared" si="275"/>
        <v>5239.9943624596035</v>
      </c>
      <c r="CH55" s="6">
        <f t="shared" si="275"/>
        <v>1.721541510574583</v>
      </c>
      <c r="CI55" s="7">
        <f t="shared" si="275"/>
        <v>4042.9743284201541</v>
      </c>
      <c r="CJ55" s="6">
        <f t="shared" si="275"/>
        <v>0.51257909940459534</v>
      </c>
      <c r="CK55" s="7">
        <f>AVERAGE(CK45:CK54)</f>
        <v>1197.0200340394492</v>
      </c>
    </row>
    <row r="56" spans="1:89" ht="18">
      <c r="B56" s="6">
        <f>STDEV(B45:B54)</f>
        <v>49.989443330011632</v>
      </c>
      <c r="C56" s="6">
        <f>STDEV(C45:C54)</f>
        <v>36.921688898411915</v>
      </c>
      <c r="D56" s="6">
        <f>STDEV(D45:D54)</f>
        <v>19.280387271352563</v>
      </c>
      <c r="E56" s="6">
        <f>STDEV(E45:E54)</f>
        <v>5.2704627669472988</v>
      </c>
      <c r="F56" s="6">
        <f t="shared" ref="F56:K56" si="276">STDEV(F45:F54)</f>
        <v>1.0085702925611082</v>
      </c>
      <c r="G56" s="6">
        <f t="shared" si="276"/>
        <v>2302.5343834224941</v>
      </c>
      <c r="H56" s="6">
        <f t="shared" si="276"/>
        <v>0.85281578603803077</v>
      </c>
      <c r="I56" s="6">
        <f t="shared" si="276"/>
        <v>1945.2743444541327</v>
      </c>
      <c r="J56" s="6">
        <f t="shared" si="276"/>
        <v>0.22033889771897222</v>
      </c>
      <c r="K56" s="6">
        <f t="shared" si="276"/>
        <v>508.97308250977613</v>
      </c>
      <c r="M56" s="6">
        <f>STDEV(M45:M54)</f>
        <v>40.429499680857383</v>
      </c>
      <c r="N56" s="6">
        <f>STDEV(N45:N54)</f>
        <v>35.50915374942069</v>
      </c>
      <c r="O56" s="6">
        <f>STDEV(O45:O54)</f>
        <v>22.250093632761804</v>
      </c>
      <c r="P56" s="6">
        <f>STDEV(P45:P54)</f>
        <v>17.126976771553505</v>
      </c>
      <c r="Q56" s="6">
        <f t="shared" ref="Q56:W56" si="277">STDEV(Q45:Q54)</f>
        <v>0.86614757735034664</v>
      </c>
      <c r="R56" s="6">
        <f t="shared" si="277"/>
        <v>0.21839859323955071</v>
      </c>
      <c r="S56" s="6">
        <f t="shared" si="277"/>
        <v>1984.2120138739717</v>
      </c>
      <c r="T56" s="6">
        <f t="shared" si="277"/>
        <v>0.85408302559682236</v>
      </c>
      <c r="U56" s="6">
        <f t="shared" si="277"/>
        <v>1970.1657979068452</v>
      </c>
      <c r="V56" s="6">
        <f t="shared" si="277"/>
        <v>0.23539523270225018</v>
      </c>
      <c r="W56" s="6">
        <f t="shared" si="277"/>
        <v>558.29436932768022</v>
      </c>
      <c r="Y56" s="6">
        <f>STDEV(Y45:Y54)</f>
        <v>59.157135382527301</v>
      </c>
      <c r="Z56" s="6">
        <f>STDEV(Z45:Z54)</f>
        <v>50.216088612670326</v>
      </c>
      <c r="AA56" s="6">
        <f>STDEV(AA45:AA54)</f>
        <v>22.187333723946594</v>
      </c>
      <c r="AB56" s="6">
        <f>STDEV(AB45:AB54)</f>
        <v>9.7325342137709558</v>
      </c>
      <c r="AC56" s="6">
        <f t="shared" ref="AC56:AI56" si="278">STDEV(AC45:AC54)</f>
        <v>1.2380574577329753</v>
      </c>
      <c r="AD56" s="6">
        <f t="shared" si="278"/>
        <v>0.44022627185946173</v>
      </c>
      <c r="AE56" s="6">
        <f t="shared" si="278"/>
        <v>2828.4097419665177</v>
      </c>
      <c r="AF56" s="6">
        <f t="shared" si="278"/>
        <v>0.97736273733529799</v>
      </c>
      <c r="AG56" s="6">
        <f t="shared" si="278"/>
        <v>2238.9040654792689</v>
      </c>
      <c r="AH56" s="6">
        <f t="shared" si="278"/>
        <v>0.35033447867274164</v>
      </c>
      <c r="AI56" s="6">
        <f t="shared" si="278"/>
        <v>803.58743378868928</v>
      </c>
      <c r="AK56" s="6">
        <f>STDEV(AK45:AK54)</f>
        <v>62.467858402008076</v>
      </c>
      <c r="AL56" s="6">
        <f>STDEV(AL45:AL54)</f>
        <v>44.272389188346807</v>
      </c>
      <c r="AM56" s="6">
        <f>STDEV(AM45:AM54)</f>
        <v>23.047053318519193</v>
      </c>
      <c r="AN56" s="6">
        <f>STDEV(AN45:AN54)</f>
        <v>8.4327404271156787</v>
      </c>
      <c r="AO56" s="6">
        <f t="shared" ref="AO56:AU56" si="279">STDEV(AO45:AO54)</f>
        <v>1.3167044677098234</v>
      </c>
      <c r="AP56" s="6">
        <f t="shared" si="279"/>
        <v>0.30873515285060277</v>
      </c>
      <c r="AQ56" s="6">
        <f t="shared" si="279"/>
        <v>3000.6740955572955</v>
      </c>
      <c r="AR56" s="6">
        <f t="shared" si="279"/>
        <v>1.1198972338631059</v>
      </c>
      <c r="AS56" s="6">
        <f t="shared" si="279"/>
        <v>2557.3158929462443</v>
      </c>
      <c r="AT56" s="6">
        <f t="shared" si="279"/>
        <v>0.2620614851681845</v>
      </c>
      <c r="AU56" s="6">
        <f t="shared" si="279"/>
        <v>600.02973129546251</v>
      </c>
      <c r="AW56" s="6">
        <f t="shared" ref="AW56:BH56" si="280">STDEV(AW45:AW54)</f>
        <v>50.093689999617524</v>
      </c>
      <c r="AX56" s="6">
        <f t="shared" si="280"/>
        <v>54.463035374666937</v>
      </c>
      <c r="AY56" s="6">
        <f t="shared" si="280"/>
        <v>25.577768124334504</v>
      </c>
      <c r="AZ56" s="6">
        <f t="shared" si="280"/>
        <v>10.34139470499238</v>
      </c>
      <c r="BA56" s="6">
        <f t="shared" si="280"/>
        <v>1.4285950750145842</v>
      </c>
      <c r="BB56" s="6">
        <f t="shared" si="280"/>
        <v>0.28672807245712295</v>
      </c>
      <c r="BC56" s="6">
        <f t="shared" si="280"/>
        <v>0.60574738548548945</v>
      </c>
      <c r="BD56" s="6">
        <f t="shared" si="280"/>
        <v>3242.496773709403</v>
      </c>
      <c r="BE56" s="6">
        <f t="shared" si="280"/>
        <v>0.7519165860504754</v>
      </c>
      <c r="BF56" s="6">
        <f t="shared" si="280"/>
        <v>1707.1411610159942</v>
      </c>
      <c r="BG56" s="6">
        <f t="shared" si="280"/>
        <v>0.75916759673856693</v>
      </c>
      <c r="BH56" s="6">
        <f t="shared" si="280"/>
        <v>1732.982011219844</v>
      </c>
      <c r="BJ56" s="6">
        <f t="shared" ref="BJ56:BS56" si="281">STDEV(BJ45:BJ54)</f>
        <v>57.979019193727865</v>
      </c>
      <c r="BK56" s="6">
        <f t="shared" si="281"/>
        <v>51.637626247189601</v>
      </c>
      <c r="BL56" s="6">
        <f t="shared" si="281"/>
        <v>27.394241081739143</v>
      </c>
      <c r="BM56" s="6">
        <f t="shared" si="281"/>
        <v>8.755950357709132</v>
      </c>
      <c r="BN56" s="6">
        <f t="shared" si="281"/>
        <v>1.4872968563385669</v>
      </c>
      <c r="BO56" s="6">
        <f t="shared" si="281"/>
        <v>3370.0133012234787</v>
      </c>
      <c r="BP56" s="6">
        <f t="shared" si="281"/>
        <v>0.97548495755846465</v>
      </c>
      <c r="BQ56" s="6">
        <f t="shared" si="281"/>
        <v>2209.420555239275</v>
      </c>
      <c r="BR56" s="6">
        <f t="shared" si="281"/>
        <v>0.63192125820137812</v>
      </c>
      <c r="BS56" s="6">
        <f t="shared" si="281"/>
        <v>1441.9933799256046</v>
      </c>
      <c r="BU56" s="6">
        <f t="shared" ref="BU56:BZ56" si="282">STDEV(BU45:BU54)</f>
        <v>61.410820617289318</v>
      </c>
      <c r="BV56" s="6">
        <f t="shared" si="282"/>
        <v>50.174805541338259</v>
      </c>
      <c r="BW56" s="6">
        <f t="shared" si="282"/>
        <v>32.229041424018654</v>
      </c>
      <c r="BX56" s="6">
        <f t="shared" si="282"/>
        <v>8.755950357709132</v>
      </c>
      <c r="BY56" s="6">
        <f t="shared" si="282"/>
        <v>1.3266963946823427</v>
      </c>
      <c r="BZ56" s="6">
        <f t="shared" si="282"/>
        <v>3030.5814515810398</v>
      </c>
      <c r="CB56" s="6">
        <f>STDEV(CB45:CB54)</f>
        <v>47.573218422880679</v>
      </c>
      <c r="CC56" s="6">
        <f>STDEV(CC45:CC54)</f>
        <v>44.462343617942558</v>
      </c>
      <c r="CD56" s="6">
        <f>STDEV(CD45:CD54)</f>
        <v>29.643061770186804</v>
      </c>
      <c r="CE56" s="6">
        <f t="shared" ref="CE56:CK56" si="283">STDEV(CE45:CE54)</f>
        <v>10.540925533894598</v>
      </c>
      <c r="CF56" s="6">
        <f t="shared" si="283"/>
        <v>1.2652508583272828</v>
      </c>
      <c r="CG56" s="6">
        <f t="shared" si="283"/>
        <v>2880.9450729093601</v>
      </c>
      <c r="CH56" s="6">
        <f t="shared" si="283"/>
        <v>0.80913924658542902</v>
      </c>
      <c r="CI56" s="6">
        <f t="shared" si="283"/>
        <v>1842.0553705592704</v>
      </c>
      <c r="CJ56" s="6">
        <f t="shared" si="283"/>
        <v>0.54909497955246922</v>
      </c>
      <c r="CK56" s="6">
        <f t="shared" si="283"/>
        <v>1259.7880810146632</v>
      </c>
    </row>
    <row r="57" spans="1:89" ht="18">
      <c r="B57" s="6">
        <f>CONFIDENCE(0.05,B56,10)</f>
        <v>30.983208643611601</v>
      </c>
      <c r="C57" s="6">
        <f>CONFIDENCE(0.05,C56,10)</f>
        <v>22.883879363530177</v>
      </c>
      <c r="D57" s="6">
        <f>CONFIDENCE(0.05,D56,10)</f>
        <v>11.949888251692416</v>
      </c>
      <c r="E57" s="6">
        <f>CONFIDENCE(0.05,E56,10)</f>
        <v>3.2666066409000889</v>
      </c>
      <c r="F57" s="6">
        <f t="shared" ref="F57:K57" si="284">CONFIDENCE(0.05,F56,10)</f>
        <v>0.625106857059333</v>
      </c>
      <c r="G57" s="6">
        <f t="shared" si="284"/>
        <v>1427.099372555708</v>
      </c>
      <c r="H57" s="6">
        <f t="shared" si="284"/>
        <v>0.52857098765728117</v>
      </c>
      <c r="I57" s="6">
        <f t="shared" si="284"/>
        <v>1205.6713751621837</v>
      </c>
      <c r="J57" s="6">
        <f t="shared" si="284"/>
        <v>0.13656495422968185</v>
      </c>
      <c r="K57" s="6">
        <f t="shared" si="284"/>
        <v>315.45898811629888</v>
      </c>
      <c r="M57" s="6">
        <f>CONFIDENCE(0.05,M56,10)</f>
        <v>25.058003060754256</v>
      </c>
      <c r="N57" s="6">
        <f>CONFIDENCE(0.05,N56,10)</f>
        <v>22.008397095229835</v>
      </c>
      <c r="O57" s="6">
        <f>CONFIDENCE(0.05,O56,10)</f>
        <v>13.790497501897118</v>
      </c>
      <c r="P57" s="6">
        <f>CONFIDENCE(0.05,P56,10)</f>
        <v>10.615215121404477</v>
      </c>
      <c r="Q57" s="6">
        <f t="shared" ref="Q57:W57" si="285">CONFIDENCE(0.05,Q56,10)</f>
        <v>0.53683396568437569</v>
      </c>
      <c r="R57" s="6">
        <f t="shared" si="285"/>
        <v>0.13536236315217809</v>
      </c>
      <c r="S57" s="6">
        <f t="shared" si="285"/>
        <v>1229.804749238117</v>
      </c>
      <c r="T57" s="6">
        <f t="shared" si="285"/>
        <v>0.52935641644056008</v>
      </c>
      <c r="U57" s="6">
        <f t="shared" si="285"/>
        <v>1221.0989743590151</v>
      </c>
      <c r="V57" s="6">
        <f t="shared" si="285"/>
        <v>0.14589679585703091</v>
      </c>
      <c r="W57" s="6">
        <f t="shared" si="285"/>
        <v>346.02807667290432</v>
      </c>
      <c r="Y57" s="6">
        <f t="shared" ref="Y57:AI57" si="286">CONFIDENCE(0.05,Y56,10)</f>
        <v>36.665298635458818</v>
      </c>
      <c r="Z57" s="6">
        <f t="shared" si="286"/>
        <v>31.123682263898722</v>
      </c>
      <c r="AA57" s="6">
        <f t="shared" si="286"/>
        <v>13.751599222185565</v>
      </c>
      <c r="AB57" s="6">
        <f t="shared" si="286"/>
        <v>6.0321763574294183</v>
      </c>
      <c r="AC57" s="6">
        <f t="shared" si="286"/>
        <v>0.76734186201051258</v>
      </c>
      <c r="AD57" s="6">
        <f t="shared" si="286"/>
        <v>0.27285005638845167</v>
      </c>
      <c r="AE57" s="6">
        <f t="shared" si="286"/>
        <v>1753.0343073926738</v>
      </c>
      <c r="AF57" s="6">
        <f t="shared" si="286"/>
        <v>0.60576456936000556</v>
      </c>
      <c r="AG57" s="6">
        <f t="shared" si="286"/>
        <v>1387.6616175905374</v>
      </c>
      <c r="AH57" s="6">
        <f t="shared" si="286"/>
        <v>0.21713556952637358</v>
      </c>
      <c r="AI57" s="6">
        <f t="shared" si="286"/>
        <v>498.05949948460028</v>
      </c>
      <c r="AK57" s="6">
        <f t="shared" ref="AK57:AU57" si="287">CONFIDENCE(0.05,AK56,10)</f>
        <v>38.717268316269362</v>
      </c>
      <c r="AL57" s="6">
        <f t="shared" si="287"/>
        <v>27.439806887191523</v>
      </c>
      <c r="AM57" s="6">
        <f t="shared" si="287"/>
        <v>14.284449156076551</v>
      </c>
      <c r="AN57" s="6">
        <f t="shared" si="287"/>
        <v>5.2265706254401429</v>
      </c>
      <c r="AO57" s="6">
        <f t="shared" si="287"/>
        <v>0.81608688809977037</v>
      </c>
      <c r="AP57" s="6">
        <f t="shared" si="287"/>
        <v>0.19135251403459305</v>
      </c>
      <c r="AQ57" s="6">
        <f t="shared" si="287"/>
        <v>1859.8028979913945</v>
      </c>
      <c r="AR57" s="6">
        <f t="shared" si="287"/>
        <v>0.6941067422399726</v>
      </c>
      <c r="AS57" s="6">
        <f t="shared" si="287"/>
        <v>1585.0116864815857</v>
      </c>
      <c r="AT57" s="6">
        <f t="shared" si="287"/>
        <v>0.16242440666559624</v>
      </c>
      <c r="AU57" s="6">
        <f t="shared" si="287"/>
        <v>371.89544669196852</v>
      </c>
      <c r="AW57" s="6">
        <f t="shared" ref="AW57:BH57" si="288">CONFIDENCE(0.05,AW56,10)</f>
        <v>31.047820211567629</v>
      </c>
      <c r="AX57" s="6">
        <f t="shared" si="288"/>
        <v>33.755918769446168</v>
      </c>
      <c r="AY57" s="6">
        <f t="shared" si="288"/>
        <v>15.852973620900485</v>
      </c>
      <c r="AZ57" s="6">
        <f t="shared" si="288"/>
        <v>6.4095450652549717</v>
      </c>
      <c r="BA57" s="6">
        <f t="shared" si="288"/>
        <v>0.88543613066880156</v>
      </c>
      <c r="BB57" s="6">
        <f t="shared" si="288"/>
        <v>0.17771263493118714</v>
      </c>
      <c r="BC57" s="6">
        <f t="shared" si="288"/>
        <v>0.37543922035538252</v>
      </c>
      <c r="BD57" s="6">
        <f t="shared" si="288"/>
        <v>2009.6833926086556</v>
      </c>
      <c r="BE57" s="6">
        <f t="shared" si="288"/>
        <v>0.4660341647414899</v>
      </c>
      <c r="BF57" s="6">
        <f t="shared" si="288"/>
        <v>1058.0776110403544</v>
      </c>
      <c r="BG57" s="6">
        <f t="shared" si="288"/>
        <v>0.47052830514515637</v>
      </c>
      <c r="BH57" s="6">
        <f t="shared" si="288"/>
        <v>1074.093641627227</v>
      </c>
      <c r="BJ57" s="6">
        <f t="shared" ref="BJ57:BS57" si="289">CONFIDENCE(0.05,BJ56,10)</f>
        <v>35.935108074163345</v>
      </c>
      <c r="BK57" s="6">
        <f t="shared" si="289"/>
        <v>32.004744228007745</v>
      </c>
      <c r="BL57" s="6">
        <f t="shared" si="289"/>
        <v>16.978814536215452</v>
      </c>
      <c r="BM57" s="6">
        <f t="shared" si="289"/>
        <v>5.4268945348134681</v>
      </c>
      <c r="BN57" s="6">
        <f t="shared" si="289"/>
        <v>0.92181920312083465</v>
      </c>
      <c r="BO57" s="6">
        <f t="shared" si="289"/>
        <v>2088.7175028986076</v>
      </c>
      <c r="BP57" s="6">
        <f t="shared" si="289"/>
        <v>0.60460073078256227</v>
      </c>
      <c r="BQ57" s="6">
        <f t="shared" si="289"/>
        <v>1369.3878844088886</v>
      </c>
      <c r="BR57" s="6">
        <f t="shared" si="289"/>
        <v>0.39166165664086228</v>
      </c>
      <c r="BS57" s="6">
        <f t="shared" si="289"/>
        <v>893.74033349395381</v>
      </c>
      <c r="BU57" s="6">
        <f t="shared" ref="BU57:BZ57" si="290">CONFIDENCE(0.05,BU56,10)</f>
        <v>38.062121548342454</v>
      </c>
      <c r="BV57" s="6">
        <f t="shared" si="290"/>
        <v>31.09809522136883</v>
      </c>
      <c r="BW57" s="6">
        <f t="shared" si="290"/>
        <v>19.975399770544691</v>
      </c>
      <c r="BX57" s="6">
        <f t="shared" si="290"/>
        <v>5.4268945348134681</v>
      </c>
      <c r="BY57" s="6">
        <f t="shared" si="290"/>
        <v>0.82227983480048772</v>
      </c>
      <c r="BZ57" s="6">
        <f t="shared" si="290"/>
        <v>1878.3393286842752</v>
      </c>
      <c r="CB57" s="6">
        <f t="shared" ref="CB57:CK57" si="291">CONFIDENCE(0.05,CB56,10)</f>
        <v>29.485644449241285</v>
      </c>
      <c r="CC57" s="6">
        <f t="shared" si="291"/>
        <v>27.557539699019216</v>
      </c>
      <c r="CD57" s="6">
        <f t="shared" si="291"/>
        <v>18.372622427459039</v>
      </c>
      <c r="CE57" s="6">
        <f t="shared" si="291"/>
        <v>6.5332132818001778</v>
      </c>
      <c r="CF57" s="6">
        <f t="shared" si="291"/>
        <v>0.78419619661033235</v>
      </c>
      <c r="CG57" s="6">
        <f t="shared" si="291"/>
        <v>1785.5954445315238</v>
      </c>
      <c r="CH57" s="6">
        <f t="shared" si="291"/>
        <v>0.50150048547630444</v>
      </c>
      <c r="CI57" s="6">
        <f t="shared" si="291"/>
        <v>1141.6967679025738</v>
      </c>
      <c r="CJ57" s="6">
        <f t="shared" si="291"/>
        <v>0.34032634058999517</v>
      </c>
      <c r="CK57" s="6">
        <f t="shared" si="291"/>
        <v>780.81039436938465</v>
      </c>
    </row>
    <row r="59" spans="1:89">
      <c r="BA59" s="4"/>
      <c r="BB59" s="4"/>
      <c r="BC59" s="4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Mahall</dc:creator>
  <cp:lastModifiedBy>Bruce Mahall</cp:lastModifiedBy>
  <dcterms:created xsi:type="dcterms:W3CDTF">2017-10-25T21:12:23Z</dcterms:created>
  <dcterms:modified xsi:type="dcterms:W3CDTF">2017-10-25T21:13:27Z</dcterms:modified>
</cp:coreProperties>
</file>