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B45" i="1" l="1"/>
  <c r="CC45" i="1"/>
  <c r="CG45" i="1"/>
  <c r="CB46" i="1"/>
  <c r="CC46" i="1"/>
  <c r="CG46" i="1"/>
  <c r="CB47" i="1"/>
  <c r="CC47" i="1"/>
  <c r="CG47" i="1"/>
  <c r="CB48" i="1"/>
  <c r="CC48" i="1"/>
  <c r="CG48" i="1"/>
  <c r="CB49" i="1"/>
  <c r="CC49" i="1"/>
  <c r="CG49" i="1"/>
  <c r="CB50" i="1"/>
  <c r="CC50" i="1"/>
  <c r="CG50" i="1"/>
  <c r="CB51" i="1"/>
  <c r="CC51" i="1"/>
  <c r="CG51" i="1"/>
  <c r="CB52" i="1"/>
  <c r="CC52" i="1"/>
  <c r="CG52" i="1"/>
  <c r="CB53" i="1"/>
  <c r="CC53" i="1"/>
  <c r="CG53" i="1"/>
  <c r="CB54" i="1"/>
  <c r="CC54" i="1"/>
  <c r="CG54" i="1"/>
  <c r="CG56" i="1"/>
  <c r="CG57" i="1"/>
  <c r="CF45" i="1"/>
  <c r="CF46" i="1"/>
  <c r="CF47" i="1"/>
  <c r="CF48" i="1"/>
  <c r="CF49" i="1"/>
  <c r="CF50" i="1"/>
  <c r="CF51" i="1"/>
  <c r="CF52" i="1"/>
  <c r="CF53" i="1"/>
  <c r="CF54" i="1"/>
  <c r="CF56" i="1"/>
  <c r="CF57" i="1"/>
  <c r="CE45" i="1"/>
  <c r="CE46" i="1"/>
  <c r="CE47" i="1"/>
  <c r="CE48" i="1"/>
  <c r="CE49" i="1"/>
  <c r="CE50" i="1"/>
  <c r="CE51" i="1"/>
  <c r="CE52" i="1"/>
  <c r="CE53" i="1"/>
  <c r="CE54" i="1"/>
  <c r="CE56" i="1"/>
  <c r="CE57" i="1"/>
  <c r="CD45" i="1"/>
  <c r="CD46" i="1"/>
  <c r="CD47" i="1"/>
  <c r="CD48" i="1"/>
  <c r="CD49" i="1"/>
  <c r="CD50" i="1"/>
  <c r="CD51" i="1"/>
  <c r="CD52" i="1"/>
  <c r="CD53" i="1"/>
  <c r="CD54" i="1"/>
  <c r="CD56" i="1"/>
  <c r="CD57" i="1"/>
  <c r="CC56" i="1"/>
  <c r="CC57" i="1"/>
  <c r="CB56" i="1"/>
  <c r="CB57" i="1"/>
  <c r="CA56" i="1"/>
  <c r="CA57" i="1"/>
  <c r="BZ56" i="1"/>
  <c r="BZ57" i="1"/>
  <c r="BY56" i="1"/>
  <c r="BY57" i="1"/>
  <c r="BX56" i="1"/>
  <c r="BX57" i="1"/>
  <c r="BT45" i="1"/>
  <c r="BU45" i="1"/>
  <c r="BT46" i="1"/>
  <c r="BU46" i="1"/>
  <c r="BT47" i="1"/>
  <c r="BU47" i="1"/>
  <c r="BT48" i="1"/>
  <c r="BU48" i="1"/>
  <c r="BT49" i="1"/>
  <c r="BU49" i="1"/>
  <c r="BT50" i="1"/>
  <c r="BU50" i="1"/>
  <c r="BT51" i="1"/>
  <c r="BU51" i="1"/>
  <c r="BT52" i="1"/>
  <c r="BU52" i="1"/>
  <c r="BT53" i="1"/>
  <c r="BU53" i="1"/>
  <c r="BT54" i="1"/>
  <c r="BU54" i="1"/>
  <c r="BU56" i="1"/>
  <c r="BU57" i="1"/>
  <c r="BT56" i="1"/>
  <c r="BT57" i="1"/>
  <c r="BS56" i="1"/>
  <c r="BS57" i="1"/>
  <c r="BR56" i="1"/>
  <c r="BR57" i="1"/>
  <c r="BQ56" i="1"/>
  <c r="BQ57" i="1"/>
  <c r="BP56" i="1"/>
  <c r="BP57" i="1"/>
  <c r="BI45" i="1"/>
  <c r="BJ45" i="1"/>
  <c r="BN45" i="1"/>
  <c r="BI46" i="1"/>
  <c r="BJ46" i="1"/>
  <c r="BN46" i="1"/>
  <c r="BI47" i="1"/>
  <c r="BJ47" i="1"/>
  <c r="BN47" i="1"/>
  <c r="BI48" i="1"/>
  <c r="BJ48" i="1"/>
  <c r="BN48" i="1"/>
  <c r="BI49" i="1"/>
  <c r="BJ49" i="1"/>
  <c r="BN49" i="1"/>
  <c r="BI50" i="1"/>
  <c r="BJ50" i="1"/>
  <c r="BN50" i="1"/>
  <c r="BI51" i="1"/>
  <c r="BJ51" i="1"/>
  <c r="BN51" i="1"/>
  <c r="BI52" i="1"/>
  <c r="BJ52" i="1"/>
  <c r="BN52" i="1"/>
  <c r="BI53" i="1"/>
  <c r="BJ53" i="1"/>
  <c r="BN53" i="1"/>
  <c r="BI54" i="1"/>
  <c r="BJ54" i="1"/>
  <c r="BN54" i="1"/>
  <c r="BN56" i="1"/>
  <c r="BN57" i="1"/>
  <c r="BM45" i="1"/>
  <c r="BM46" i="1"/>
  <c r="BM47" i="1"/>
  <c r="BM48" i="1"/>
  <c r="BM49" i="1"/>
  <c r="BM50" i="1"/>
  <c r="BM51" i="1"/>
  <c r="BM52" i="1"/>
  <c r="BM53" i="1"/>
  <c r="BM54" i="1"/>
  <c r="BM56" i="1"/>
  <c r="BM57" i="1"/>
  <c r="BL45" i="1"/>
  <c r="BL46" i="1"/>
  <c r="BL47" i="1"/>
  <c r="BL48" i="1"/>
  <c r="BL49" i="1"/>
  <c r="BL50" i="1"/>
  <c r="BL51" i="1"/>
  <c r="BL52" i="1"/>
  <c r="BL53" i="1"/>
  <c r="BL54" i="1"/>
  <c r="BL56" i="1"/>
  <c r="BL57" i="1"/>
  <c r="BK45" i="1"/>
  <c r="BK46" i="1"/>
  <c r="BK47" i="1"/>
  <c r="BK48" i="1"/>
  <c r="BK49" i="1"/>
  <c r="BK50" i="1"/>
  <c r="BK51" i="1"/>
  <c r="BK52" i="1"/>
  <c r="BK53" i="1"/>
  <c r="BK54" i="1"/>
  <c r="BK56" i="1"/>
  <c r="BK57" i="1"/>
  <c r="BJ56" i="1"/>
  <c r="BJ57" i="1"/>
  <c r="BI56" i="1"/>
  <c r="BI57" i="1"/>
  <c r="BH56" i="1"/>
  <c r="BH57" i="1"/>
  <c r="BG56" i="1"/>
  <c r="BG57" i="1"/>
  <c r="BF56" i="1"/>
  <c r="BF57" i="1"/>
  <c r="BE56" i="1"/>
  <c r="BE57" i="1"/>
  <c r="AX45" i="1"/>
  <c r="AY45" i="1"/>
  <c r="BC45" i="1"/>
  <c r="AX46" i="1"/>
  <c r="AY46" i="1"/>
  <c r="BC46" i="1"/>
  <c r="AX47" i="1"/>
  <c r="AY47" i="1"/>
  <c r="BC47" i="1"/>
  <c r="AX48" i="1"/>
  <c r="AY48" i="1"/>
  <c r="BC48" i="1"/>
  <c r="AX49" i="1"/>
  <c r="AY49" i="1"/>
  <c r="BC49" i="1"/>
  <c r="AX50" i="1"/>
  <c r="AY50" i="1"/>
  <c r="BC50" i="1"/>
  <c r="AX51" i="1"/>
  <c r="AY51" i="1"/>
  <c r="BC51" i="1"/>
  <c r="AX52" i="1"/>
  <c r="AY52" i="1"/>
  <c r="BC52" i="1"/>
  <c r="AX53" i="1"/>
  <c r="AY53" i="1"/>
  <c r="BC53" i="1"/>
  <c r="AX54" i="1"/>
  <c r="AY54" i="1"/>
  <c r="BC54" i="1"/>
  <c r="BC56" i="1"/>
  <c r="BC57" i="1"/>
  <c r="BB45" i="1"/>
  <c r="BB46" i="1"/>
  <c r="BB47" i="1"/>
  <c r="BB48" i="1"/>
  <c r="BB49" i="1"/>
  <c r="BB50" i="1"/>
  <c r="BB51" i="1"/>
  <c r="BB52" i="1"/>
  <c r="BB53" i="1"/>
  <c r="BB54" i="1"/>
  <c r="BB56" i="1"/>
  <c r="BB57" i="1"/>
  <c r="BA45" i="1"/>
  <c r="BA46" i="1"/>
  <c r="BA47" i="1"/>
  <c r="BA48" i="1"/>
  <c r="BA49" i="1"/>
  <c r="BA50" i="1"/>
  <c r="BA51" i="1"/>
  <c r="BA52" i="1"/>
  <c r="BA53" i="1"/>
  <c r="BA54" i="1"/>
  <c r="BA56" i="1"/>
  <c r="BA57" i="1"/>
  <c r="AZ45" i="1"/>
  <c r="AZ46" i="1"/>
  <c r="AZ47" i="1"/>
  <c r="AZ48" i="1"/>
  <c r="AZ49" i="1"/>
  <c r="AZ50" i="1"/>
  <c r="AZ51" i="1"/>
  <c r="AZ52" i="1"/>
  <c r="AZ53" i="1"/>
  <c r="AZ54" i="1"/>
  <c r="AZ56" i="1"/>
  <c r="AZ57" i="1"/>
  <c r="AY56" i="1"/>
  <c r="AY57" i="1"/>
  <c r="AX56" i="1"/>
  <c r="AX57" i="1"/>
  <c r="AW56" i="1"/>
  <c r="AW57" i="1"/>
  <c r="AV56" i="1"/>
  <c r="AV57" i="1"/>
  <c r="AU56" i="1"/>
  <c r="AU57" i="1"/>
  <c r="AT56" i="1"/>
  <c r="AT57" i="1"/>
  <c r="AM45" i="1"/>
  <c r="AN45" i="1"/>
  <c r="AM46" i="1"/>
  <c r="AN46" i="1"/>
  <c r="AM47" i="1"/>
  <c r="AN47" i="1"/>
  <c r="AM48" i="1"/>
  <c r="AN48" i="1"/>
  <c r="AM49" i="1"/>
  <c r="AN49" i="1"/>
  <c r="AM50" i="1"/>
  <c r="AN50" i="1"/>
  <c r="AM51" i="1"/>
  <c r="AN51" i="1"/>
  <c r="AM52" i="1"/>
  <c r="AN52" i="1"/>
  <c r="AM53" i="1"/>
  <c r="AN53" i="1"/>
  <c r="AM54" i="1"/>
  <c r="AN54" i="1"/>
  <c r="AN56" i="1"/>
  <c r="AN57" i="1"/>
  <c r="AM56" i="1"/>
  <c r="AM57" i="1"/>
  <c r="AL56" i="1"/>
  <c r="AL57" i="1"/>
  <c r="AK56" i="1"/>
  <c r="AK57" i="1"/>
  <c r="AJ56" i="1"/>
  <c r="AJ57" i="1"/>
  <c r="AI56" i="1"/>
  <c r="AI57" i="1"/>
  <c r="AE56" i="1"/>
  <c r="AE57" i="1"/>
  <c r="AD56" i="1"/>
  <c r="AD57" i="1"/>
  <c r="AB45" i="1"/>
  <c r="AC45" i="1"/>
  <c r="AB46" i="1"/>
  <c r="AC46" i="1"/>
  <c r="AB47" i="1"/>
  <c r="AC47" i="1"/>
  <c r="AB48" i="1"/>
  <c r="AC48" i="1"/>
  <c r="AC49" i="1"/>
  <c r="AB50" i="1"/>
  <c r="AC50" i="1"/>
  <c r="AB51" i="1"/>
  <c r="AC51" i="1"/>
  <c r="AB52" i="1"/>
  <c r="AC52" i="1"/>
  <c r="AB53" i="1"/>
  <c r="AC53" i="1"/>
  <c r="AB54" i="1"/>
  <c r="AC54" i="1"/>
  <c r="AC56" i="1"/>
  <c r="AC57" i="1"/>
  <c r="AB56" i="1"/>
  <c r="AB57" i="1"/>
  <c r="AA56" i="1"/>
  <c r="AA57" i="1"/>
  <c r="Z56" i="1"/>
  <c r="Z57" i="1"/>
  <c r="Y56" i="1"/>
  <c r="Y57" i="1"/>
  <c r="X56" i="1"/>
  <c r="X57" i="1"/>
  <c r="Q45" i="1"/>
  <c r="R45" i="1"/>
  <c r="V45" i="1"/>
  <c r="Q46" i="1"/>
  <c r="R46" i="1"/>
  <c r="V46" i="1"/>
  <c r="Q47" i="1"/>
  <c r="R47" i="1"/>
  <c r="V47" i="1"/>
  <c r="Q48" i="1"/>
  <c r="R48" i="1"/>
  <c r="V48" i="1"/>
  <c r="Q49" i="1"/>
  <c r="R49" i="1"/>
  <c r="V49" i="1"/>
  <c r="Q50" i="1"/>
  <c r="R50" i="1"/>
  <c r="V50" i="1"/>
  <c r="Q51" i="1"/>
  <c r="R51" i="1"/>
  <c r="V51" i="1"/>
  <c r="Q52" i="1"/>
  <c r="R52" i="1"/>
  <c r="V52" i="1"/>
  <c r="Q53" i="1"/>
  <c r="R53" i="1"/>
  <c r="V53" i="1"/>
  <c r="Q54" i="1"/>
  <c r="R54" i="1"/>
  <c r="V54" i="1"/>
  <c r="V56" i="1"/>
  <c r="V57" i="1"/>
  <c r="U45" i="1"/>
  <c r="U46" i="1"/>
  <c r="U47" i="1"/>
  <c r="U48" i="1"/>
  <c r="U49" i="1"/>
  <c r="U50" i="1"/>
  <c r="U51" i="1"/>
  <c r="U52" i="1"/>
  <c r="U53" i="1"/>
  <c r="U54" i="1"/>
  <c r="U56" i="1"/>
  <c r="U57" i="1"/>
  <c r="T45" i="1"/>
  <c r="T46" i="1"/>
  <c r="T47" i="1"/>
  <c r="T48" i="1"/>
  <c r="T49" i="1"/>
  <c r="T50" i="1"/>
  <c r="T51" i="1"/>
  <c r="T52" i="1"/>
  <c r="T53" i="1"/>
  <c r="T54" i="1"/>
  <c r="T56" i="1"/>
  <c r="T57" i="1"/>
  <c r="S45" i="1"/>
  <c r="S46" i="1"/>
  <c r="S47" i="1"/>
  <c r="S48" i="1"/>
  <c r="S49" i="1"/>
  <c r="S50" i="1"/>
  <c r="S51" i="1"/>
  <c r="S52" i="1"/>
  <c r="S53" i="1"/>
  <c r="S54" i="1"/>
  <c r="S56" i="1"/>
  <c r="S57" i="1"/>
  <c r="R56" i="1"/>
  <c r="R57" i="1"/>
  <c r="Q56" i="1"/>
  <c r="Q57" i="1"/>
  <c r="F45" i="1"/>
  <c r="G45" i="1"/>
  <c r="K45" i="1"/>
  <c r="F46" i="1"/>
  <c r="G46" i="1"/>
  <c r="K46" i="1"/>
  <c r="F47" i="1"/>
  <c r="G47" i="1"/>
  <c r="K47" i="1"/>
  <c r="F48" i="1"/>
  <c r="G48" i="1"/>
  <c r="K48" i="1"/>
  <c r="F49" i="1"/>
  <c r="G49" i="1"/>
  <c r="K49" i="1"/>
  <c r="F50" i="1"/>
  <c r="G50" i="1"/>
  <c r="K50" i="1"/>
  <c r="F51" i="1"/>
  <c r="G51" i="1"/>
  <c r="K51" i="1"/>
  <c r="F52" i="1"/>
  <c r="G52" i="1"/>
  <c r="K52" i="1"/>
  <c r="F53" i="1"/>
  <c r="G53" i="1"/>
  <c r="K53" i="1"/>
  <c r="F54" i="1"/>
  <c r="G54" i="1"/>
  <c r="K54" i="1"/>
  <c r="K56" i="1"/>
  <c r="K57" i="1"/>
  <c r="J45" i="1"/>
  <c r="J46" i="1"/>
  <c r="J47" i="1"/>
  <c r="J48" i="1"/>
  <c r="J49" i="1"/>
  <c r="J50" i="1"/>
  <c r="J51" i="1"/>
  <c r="J52" i="1"/>
  <c r="J53" i="1"/>
  <c r="J54" i="1"/>
  <c r="J56" i="1"/>
  <c r="J57" i="1"/>
  <c r="I45" i="1"/>
  <c r="I46" i="1"/>
  <c r="I47" i="1"/>
  <c r="I48" i="1"/>
  <c r="I49" i="1"/>
  <c r="I50" i="1"/>
  <c r="I51" i="1"/>
  <c r="I52" i="1"/>
  <c r="I53" i="1"/>
  <c r="I54" i="1"/>
  <c r="I56" i="1"/>
  <c r="I57" i="1"/>
  <c r="H45" i="1"/>
  <c r="H46" i="1"/>
  <c r="H47" i="1"/>
  <c r="H48" i="1"/>
  <c r="H49" i="1"/>
  <c r="H50" i="1"/>
  <c r="H51" i="1"/>
  <c r="H52" i="1"/>
  <c r="H53" i="1"/>
  <c r="H54" i="1"/>
  <c r="H56" i="1"/>
  <c r="H57" i="1"/>
  <c r="G56" i="1"/>
  <c r="G57" i="1"/>
  <c r="F56" i="1"/>
  <c r="F57" i="1"/>
  <c r="CG55" i="1"/>
  <c r="CF55" i="1"/>
  <c r="CE55" i="1"/>
  <c r="CD55" i="1"/>
  <c r="CC55" i="1"/>
  <c r="CB55" i="1"/>
  <c r="CA55" i="1"/>
  <c r="BZ55" i="1"/>
  <c r="BY55" i="1"/>
  <c r="BX55" i="1"/>
  <c r="BU55" i="1"/>
  <c r="BT55" i="1"/>
  <c r="BS55" i="1"/>
  <c r="BR55" i="1"/>
  <c r="BQ55" i="1"/>
  <c r="BP55" i="1"/>
  <c r="BN55" i="1"/>
  <c r="BM55" i="1"/>
  <c r="BL55" i="1"/>
  <c r="BK55" i="1"/>
  <c r="BJ55" i="1"/>
  <c r="BI55" i="1"/>
  <c r="BH55" i="1"/>
  <c r="BG55" i="1"/>
  <c r="BF55" i="1"/>
  <c r="BE55" i="1"/>
  <c r="BC55" i="1"/>
  <c r="BB55" i="1"/>
  <c r="BA55" i="1"/>
  <c r="AZ55" i="1"/>
  <c r="AY55" i="1"/>
  <c r="AX55" i="1"/>
  <c r="AW55" i="1"/>
  <c r="AV55" i="1"/>
  <c r="AU55" i="1"/>
  <c r="AT55" i="1"/>
  <c r="AN55" i="1"/>
  <c r="AM55" i="1"/>
  <c r="AL55" i="1"/>
  <c r="AK55" i="1"/>
  <c r="AJ55" i="1"/>
  <c r="AI55" i="1"/>
  <c r="AE55" i="1"/>
  <c r="AD55" i="1"/>
  <c r="AC55" i="1"/>
  <c r="AB55" i="1"/>
  <c r="AA55" i="1"/>
  <c r="Z55" i="1"/>
  <c r="Y55" i="1"/>
  <c r="X55" i="1"/>
  <c r="V55" i="1"/>
  <c r="U55" i="1"/>
  <c r="T55" i="1"/>
  <c r="S55" i="1"/>
  <c r="R55" i="1"/>
  <c r="Q55" i="1"/>
  <c r="K55" i="1"/>
  <c r="J55" i="1"/>
  <c r="I55" i="1"/>
  <c r="H55" i="1"/>
  <c r="G55" i="1"/>
  <c r="F55" i="1"/>
  <c r="CB31" i="1"/>
  <c r="CC31" i="1"/>
  <c r="CG31" i="1"/>
  <c r="CB32" i="1"/>
  <c r="CC32" i="1"/>
  <c r="CG32" i="1"/>
  <c r="CB33" i="1"/>
  <c r="CC33" i="1"/>
  <c r="CG33" i="1"/>
  <c r="CB34" i="1"/>
  <c r="CC34" i="1"/>
  <c r="CG34" i="1"/>
  <c r="CB35" i="1"/>
  <c r="CC35" i="1"/>
  <c r="CG35" i="1"/>
  <c r="CB36" i="1"/>
  <c r="CC36" i="1"/>
  <c r="CG36" i="1"/>
  <c r="CB37" i="1"/>
  <c r="CC37" i="1"/>
  <c r="CG37" i="1"/>
  <c r="CB38" i="1"/>
  <c r="CC38" i="1"/>
  <c r="CG38" i="1"/>
  <c r="CB39" i="1"/>
  <c r="CC39" i="1"/>
  <c r="CG39" i="1"/>
  <c r="CB40" i="1"/>
  <c r="CC40" i="1"/>
  <c r="CG40" i="1"/>
  <c r="CG42" i="1"/>
  <c r="CG43" i="1"/>
  <c r="CF31" i="1"/>
  <c r="CF32" i="1"/>
  <c r="CF33" i="1"/>
  <c r="CF34" i="1"/>
  <c r="CF35" i="1"/>
  <c r="CF36" i="1"/>
  <c r="CF37" i="1"/>
  <c r="CF38" i="1"/>
  <c r="CF39" i="1"/>
  <c r="CF40" i="1"/>
  <c r="CF42" i="1"/>
  <c r="CF43" i="1"/>
  <c r="CE31" i="1"/>
  <c r="CE32" i="1"/>
  <c r="CE33" i="1"/>
  <c r="CE34" i="1"/>
  <c r="CE35" i="1"/>
  <c r="CE36" i="1"/>
  <c r="CE37" i="1"/>
  <c r="CE38" i="1"/>
  <c r="CE39" i="1"/>
  <c r="CE40" i="1"/>
  <c r="CE42" i="1"/>
  <c r="CE43" i="1"/>
  <c r="CD31" i="1"/>
  <c r="CD32" i="1"/>
  <c r="CD33" i="1"/>
  <c r="CD34" i="1"/>
  <c r="CD35" i="1"/>
  <c r="CD36" i="1"/>
  <c r="CD37" i="1"/>
  <c r="CD38" i="1"/>
  <c r="CD39" i="1"/>
  <c r="CD40" i="1"/>
  <c r="CD42" i="1"/>
  <c r="CD43" i="1"/>
  <c r="CC42" i="1"/>
  <c r="CC43" i="1"/>
  <c r="CB42" i="1"/>
  <c r="CB43" i="1"/>
  <c r="CA42" i="1"/>
  <c r="CA43" i="1"/>
  <c r="BZ42" i="1"/>
  <c r="BZ43" i="1"/>
  <c r="BY42" i="1"/>
  <c r="BY43" i="1"/>
  <c r="BX42" i="1"/>
  <c r="BX43" i="1"/>
  <c r="BT31" i="1"/>
  <c r="BU31" i="1"/>
  <c r="BT32" i="1"/>
  <c r="BU32" i="1"/>
  <c r="BT33" i="1"/>
  <c r="BU33" i="1"/>
  <c r="BT34" i="1"/>
  <c r="BU34" i="1"/>
  <c r="BT35" i="1"/>
  <c r="BU35" i="1"/>
  <c r="BT36" i="1"/>
  <c r="BU36" i="1"/>
  <c r="BT37" i="1"/>
  <c r="BU37" i="1"/>
  <c r="BT39" i="1"/>
  <c r="BU39" i="1"/>
  <c r="BT40" i="1"/>
  <c r="BU40" i="1"/>
  <c r="BU42" i="1"/>
  <c r="BU43" i="1"/>
  <c r="BT42" i="1"/>
  <c r="BT43" i="1"/>
  <c r="BS42" i="1"/>
  <c r="BS43" i="1"/>
  <c r="BR42" i="1"/>
  <c r="BR43" i="1"/>
  <c r="BQ42" i="1"/>
  <c r="BQ43" i="1"/>
  <c r="BP42" i="1"/>
  <c r="BP43" i="1"/>
  <c r="BI31" i="1"/>
  <c r="BJ31" i="1"/>
  <c r="BN31" i="1"/>
  <c r="BI32" i="1"/>
  <c r="BJ32" i="1"/>
  <c r="BN32" i="1"/>
  <c r="BI33" i="1"/>
  <c r="BJ33" i="1"/>
  <c r="BN33" i="1"/>
  <c r="BI34" i="1"/>
  <c r="BJ34" i="1"/>
  <c r="BN34" i="1"/>
  <c r="BI35" i="1"/>
  <c r="BJ35" i="1"/>
  <c r="BN35" i="1"/>
  <c r="BI36" i="1"/>
  <c r="BJ36" i="1"/>
  <c r="BN36" i="1"/>
  <c r="BI37" i="1"/>
  <c r="BJ37" i="1"/>
  <c r="BN37" i="1"/>
  <c r="BI38" i="1"/>
  <c r="BJ38" i="1"/>
  <c r="BN38" i="1"/>
  <c r="BI39" i="1"/>
  <c r="BJ39" i="1"/>
  <c r="BN39" i="1"/>
  <c r="BI40" i="1"/>
  <c r="BJ40" i="1"/>
  <c r="BN40" i="1"/>
  <c r="BN42" i="1"/>
  <c r="BN43" i="1"/>
  <c r="BM31" i="1"/>
  <c r="BM32" i="1"/>
  <c r="BM33" i="1"/>
  <c r="BM34" i="1"/>
  <c r="BM35" i="1"/>
  <c r="BM36" i="1"/>
  <c r="BM37" i="1"/>
  <c r="BM38" i="1"/>
  <c r="BM39" i="1"/>
  <c r="BM40" i="1"/>
  <c r="BM42" i="1"/>
  <c r="BM43" i="1"/>
  <c r="BL31" i="1"/>
  <c r="BL32" i="1"/>
  <c r="BL33" i="1"/>
  <c r="BL34" i="1"/>
  <c r="BL35" i="1"/>
  <c r="BL36" i="1"/>
  <c r="BL37" i="1"/>
  <c r="BL38" i="1"/>
  <c r="BL39" i="1"/>
  <c r="BL40" i="1"/>
  <c r="BL42" i="1"/>
  <c r="BL43" i="1"/>
  <c r="BK31" i="1"/>
  <c r="BK32" i="1"/>
  <c r="BK33" i="1"/>
  <c r="BK34" i="1"/>
  <c r="BK35" i="1"/>
  <c r="BK36" i="1"/>
  <c r="BK37" i="1"/>
  <c r="BK38" i="1"/>
  <c r="BK39" i="1"/>
  <c r="BK40" i="1"/>
  <c r="BK42" i="1"/>
  <c r="BK43" i="1"/>
  <c r="BJ42" i="1"/>
  <c r="BJ43" i="1"/>
  <c r="BI42" i="1"/>
  <c r="BI43" i="1"/>
  <c r="BH42" i="1"/>
  <c r="BH43" i="1"/>
  <c r="BG42" i="1"/>
  <c r="BG43" i="1"/>
  <c r="BF42" i="1"/>
  <c r="BF43" i="1"/>
  <c r="BE42" i="1"/>
  <c r="BE43" i="1"/>
  <c r="AX31" i="1"/>
  <c r="AY31" i="1"/>
  <c r="BC31" i="1"/>
  <c r="AX32" i="1"/>
  <c r="AY32" i="1"/>
  <c r="BC32" i="1"/>
  <c r="AX33" i="1"/>
  <c r="AY33" i="1"/>
  <c r="BC33" i="1"/>
  <c r="AX34" i="1"/>
  <c r="AY34" i="1"/>
  <c r="BC34" i="1"/>
  <c r="AX35" i="1"/>
  <c r="AY35" i="1"/>
  <c r="BC35" i="1"/>
  <c r="AX36" i="1"/>
  <c r="AY36" i="1"/>
  <c r="BC36" i="1"/>
  <c r="AX37" i="1"/>
  <c r="AY37" i="1"/>
  <c r="BC37" i="1"/>
  <c r="AX38" i="1"/>
  <c r="AY38" i="1"/>
  <c r="BC38" i="1"/>
  <c r="AX39" i="1"/>
  <c r="AY39" i="1"/>
  <c r="BC39" i="1"/>
  <c r="AX40" i="1"/>
  <c r="AY40" i="1"/>
  <c r="BC40" i="1"/>
  <c r="BC42" i="1"/>
  <c r="BC43" i="1"/>
  <c r="BB31" i="1"/>
  <c r="BB32" i="1"/>
  <c r="BB33" i="1"/>
  <c r="BB34" i="1"/>
  <c r="BB35" i="1"/>
  <c r="BB36" i="1"/>
  <c r="BB37" i="1"/>
  <c r="BB38" i="1"/>
  <c r="BB39" i="1"/>
  <c r="BB40" i="1"/>
  <c r="BB42" i="1"/>
  <c r="BB43" i="1"/>
  <c r="BA31" i="1"/>
  <c r="BA32" i="1"/>
  <c r="BA33" i="1"/>
  <c r="BA34" i="1"/>
  <c r="BA35" i="1"/>
  <c r="BA36" i="1"/>
  <c r="BA37" i="1"/>
  <c r="BA38" i="1"/>
  <c r="BA39" i="1"/>
  <c r="BA40" i="1"/>
  <c r="BA42" i="1"/>
  <c r="BA43" i="1"/>
  <c r="AZ31" i="1"/>
  <c r="AZ32" i="1"/>
  <c r="AZ33" i="1"/>
  <c r="AZ34" i="1"/>
  <c r="AZ35" i="1"/>
  <c r="AZ36" i="1"/>
  <c r="AZ37" i="1"/>
  <c r="AZ38" i="1"/>
  <c r="AZ39" i="1"/>
  <c r="AZ40" i="1"/>
  <c r="AZ42" i="1"/>
  <c r="AZ43" i="1"/>
  <c r="AY42" i="1"/>
  <c r="AY43" i="1"/>
  <c r="AX42" i="1"/>
  <c r="AX43" i="1"/>
  <c r="AW42" i="1"/>
  <c r="AW43" i="1"/>
  <c r="AV42" i="1"/>
  <c r="AV43" i="1"/>
  <c r="AU42" i="1"/>
  <c r="AU43" i="1"/>
  <c r="AT42" i="1"/>
  <c r="AT43" i="1"/>
  <c r="AM31" i="1"/>
  <c r="AN31" i="1"/>
  <c r="AM32" i="1"/>
  <c r="AN32" i="1"/>
  <c r="AM33" i="1"/>
  <c r="AN33" i="1"/>
  <c r="AM34" i="1"/>
  <c r="AN34" i="1"/>
  <c r="AM35" i="1"/>
  <c r="AN35" i="1"/>
  <c r="AM36" i="1"/>
  <c r="AN36" i="1"/>
  <c r="AM37" i="1"/>
  <c r="AN37" i="1"/>
  <c r="AM39" i="1"/>
  <c r="AN39" i="1"/>
  <c r="AM40" i="1"/>
  <c r="AN40" i="1"/>
  <c r="AN42" i="1"/>
  <c r="AN43" i="1"/>
  <c r="AM42" i="1"/>
  <c r="AM43" i="1"/>
  <c r="AL42" i="1"/>
  <c r="AL43" i="1"/>
  <c r="AK42" i="1"/>
  <c r="AK43" i="1"/>
  <c r="AJ42" i="1"/>
  <c r="AJ43" i="1"/>
  <c r="AI42" i="1"/>
  <c r="AI43" i="1"/>
  <c r="AE42" i="1"/>
  <c r="AE43" i="1"/>
  <c r="AD42" i="1"/>
  <c r="AD43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9" i="1"/>
  <c r="AC39" i="1"/>
  <c r="AB40" i="1"/>
  <c r="AC40" i="1"/>
  <c r="AC42" i="1"/>
  <c r="AC43" i="1"/>
  <c r="AB42" i="1"/>
  <c r="AB43" i="1"/>
  <c r="AA42" i="1"/>
  <c r="AA43" i="1"/>
  <c r="Z42" i="1"/>
  <c r="Z43" i="1"/>
  <c r="Y42" i="1"/>
  <c r="Y43" i="1"/>
  <c r="X42" i="1"/>
  <c r="X43" i="1"/>
  <c r="Q31" i="1"/>
  <c r="R31" i="1"/>
  <c r="V31" i="1"/>
  <c r="Q32" i="1"/>
  <c r="R32" i="1"/>
  <c r="V32" i="1"/>
  <c r="Q33" i="1"/>
  <c r="R33" i="1"/>
  <c r="V33" i="1"/>
  <c r="Q34" i="1"/>
  <c r="R34" i="1"/>
  <c r="V34" i="1"/>
  <c r="Q35" i="1"/>
  <c r="R35" i="1"/>
  <c r="V35" i="1"/>
  <c r="Q36" i="1"/>
  <c r="R36" i="1"/>
  <c r="V36" i="1"/>
  <c r="Q37" i="1"/>
  <c r="R37" i="1"/>
  <c r="V37" i="1"/>
  <c r="Q38" i="1"/>
  <c r="R38" i="1"/>
  <c r="V38" i="1"/>
  <c r="Q39" i="1"/>
  <c r="R39" i="1"/>
  <c r="V39" i="1"/>
  <c r="Q40" i="1"/>
  <c r="R40" i="1"/>
  <c r="V40" i="1"/>
  <c r="V42" i="1"/>
  <c r="V43" i="1"/>
  <c r="U31" i="1"/>
  <c r="U32" i="1"/>
  <c r="U33" i="1"/>
  <c r="U34" i="1"/>
  <c r="U35" i="1"/>
  <c r="U36" i="1"/>
  <c r="U37" i="1"/>
  <c r="U38" i="1"/>
  <c r="U39" i="1"/>
  <c r="U40" i="1"/>
  <c r="U42" i="1"/>
  <c r="U43" i="1"/>
  <c r="T31" i="1"/>
  <c r="T32" i="1"/>
  <c r="T33" i="1"/>
  <c r="T34" i="1"/>
  <c r="T35" i="1"/>
  <c r="T36" i="1"/>
  <c r="T37" i="1"/>
  <c r="T38" i="1"/>
  <c r="T39" i="1"/>
  <c r="T40" i="1"/>
  <c r="T42" i="1"/>
  <c r="T43" i="1"/>
  <c r="S31" i="1"/>
  <c r="S32" i="1"/>
  <c r="S33" i="1"/>
  <c r="S34" i="1"/>
  <c r="S35" i="1"/>
  <c r="S36" i="1"/>
  <c r="S37" i="1"/>
  <c r="S38" i="1"/>
  <c r="S39" i="1"/>
  <c r="S40" i="1"/>
  <c r="S42" i="1"/>
  <c r="S43" i="1"/>
  <c r="R42" i="1"/>
  <c r="R43" i="1"/>
  <c r="Q42" i="1"/>
  <c r="Q43" i="1"/>
  <c r="F31" i="1"/>
  <c r="G31" i="1"/>
  <c r="K31" i="1"/>
  <c r="F32" i="1"/>
  <c r="G32" i="1"/>
  <c r="K32" i="1"/>
  <c r="F33" i="1"/>
  <c r="G33" i="1"/>
  <c r="K33" i="1"/>
  <c r="F34" i="1"/>
  <c r="G34" i="1"/>
  <c r="K34" i="1"/>
  <c r="F35" i="1"/>
  <c r="G35" i="1"/>
  <c r="K35" i="1"/>
  <c r="F36" i="1"/>
  <c r="G36" i="1"/>
  <c r="K36" i="1"/>
  <c r="F37" i="1"/>
  <c r="G37" i="1"/>
  <c r="K37" i="1"/>
  <c r="F38" i="1"/>
  <c r="G38" i="1"/>
  <c r="K38" i="1"/>
  <c r="F39" i="1"/>
  <c r="G39" i="1"/>
  <c r="K39" i="1"/>
  <c r="F40" i="1"/>
  <c r="G40" i="1"/>
  <c r="K40" i="1"/>
  <c r="K42" i="1"/>
  <c r="K43" i="1"/>
  <c r="J31" i="1"/>
  <c r="J32" i="1"/>
  <c r="J33" i="1"/>
  <c r="J34" i="1"/>
  <c r="J35" i="1"/>
  <c r="J36" i="1"/>
  <c r="J37" i="1"/>
  <c r="J38" i="1"/>
  <c r="J39" i="1"/>
  <c r="J40" i="1"/>
  <c r="J42" i="1"/>
  <c r="J43" i="1"/>
  <c r="I31" i="1"/>
  <c r="I32" i="1"/>
  <c r="I33" i="1"/>
  <c r="I34" i="1"/>
  <c r="I35" i="1"/>
  <c r="I36" i="1"/>
  <c r="I37" i="1"/>
  <c r="I38" i="1"/>
  <c r="I39" i="1"/>
  <c r="I40" i="1"/>
  <c r="I42" i="1"/>
  <c r="I43" i="1"/>
  <c r="H31" i="1"/>
  <c r="H32" i="1"/>
  <c r="H33" i="1"/>
  <c r="H34" i="1"/>
  <c r="H35" i="1"/>
  <c r="H36" i="1"/>
  <c r="H37" i="1"/>
  <c r="H38" i="1"/>
  <c r="H39" i="1"/>
  <c r="H40" i="1"/>
  <c r="H42" i="1"/>
  <c r="H43" i="1"/>
  <c r="G42" i="1"/>
  <c r="G43" i="1"/>
  <c r="F42" i="1"/>
  <c r="F43" i="1"/>
  <c r="CG41" i="1"/>
  <c r="CF41" i="1"/>
  <c r="CE41" i="1"/>
  <c r="CD41" i="1"/>
  <c r="CC41" i="1"/>
  <c r="CB41" i="1"/>
  <c r="CA41" i="1"/>
  <c r="BZ41" i="1"/>
  <c r="BY41" i="1"/>
  <c r="BX41" i="1"/>
  <c r="BU41" i="1"/>
  <c r="BT41" i="1"/>
  <c r="BS41" i="1"/>
  <c r="BR41" i="1"/>
  <c r="BQ41" i="1"/>
  <c r="BP41" i="1"/>
  <c r="BN41" i="1"/>
  <c r="BM41" i="1"/>
  <c r="BL41" i="1"/>
  <c r="BK41" i="1"/>
  <c r="BJ41" i="1"/>
  <c r="BI41" i="1"/>
  <c r="BH41" i="1"/>
  <c r="BG41" i="1"/>
  <c r="BF41" i="1"/>
  <c r="BE41" i="1"/>
  <c r="BC41" i="1"/>
  <c r="BB41" i="1"/>
  <c r="BA41" i="1"/>
  <c r="AZ41" i="1"/>
  <c r="AY41" i="1"/>
  <c r="AX41" i="1"/>
  <c r="AW41" i="1"/>
  <c r="AV41" i="1"/>
  <c r="AU41" i="1"/>
  <c r="AT41" i="1"/>
  <c r="AN41" i="1"/>
  <c r="AM41" i="1"/>
  <c r="AL41" i="1"/>
  <c r="AK41" i="1"/>
  <c r="AJ41" i="1"/>
  <c r="AI41" i="1"/>
  <c r="AE41" i="1"/>
  <c r="AD41" i="1"/>
  <c r="AC41" i="1"/>
  <c r="AB41" i="1"/>
  <c r="AA41" i="1"/>
  <c r="Z41" i="1"/>
  <c r="Y41" i="1"/>
  <c r="X41" i="1"/>
  <c r="V41" i="1"/>
  <c r="U41" i="1"/>
  <c r="T41" i="1"/>
  <c r="S41" i="1"/>
  <c r="R41" i="1"/>
  <c r="Q41" i="1"/>
  <c r="K41" i="1"/>
  <c r="J41" i="1"/>
  <c r="I41" i="1"/>
  <c r="H41" i="1"/>
  <c r="G41" i="1"/>
  <c r="F41" i="1"/>
  <c r="BT38" i="1"/>
  <c r="BU38" i="1"/>
  <c r="AM38" i="1"/>
  <c r="AN38" i="1"/>
  <c r="CB17" i="1"/>
  <c r="CC17" i="1"/>
  <c r="CG17" i="1"/>
  <c r="CB18" i="1"/>
  <c r="CC18" i="1"/>
  <c r="CG18" i="1"/>
  <c r="CB19" i="1"/>
  <c r="CC19" i="1"/>
  <c r="CG19" i="1"/>
  <c r="CB20" i="1"/>
  <c r="CC20" i="1"/>
  <c r="CG20" i="1"/>
  <c r="CB21" i="1"/>
  <c r="CC21" i="1"/>
  <c r="CG21" i="1"/>
  <c r="CB22" i="1"/>
  <c r="CC22" i="1"/>
  <c r="CG22" i="1"/>
  <c r="CB23" i="1"/>
  <c r="CC23" i="1"/>
  <c r="CG23" i="1"/>
  <c r="CB24" i="1"/>
  <c r="CC24" i="1"/>
  <c r="CG24" i="1"/>
  <c r="CB25" i="1"/>
  <c r="CC25" i="1"/>
  <c r="CG25" i="1"/>
  <c r="CB26" i="1"/>
  <c r="CC26" i="1"/>
  <c r="CG26" i="1"/>
  <c r="CG28" i="1"/>
  <c r="CG29" i="1"/>
  <c r="CF17" i="1"/>
  <c r="CF18" i="1"/>
  <c r="CF19" i="1"/>
  <c r="CF20" i="1"/>
  <c r="CF21" i="1"/>
  <c r="CF22" i="1"/>
  <c r="CF23" i="1"/>
  <c r="CF24" i="1"/>
  <c r="CF25" i="1"/>
  <c r="CF26" i="1"/>
  <c r="CF28" i="1"/>
  <c r="CF29" i="1"/>
  <c r="CE17" i="1"/>
  <c r="CE18" i="1"/>
  <c r="CE19" i="1"/>
  <c r="CE20" i="1"/>
  <c r="CE21" i="1"/>
  <c r="CE22" i="1"/>
  <c r="CE23" i="1"/>
  <c r="CE24" i="1"/>
  <c r="CE25" i="1"/>
  <c r="CE26" i="1"/>
  <c r="CE28" i="1"/>
  <c r="CE29" i="1"/>
  <c r="CD17" i="1"/>
  <c r="CD18" i="1"/>
  <c r="CD19" i="1"/>
  <c r="CD20" i="1"/>
  <c r="CD21" i="1"/>
  <c r="CD22" i="1"/>
  <c r="CD23" i="1"/>
  <c r="CD24" i="1"/>
  <c r="CD25" i="1"/>
  <c r="CD26" i="1"/>
  <c r="CD28" i="1"/>
  <c r="CD29" i="1"/>
  <c r="CC28" i="1"/>
  <c r="CC29" i="1"/>
  <c r="CB28" i="1"/>
  <c r="CB29" i="1"/>
  <c r="CA28" i="1"/>
  <c r="CA29" i="1"/>
  <c r="BZ28" i="1"/>
  <c r="BZ29" i="1"/>
  <c r="BY28" i="1"/>
  <c r="BY29" i="1"/>
  <c r="BX28" i="1"/>
  <c r="BX29" i="1"/>
  <c r="BT18" i="1"/>
  <c r="BU18" i="1"/>
  <c r="BT19" i="1"/>
  <c r="BU19" i="1"/>
  <c r="BT20" i="1"/>
  <c r="BU20" i="1"/>
  <c r="BT21" i="1"/>
  <c r="BU21" i="1"/>
  <c r="BT22" i="1"/>
  <c r="BU22" i="1"/>
  <c r="BT23" i="1"/>
  <c r="BU23" i="1"/>
  <c r="BT24" i="1"/>
  <c r="BU24" i="1"/>
  <c r="BT25" i="1"/>
  <c r="BU25" i="1"/>
  <c r="BT26" i="1"/>
  <c r="BU26" i="1"/>
  <c r="BU28" i="1"/>
  <c r="BU29" i="1"/>
  <c r="BT28" i="1"/>
  <c r="BT29" i="1"/>
  <c r="BS28" i="1"/>
  <c r="BS29" i="1"/>
  <c r="BR28" i="1"/>
  <c r="BR29" i="1"/>
  <c r="BQ28" i="1"/>
  <c r="BQ29" i="1"/>
  <c r="BP28" i="1"/>
  <c r="BP29" i="1"/>
  <c r="BI17" i="1"/>
  <c r="BJ17" i="1"/>
  <c r="BN17" i="1"/>
  <c r="BI18" i="1"/>
  <c r="BJ18" i="1"/>
  <c r="BN18" i="1"/>
  <c r="BI19" i="1"/>
  <c r="BJ19" i="1"/>
  <c r="BN19" i="1"/>
  <c r="BI20" i="1"/>
  <c r="BJ20" i="1"/>
  <c r="BN20" i="1"/>
  <c r="BI21" i="1"/>
  <c r="BJ21" i="1"/>
  <c r="BN21" i="1"/>
  <c r="BI22" i="1"/>
  <c r="BJ22" i="1"/>
  <c r="BN22" i="1"/>
  <c r="BI23" i="1"/>
  <c r="BJ23" i="1"/>
  <c r="BN23" i="1"/>
  <c r="BI24" i="1"/>
  <c r="BJ24" i="1"/>
  <c r="BN24" i="1"/>
  <c r="BI25" i="1"/>
  <c r="BJ25" i="1"/>
  <c r="BN25" i="1"/>
  <c r="BI26" i="1"/>
  <c r="BJ26" i="1"/>
  <c r="BN26" i="1"/>
  <c r="BN28" i="1"/>
  <c r="BN29" i="1"/>
  <c r="BM17" i="1"/>
  <c r="BM18" i="1"/>
  <c r="BM19" i="1"/>
  <c r="BM20" i="1"/>
  <c r="BM21" i="1"/>
  <c r="BM22" i="1"/>
  <c r="BM23" i="1"/>
  <c r="BM24" i="1"/>
  <c r="BM25" i="1"/>
  <c r="BM26" i="1"/>
  <c r="BM28" i="1"/>
  <c r="BM29" i="1"/>
  <c r="BL17" i="1"/>
  <c r="BL18" i="1"/>
  <c r="BL19" i="1"/>
  <c r="BL20" i="1"/>
  <c r="BL21" i="1"/>
  <c r="BL22" i="1"/>
  <c r="BL23" i="1"/>
  <c r="BL24" i="1"/>
  <c r="BL25" i="1"/>
  <c r="BL26" i="1"/>
  <c r="BL28" i="1"/>
  <c r="BL29" i="1"/>
  <c r="BK17" i="1"/>
  <c r="BK18" i="1"/>
  <c r="BK19" i="1"/>
  <c r="BK20" i="1"/>
  <c r="BK21" i="1"/>
  <c r="BK22" i="1"/>
  <c r="BK23" i="1"/>
  <c r="BK24" i="1"/>
  <c r="BK25" i="1"/>
  <c r="BK26" i="1"/>
  <c r="BK28" i="1"/>
  <c r="BK29" i="1"/>
  <c r="BJ28" i="1"/>
  <c r="BJ29" i="1"/>
  <c r="BI28" i="1"/>
  <c r="BI29" i="1"/>
  <c r="BH28" i="1"/>
  <c r="BH29" i="1"/>
  <c r="BG28" i="1"/>
  <c r="BG29" i="1"/>
  <c r="BF28" i="1"/>
  <c r="BF29" i="1"/>
  <c r="BE28" i="1"/>
  <c r="BE29" i="1"/>
  <c r="AX17" i="1"/>
  <c r="AY17" i="1"/>
  <c r="BC17" i="1"/>
  <c r="AX18" i="1"/>
  <c r="AY18" i="1"/>
  <c r="BC18" i="1"/>
  <c r="AX19" i="1"/>
  <c r="AY19" i="1"/>
  <c r="BC19" i="1"/>
  <c r="AX20" i="1"/>
  <c r="AY20" i="1"/>
  <c r="BC20" i="1"/>
  <c r="AX21" i="1"/>
  <c r="AY21" i="1"/>
  <c r="BC21" i="1"/>
  <c r="AX22" i="1"/>
  <c r="AY22" i="1"/>
  <c r="BC22" i="1"/>
  <c r="AX23" i="1"/>
  <c r="AY23" i="1"/>
  <c r="BC23" i="1"/>
  <c r="AX24" i="1"/>
  <c r="AY24" i="1"/>
  <c r="BC24" i="1"/>
  <c r="AX25" i="1"/>
  <c r="AY25" i="1"/>
  <c r="BC25" i="1"/>
  <c r="AX26" i="1"/>
  <c r="AY26" i="1"/>
  <c r="BC26" i="1"/>
  <c r="BC28" i="1"/>
  <c r="BC29" i="1"/>
  <c r="BB17" i="1"/>
  <c r="BB18" i="1"/>
  <c r="BB19" i="1"/>
  <c r="BB20" i="1"/>
  <c r="BB21" i="1"/>
  <c r="BB22" i="1"/>
  <c r="BB23" i="1"/>
  <c r="BB24" i="1"/>
  <c r="BB25" i="1"/>
  <c r="BB26" i="1"/>
  <c r="BB28" i="1"/>
  <c r="BB29" i="1"/>
  <c r="BA17" i="1"/>
  <c r="BA18" i="1"/>
  <c r="BA19" i="1"/>
  <c r="BA20" i="1"/>
  <c r="BA21" i="1"/>
  <c r="BA22" i="1"/>
  <c r="BA23" i="1"/>
  <c r="BA24" i="1"/>
  <c r="BA25" i="1"/>
  <c r="BA26" i="1"/>
  <c r="BA28" i="1"/>
  <c r="BA29" i="1"/>
  <c r="AZ17" i="1"/>
  <c r="AZ18" i="1"/>
  <c r="AZ19" i="1"/>
  <c r="AZ20" i="1"/>
  <c r="AZ21" i="1"/>
  <c r="AZ22" i="1"/>
  <c r="AZ23" i="1"/>
  <c r="AZ24" i="1"/>
  <c r="AZ25" i="1"/>
  <c r="AZ26" i="1"/>
  <c r="AZ28" i="1"/>
  <c r="AZ29" i="1"/>
  <c r="AY28" i="1"/>
  <c r="AY29" i="1"/>
  <c r="AX28" i="1"/>
  <c r="AX29" i="1"/>
  <c r="AW28" i="1"/>
  <c r="AW29" i="1"/>
  <c r="AV28" i="1"/>
  <c r="AV29" i="1"/>
  <c r="AU28" i="1"/>
  <c r="AU29" i="1"/>
  <c r="AT28" i="1"/>
  <c r="AT29" i="1"/>
  <c r="AM17" i="1"/>
  <c r="AN17" i="1"/>
  <c r="AM18" i="1"/>
  <c r="AN18" i="1"/>
  <c r="AM19" i="1"/>
  <c r="AN19" i="1"/>
  <c r="AM20" i="1"/>
  <c r="AN20" i="1"/>
  <c r="AM21" i="1"/>
  <c r="AN21" i="1"/>
  <c r="AM22" i="1"/>
  <c r="AN22" i="1"/>
  <c r="AM23" i="1"/>
  <c r="AN23" i="1"/>
  <c r="AM24" i="1"/>
  <c r="AN24" i="1"/>
  <c r="AM25" i="1"/>
  <c r="AN25" i="1"/>
  <c r="AM26" i="1"/>
  <c r="AN26" i="1"/>
  <c r="AN28" i="1"/>
  <c r="AN29" i="1"/>
  <c r="AM28" i="1"/>
  <c r="AM29" i="1"/>
  <c r="AL28" i="1"/>
  <c r="AL29" i="1"/>
  <c r="AK28" i="1"/>
  <c r="AK29" i="1"/>
  <c r="AJ28" i="1"/>
  <c r="AJ29" i="1"/>
  <c r="AI28" i="1"/>
  <c r="AI29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C28" i="1"/>
  <c r="AC29" i="1"/>
  <c r="AB28" i="1"/>
  <c r="AB29" i="1"/>
  <c r="AA28" i="1"/>
  <c r="AA29" i="1"/>
  <c r="Z28" i="1"/>
  <c r="Z29" i="1"/>
  <c r="Y28" i="1"/>
  <c r="Y29" i="1"/>
  <c r="X28" i="1"/>
  <c r="X29" i="1"/>
  <c r="Q17" i="1"/>
  <c r="R17" i="1"/>
  <c r="V17" i="1"/>
  <c r="Q18" i="1"/>
  <c r="R18" i="1"/>
  <c r="V18" i="1"/>
  <c r="Q19" i="1"/>
  <c r="R19" i="1"/>
  <c r="V19" i="1"/>
  <c r="Q20" i="1"/>
  <c r="R20" i="1"/>
  <c r="V20" i="1"/>
  <c r="Q21" i="1"/>
  <c r="R21" i="1"/>
  <c r="V21" i="1"/>
  <c r="Q22" i="1"/>
  <c r="R22" i="1"/>
  <c r="V22" i="1"/>
  <c r="Q23" i="1"/>
  <c r="R23" i="1"/>
  <c r="V23" i="1"/>
  <c r="Q24" i="1"/>
  <c r="R24" i="1"/>
  <c r="V24" i="1"/>
  <c r="Q25" i="1"/>
  <c r="R25" i="1"/>
  <c r="V25" i="1"/>
  <c r="Q26" i="1"/>
  <c r="R26" i="1"/>
  <c r="V26" i="1"/>
  <c r="V28" i="1"/>
  <c r="V29" i="1"/>
  <c r="U17" i="1"/>
  <c r="U18" i="1"/>
  <c r="U19" i="1"/>
  <c r="U20" i="1"/>
  <c r="U21" i="1"/>
  <c r="U22" i="1"/>
  <c r="U23" i="1"/>
  <c r="U24" i="1"/>
  <c r="U25" i="1"/>
  <c r="U26" i="1"/>
  <c r="U28" i="1"/>
  <c r="U29" i="1"/>
  <c r="T17" i="1"/>
  <c r="T18" i="1"/>
  <c r="T19" i="1"/>
  <c r="T20" i="1"/>
  <c r="T21" i="1"/>
  <c r="T22" i="1"/>
  <c r="T23" i="1"/>
  <c r="T24" i="1"/>
  <c r="T25" i="1"/>
  <c r="T26" i="1"/>
  <c r="T28" i="1"/>
  <c r="T29" i="1"/>
  <c r="S17" i="1"/>
  <c r="S18" i="1"/>
  <c r="S19" i="1"/>
  <c r="S20" i="1"/>
  <c r="S21" i="1"/>
  <c r="S22" i="1"/>
  <c r="S23" i="1"/>
  <c r="S24" i="1"/>
  <c r="S25" i="1"/>
  <c r="S26" i="1"/>
  <c r="S28" i="1"/>
  <c r="S29" i="1"/>
  <c r="R28" i="1"/>
  <c r="R29" i="1"/>
  <c r="Q28" i="1"/>
  <c r="Q29" i="1"/>
  <c r="F17" i="1"/>
  <c r="G17" i="1"/>
  <c r="K17" i="1"/>
  <c r="F18" i="1"/>
  <c r="G18" i="1"/>
  <c r="K18" i="1"/>
  <c r="F19" i="1"/>
  <c r="G19" i="1"/>
  <c r="K19" i="1"/>
  <c r="F20" i="1"/>
  <c r="G20" i="1"/>
  <c r="K20" i="1"/>
  <c r="F21" i="1"/>
  <c r="G21" i="1"/>
  <c r="K21" i="1"/>
  <c r="F22" i="1"/>
  <c r="G22" i="1"/>
  <c r="K22" i="1"/>
  <c r="F23" i="1"/>
  <c r="G23" i="1"/>
  <c r="K23" i="1"/>
  <c r="F24" i="1"/>
  <c r="G24" i="1"/>
  <c r="K24" i="1"/>
  <c r="F25" i="1"/>
  <c r="G25" i="1"/>
  <c r="K25" i="1"/>
  <c r="F26" i="1"/>
  <c r="G26" i="1"/>
  <c r="K26" i="1"/>
  <c r="K28" i="1"/>
  <c r="K29" i="1"/>
  <c r="J17" i="1"/>
  <c r="J18" i="1"/>
  <c r="J19" i="1"/>
  <c r="J20" i="1"/>
  <c r="J21" i="1"/>
  <c r="J22" i="1"/>
  <c r="J23" i="1"/>
  <c r="J24" i="1"/>
  <c r="J25" i="1"/>
  <c r="J26" i="1"/>
  <c r="J28" i="1"/>
  <c r="J29" i="1"/>
  <c r="I17" i="1"/>
  <c r="I18" i="1"/>
  <c r="I19" i="1"/>
  <c r="I20" i="1"/>
  <c r="I21" i="1"/>
  <c r="I22" i="1"/>
  <c r="I23" i="1"/>
  <c r="I24" i="1"/>
  <c r="I25" i="1"/>
  <c r="I26" i="1"/>
  <c r="I28" i="1"/>
  <c r="I29" i="1"/>
  <c r="H17" i="1"/>
  <c r="H18" i="1"/>
  <c r="H19" i="1"/>
  <c r="H20" i="1"/>
  <c r="H21" i="1"/>
  <c r="H22" i="1"/>
  <c r="H23" i="1"/>
  <c r="H24" i="1"/>
  <c r="H25" i="1"/>
  <c r="H26" i="1"/>
  <c r="H28" i="1"/>
  <c r="H29" i="1"/>
  <c r="G28" i="1"/>
  <c r="G29" i="1"/>
  <c r="F28" i="1"/>
  <c r="F29" i="1"/>
  <c r="CG27" i="1"/>
  <c r="CF27" i="1"/>
  <c r="CE27" i="1"/>
  <c r="CD27" i="1"/>
  <c r="CC27" i="1"/>
  <c r="CB27" i="1"/>
  <c r="CA27" i="1"/>
  <c r="BZ27" i="1"/>
  <c r="BY27" i="1"/>
  <c r="BX27" i="1"/>
  <c r="BU27" i="1"/>
  <c r="BT27" i="1"/>
  <c r="BS27" i="1"/>
  <c r="BR27" i="1"/>
  <c r="BQ27" i="1"/>
  <c r="BP27" i="1"/>
  <c r="BN27" i="1"/>
  <c r="BM27" i="1"/>
  <c r="BL27" i="1"/>
  <c r="BK27" i="1"/>
  <c r="BJ27" i="1"/>
  <c r="BI27" i="1"/>
  <c r="BH27" i="1"/>
  <c r="BG27" i="1"/>
  <c r="BF27" i="1"/>
  <c r="BE27" i="1"/>
  <c r="BC27" i="1"/>
  <c r="BB27" i="1"/>
  <c r="BA27" i="1"/>
  <c r="AZ27" i="1"/>
  <c r="AY27" i="1"/>
  <c r="AX27" i="1"/>
  <c r="AW27" i="1"/>
  <c r="AV27" i="1"/>
  <c r="AU27" i="1"/>
  <c r="AT27" i="1"/>
  <c r="AN27" i="1"/>
  <c r="AM27" i="1"/>
  <c r="AL27" i="1"/>
  <c r="AK27" i="1"/>
  <c r="AJ27" i="1"/>
  <c r="AI27" i="1"/>
  <c r="AC27" i="1"/>
  <c r="AB27" i="1"/>
  <c r="AA27" i="1"/>
  <c r="Z27" i="1"/>
  <c r="Y27" i="1"/>
  <c r="X27" i="1"/>
  <c r="V27" i="1"/>
  <c r="U27" i="1"/>
  <c r="T27" i="1"/>
  <c r="S27" i="1"/>
  <c r="R27" i="1"/>
  <c r="Q27" i="1"/>
  <c r="K27" i="1"/>
  <c r="J27" i="1"/>
  <c r="I27" i="1"/>
  <c r="H27" i="1"/>
  <c r="G27" i="1"/>
  <c r="F27" i="1"/>
  <c r="BU17" i="1"/>
  <c r="CB3" i="1"/>
  <c r="CC3" i="1"/>
  <c r="CG3" i="1"/>
  <c r="CB4" i="1"/>
  <c r="CC4" i="1"/>
  <c r="CG4" i="1"/>
  <c r="CB5" i="1"/>
  <c r="CC5" i="1"/>
  <c r="CG5" i="1"/>
  <c r="CB6" i="1"/>
  <c r="CC6" i="1"/>
  <c r="CG6" i="1"/>
  <c r="CB7" i="1"/>
  <c r="CC7" i="1"/>
  <c r="CG7" i="1"/>
  <c r="CB8" i="1"/>
  <c r="CC8" i="1"/>
  <c r="CG8" i="1"/>
  <c r="CB9" i="1"/>
  <c r="CC9" i="1"/>
  <c r="CG9" i="1"/>
  <c r="CB10" i="1"/>
  <c r="CC10" i="1"/>
  <c r="CG10" i="1"/>
  <c r="CB11" i="1"/>
  <c r="CC11" i="1"/>
  <c r="CG11" i="1"/>
  <c r="CB12" i="1"/>
  <c r="CC12" i="1"/>
  <c r="CG12" i="1"/>
  <c r="CG14" i="1"/>
  <c r="CG15" i="1"/>
  <c r="CF3" i="1"/>
  <c r="CF4" i="1"/>
  <c r="CF5" i="1"/>
  <c r="CF6" i="1"/>
  <c r="CF7" i="1"/>
  <c r="CF8" i="1"/>
  <c r="CF9" i="1"/>
  <c r="CF10" i="1"/>
  <c r="CF11" i="1"/>
  <c r="CF12" i="1"/>
  <c r="CF14" i="1"/>
  <c r="CF15" i="1"/>
  <c r="CE3" i="1"/>
  <c r="CE4" i="1"/>
  <c r="CE5" i="1"/>
  <c r="CE6" i="1"/>
  <c r="CE7" i="1"/>
  <c r="CE8" i="1"/>
  <c r="CE9" i="1"/>
  <c r="CE10" i="1"/>
  <c r="CE11" i="1"/>
  <c r="CE12" i="1"/>
  <c r="CE14" i="1"/>
  <c r="CE15" i="1"/>
  <c r="CD3" i="1"/>
  <c r="CD4" i="1"/>
  <c r="CD5" i="1"/>
  <c r="CD6" i="1"/>
  <c r="CD7" i="1"/>
  <c r="CD8" i="1"/>
  <c r="CD9" i="1"/>
  <c r="CD10" i="1"/>
  <c r="CD11" i="1"/>
  <c r="CD12" i="1"/>
  <c r="CD14" i="1"/>
  <c r="CD15" i="1"/>
  <c r="CC14" i="1"/>
  <c r="CC15" i="1"/>
  <c r="CB14" i="1"/>
  <c r="CB15" i="1"/>
  <c r="CA14" i="1"/>
  <c r="CA15" i="1"/>
  <c r="BZ14" i="1"/>
  <c r="BZ15" i="1"/>
  <c r="BY14" i="1"/>
  <c r="BY15" i="1"/>
  <c r="BX14" i="1"/>
  <c r="BX15" i="1"/>
  <c r="BT3" i="1"/>
  <c r="BU3" i="1"/>
  <c r="BT4" i="1"/>
  <c r="BU4" i="1"/>
  <c r="BT5" i="1"/>
  <c r="BU5" i="1"/>
  <c r="BT7" i="1"/>
  <c r="BU7" i="1"/>
  <c r="BT9" i="1"/>
  <c r="BU9" i="1"/>
  <c r="BT10" i="1"/>
  <c r="BU10" i="1"/>
  <c r="BT12" i="1"/>
  <c r="BU12" i="1"/>
  <c r="BU14" i="1"/>
  <c r="BU15" i="1"/>
  <c r="BT14" i="1"/>
  <c r="BT15" i="1"/>
  <c r="BS14" i="1"/>
  <c r="BS15" i="1"/>
  <c r="BR14" i="1"/>
  <c r="BR15" i="1"/>
  <c r="BQ14" i="1"/>
  <c r="BQ15" i="1"/>
  <c r="BP14" i="1"/>
  <c r="BP15" i="1"/>
  <c r="BI3" i="1"/>
  <c r="BJ3" i="1"/>
  <c r="BN3" i="1"/>
  <c r="BI4" i="1"/>
  <c r="BJ4" i="1"/>
  <c r="BN4" i="1"/>
  <c r="BI5" i="1"/>
  <c r="BJ5" i="1"/>
  <c r="BN5" i="1"/>
  <c r="BI6" i="1"/>
  <c r="BJ6" i="1"/>
  <c r="BN6" i="1"/>
  <c r="BI7" i="1"/>
  <c r="BJ7" i="1"/>
  <c r="BN7" i="1"/>
  <c r="BI8" i="1"/>
  <c r="BJ8" i="1"/>
  <c r="BN8" i="1"/>
  <c r="BI9" i="1"/>
  <c r="BJ9" i="1"/>
  <c r="BN9" i="1"/>
  <c r="BI10" i="1"/>
  <c r="BJ10" i="1"/>
  <c r="BN10" i="1"/>
  <c r="BI11" i="1"/>
  <c r="BJ11" i="1"/>
  <c r="BN11" i="1"/>
  <c r="BI12" i="1"/>
  <c r="BJ12" i="1"/>
  <c r="BN12" i="1"/>
  <c r="BN14" i="1"/>
  <c r="BN15" i="1"/>
  <c r="BM3" i="1"/>
  <c r="BM4" i="1"/>
  <c r="BM5" i="1"/>
  <c r="BM6" i="1"/>
  <c r="BM7" i="1"/>
  <c r="BM8" i="1"/>
  <c r="BM9" i="1"/>
  <c r="BM10" i="1"/>
  <c r="BM11" i="1"/>
  <c r="BM12" i="1"/>
  <c r="BM14" i="1"/>
  <c r="BM15" i="1"/>
  <c r="BL3" i="1"/>
  <c r="BL4" i="1"/>
  <c r="BL5" i="1"/>
  <c r="BL6" i="1"/>
  <c r="BL7" i="1"/>
  <c r="BL8" i="1"/>
  <c r="BL9" i="1"/>
  <c r="BL10" i="1"/>
  <c r="BL11" i="1"/>
  <c r="BL12" i="1"/>
  <c r="BL14" i="1"/>
  <c r="BL15" i="1"/>
  <c r="BK3" i="1"/>
  <c r="BK4" i="1"/>
  <c r="BK5" i="1"/>
  <c r="BK6" i="1"/>
  <c r="BK7" i="1"/>
  <c r="BK8" i="1"/>
  <c r="BK9" i="1"/>
  <c r="BK10" i="1"/>
  <c r="BK11" i="1"/>
  <c r="BK12" i="1"/>
  <c r="BK14" i="1"/>
  <c r="BK15" i="1"/>
  <c r="BJ14" i="1"/>
  <c r="BJ15" i="1"/>
  <c r="BI14" i="1"/>
  <c r="BI15" i="1"/>
  <c r="BH14" i="1"/>
  <c r="BH15" i="1"/>
  <c r="BG14" i="1"/>
  <c r="BG15" i="1"/>
  <c r="BF14" i="1"/>
  <c r="BF15" i="1"/>
  <c r="BE14" i="1"/>
  <c r="BE15" i="1"/>
  <c r="AX3" i="1"/>
  <c r="AY3" i="1"/>
  <c r="BC3" i="1"/>
  <c r="AX4" i="1"/>
  <c r="AY4" i="1"/>
  <c r="BC4" i="1"/>
  <c r="AX5" i="1"/>
  <c r="AY5" i="1"/>
  <c r="BC5" i="1"/>
  <c r="AX6" i="1"/>
  <c r="AY6" i="1"/>
  <c r="BC6" i="1"/>
  <c r="AX7" i="1"/>
  <c r="AY7" i="1"/>
  <c r="BC7" i="1"/>
  <c r="AX8" i="1"/>
  <c r="AY8" i="1"/>
  <c r="BC8" i="1"/>
  <c r="AX9" i="1"/>
  <c r="AY9" i="1"/>
  <c r="BC9" i="1"/>
  <c r="AX10" i="1"/>
  <c r="AY10" i="1"/>
  <c r="BC10" i="1"/>
  <c r="AX11" i="1"/>
  <c r="AY11" i="1"/>
  <c r="BC11" i="1"/>
  <c r="AX12" i="1"/>
  <c r="AY12" i="1"/>
  <c r="BC12" i="1"/>
  <c r="BC14" i="1"/>
  <c r="BC15" i="1"/>
  <c r="BB3" i="1"/>
  <c r="BB4" i="1"/>
  <c r="BB5" i="1"/>
  <c r="BB6" i="1"/>
  <c r="BB7" i="1"/>
  <c r="BB8" i="1"/>
  <c r="BB9" i="1"/>
  <c r="BB10" i="1"/>
  <c r="BB11" i="1"/>
  <c r="BB12" i="1"/>
  <c r="BB14" i="1"/>
  <c r="BB15" i="1"/>
  <c r="BA3" i="1"/>
  <c r="BA4" i="1"/>
  <c r="BA5" i="1"/>
  <c r="BA6" i="1"/>
  <c r="BA7" i="1"/>
  <c r="BA8" i="1"/>
  <c r="BA9" i="1"/>
  <c r="BA10" i="1"/>
  <c r="BA11" i="1"/>
  <c r="BA12" i="1"/>
  <c r="BA14" i="1"/>
  <c r="BA15" i="1"/>
  <c r="AZ3" i="1"/>
  <c r="AZ4" i="1"/>
  <c r="AZ5" i="1"/>
  <c r="AZ6" i="1"/>
  <c r="AZ7" i="1"/>
  <c r="AZ8" i="1"/>
  <c r="AZ9" i="1"/>
  <c r="AZ10" i="1"/>
  <c r="AZ11" i="1"/>
  <c r="AZ12" i="1"/>
  <c r="AZ14" i="1"/>
  <c r="AZ15" i="1"/>
  <c r="AY14" i="1"/>
  <c r="AY15" i="1"/>
  <c r="AX14" i="1"/>
  <c r="AX15" i="1"/>
  <c r="AW14" i="1"/>
  <c r="AW15" i="1"/>
  <c r="AV14" i="1"/>
  <c r="AV15" i="1"/>
  <c r="AU14" i="1"/>
  <c r="AU15" i="1"/>
  <c r="AT14" i="1"/>
  <c r="AT15" i="1"/>
  <c r="AM3" i="1"/>
  <c r="AN3" i="1"/>
  <c r="AM4" i="1"/>
  <c r="AN4" i="1"/>
  <c r="AM5" i="1"/>
  <c r="AN5" i="1"/>
  <c r="AM7" i="1"/>
  <c r="AN7" i="1"/>
  <c r="AM9" i="1"/>
  <c r="AN9" i="1"/>
  <c r="AM10" i="1"/>
  <c r="AN10" i="1"/>
  <c r="AM12" i="1"/>
  <c r="AN12" i="1"/>
  <c r="AN14" i="1"/>
  <c r="AN15" i="1"/>
  <c r="AM14" i="1"/>
  <c r="AM15" i="1"/>
  <c r="AL14" i="1"/>
  <c r="AL15" i="1"/>
  <c r="AK14" i="1"/>
  <c r="AK15" i="1"/>
  <c r="AJ14" i="1"/>
  <c r="AJ15" i="1"/>
  <c r="AI14" i="1"/>
  <c r="AI15" i="1"/>
  <c r="AE14" i="1"/>
  <c r="AE15" i="1"/>
  <c r="AD14" i="1"/>
  <c r="AD15" i="1"/>
  <c r="AB3" i="1"/>
  <c r="AC3" i="1"/>
  <c r="AB4" i="1"/>
  <c r="AC4" i="1"/>
  <c r="AB5" i="1"/>
  <c r="AC5" i="1"/>
  <c r="AB7" i="1"/>
  <c r="AC7" i="1"/>
  <c r="AB9" i="1"/>
  <c r="AC9" i="1"/>
  <c r="AB10" i="1"/>
  <c r="AC10" i="1"/>
  <c r="AB12" i="1"/>
  <c r="AC12" i="1"/>
  <c r="AC14" i="1"/>
  <c r="AC15" i="1"/>
  <c r="AB14" i="1"/>
  <c r="AB15" i="1"/>
  <c r="AA14" i="1"/>
  <c r="AA15" i="1"/>
  <c r="Z14" i="1"/>
  <c r="Z15" i="1"/>
  <c r="Y14" i="1"/>
  <c r="Y15" i="1"/>
  <c r="X14" i="1"/>
  <c r="X15" i="1"/>
  <c r="Q3" i="1"/>
  <c r="R3" i="1"/>
  <c r="V3" i="1"/>
  <c r="Q4" i="1"/>
  <c r="R4" i="1"/>
  <c r="V4" i="1"/>
  <c r="Q5" i="1"/>
  <c r="R5" i="1"/>
  <c r="V5" i="1"/>
  <c r="Q6" i="1"/>
  <c r="R6" i="1"/>
  <c r="V6" i="1"/>
  <c r="Q7" i="1"/>
  <c r="R7" i="1"/>
  <c r="V7" i="1"/>
  <c r="Q8" i="1"/>
  <c r="R8" i="1"/>
  <c r="V8" i="1"/>
  <c r="Q9" i="1"/>
  <c r="R9" i="1"/>
  <c r="V9" i="1"/>
  <c r="Q10" i="1"/>
  <c r="R10" i="1"/>
  <c r="V10" i="1"/>
  <c r="Q11" i="1"/>
  <c r="R11" i="1"/>
  <c r="V11" i="1"/>
  <c r="Q12" i="1"/>
  <c r="R12" i="1"/>
  <c r="V12" i="1"/>
  <c r="V14" i="1"/>
  <c r="V15" i="1"/>
  <c r="U3" i="1"/>
  <c r="U4" i="1"/>
  <c r="U5" i="1"/>
  <c r="U6" i="1"/>
  <c r="U7" i="1"/>
  <c r="U8" i="1"/>
  <c r="U9" i="1"/>
  <c r="U10" i="1"/>
  <c r="U11" i="1"/>
  <c r="U12" i="1"/>
  <c r="U14" i="1"/>
  <c r="U15" i="1"/>
  <c r="T3" i="1"/>
  <c r="T4" i="1"/>
  <c r="T5" i="1"/>
  <c r="T6" i="1"/>
  <c r="T7" i="1"/>
  <c r="T8" i="1"/>
  <c r="T9" i="1"/>
  <c r="T10" i="1"/>
  <c r="T11" i="1"/>
  <c r="T12" i="1"/>
  <c r="T14" i="1"/>
  <c r="T15" i="1"/>
  <c r="S3" i="1"/>
  <c r="S4" i="1"/>
  <c r="S5" i="1"/>
  <c r="S6" i="1"/>
  <c r="S7" i="1"/>
  <c r="S8" i="1"/>
  <c r="S9" i="1"/>
  <c r="S10" i="1"/>
  <c r="S11" i="1"/>
  <c r="S12" i="1"/>
  <c r="S14" i="1"/>
  <c r="S15" i="1"/>
  <c r="R14" i="1"/>
  <c r="R15" i="1"/>
  <c r="Q14" i="1"/>
  <c r="Q15" i="1"/>
  <c r="F3" i="1"/>
  <c r="G3" i="1"/>
  <c r="K3" i="1"/>
  <c r="F4" i="1"/>
  <c r="G4" i="1"/>
  <c r="K4" i="1"/>
  <c r="F5" i="1"/>
  <c r="G5" i="1"/>
  <c r="K5" i="1"/>
  <c r="F6" i="1"/>
  <c r="G6" i="1"/>
  <c r="K6" i="1"/>
  <c r="F7" i="1"/>
  <c r="G7" i="1"/>
  <c r="K7" i="1"/>
  <c r="F8" i="1"/>
  <c r="G8" i="1"/>
  <c r="K8" i="1"/>
  <c r="F9" i="1"/>
  <c r="G9" i="1"/>
  <c r="K9" i="1"/>
  <c r="F10" i="1"/>
  <c r="G10" i="1"/>
  <c r="K10" i="1"/>
  <c r="F11" i="1"/>
  <c r="G11" i="1"/>
  <c r="K11" i="1"/>
  <c r="F12" i="1"/>
  <c r="G12" i="1"/>
  <c r="K12" i="1"/>
  <c r="K14" i="1"/>
  <c r="K15" i="1"/>
  <c r="J3" i="1"/>
  <c r="J4" i="1"/>
  <c r="J5" i="1"/>
  <c r="J6" i="1"/>
  <c r="J7" i="1"/>
  <c r="J8" i="1"/>
  <c r="J9" i="1"/>
  <c r="J10" i="1"/>
  <c r="J11" i="1"/>
  <c r="J12" i="1"/>
  <c r="J14" i="1"/>
  <c r="J15" i="1"/>
  <c r="I3" i="1"/>
  <c r="I4" i="1"/>
  <c r="I5" i="1"/>
  <c r="I6" i="1"/>
  <c r="I7" i="1"/>
  <c r="I8" i="1"/>
  <c r="I9" i="1"/>
  <c r="I10" i="1"/>
  <c r="I11" i="1"/>
  <c r="I12" i="1"/>
  <c r="I14" i="1"/>
  <c r="I15" i="1"/>
  <c r="H3" i="1"/>
  <c r="H4" i="1"/>
  <c r="H5" i="1"/>
  <c r="H6" i="1"/>
  <c r="H7" i="1"/>
  <c r="H8" i="1"/>
  <c r="H9" i="1"/>
  <c r="H10" i="1"/>
  <c r="H11" i="1"/>
  <c r="H12" i="1"/>
  <c r="H14" i="1"/>
  <c r="H15" i="1"/>
  <c r="G14" i="1"/>
  <c r="G15" i="1"/>
  <c r="F14" i="1"/>
  <c r="F15" i="1"/>
  <c r="P14" i="1"/>
  <c r="CG13" i="1"/>
  <c r="CF13" i="1"/>
  <c r="CE13" i="1"/>
  <c r="CD13" i="1"/>
  <c r="CC13" i="1"/>
  <c r="CB13" i="1"/>
  <c r="CA13" i="1"/>
  <c r="BZ13" i="1"/>
  <c r="BY13" i="1"/>
  <c r="BX13" i="1"/>
  <c r="BU13" i="1"/>
  <c r="BT13" i="1"/>
  <c r="BS13" i="1"/>
  <c r="BR13" i="1"/>
  <c r="BQ13" i="1"/>
  <c r="BP13" i="1"/>
  <c r="BN13" i="1"/>
  <c r="BM13" i="1"/>
  <c r="BL13" i="1"/>
  <c r="BK13" i="1"/>
  <c r="BJ13" i="1"/>
  <c r="BI13" i="1"/>
  <c r="BH13" i="1"/>
  <c r="BG13" i="1"/>
  <c r="BF13" i="1"/>
  <c r="BE13" i="1"/>
  <c r="BC13" i="1"/>
  <c r="BB13" i="1"/>
  <c r="BA13" i="1"/>
  <c r="AZ13" i="1"/>
  <c r="AY13" i="1"/>
  <c r="AX13" i="1"/>
  <c r="AW13" i="1"/>
  <c r="AV13" i="1"/>
  <c r="AU13" i="1"/>
  <c r="AT13" i="1"/>
  <c r="AN13" i="1"/>
  <c r="AM13" i="1"/>
  <c r="AL13" i="1"/>
  <c r="AK13" i="1"/>
  <c r="AJ13" i="1"/>
  <c r="AI13" i="1"/>
  <c r="AE13" i="1"/>
  <c r="AD13" i="1"/>
  <c r="AC13" i="1"/>
  <c r="AB13" i="1"/>
  <c r="AA13" i="1"/>
  <c r="Z13" i="1"/>
  <c r="Y13" i="1"/>
  <c r="X13" i="1"/>
  <c r="V13" i="1"/>
  <c r="U13" i="1"/>
  <c r="T13" i="1"/>
  <c r="S13" i="1"/>
  <c r="R13" i="1"/>
  <c r="Q13" i="1"/>
  <c r="K13" i="1"/>
  <c r="J13" i="1"/>
  <c r="I13" i="1"/>
  <c r="H13" i="1"/>
  <c r="G13" i="1"/>
  <c r="F13" i="1"/>
  <c r="BT11" i="1"/>
  <c r="BU11" i="1"/>
  <c r="AM11" i="1"/>
  <c r="AN11" i="1"/>
  <c r="BT8" i="1"/>
  <c r="BU8" i="1"/>
  <c r="AM8" i="1"/>
  <c r="AN8" i="1"/>
  <c r="BT6" i="1"/>
  <c r="BU6" i="1"/>
  <c r="AM6" i="1"/>
  <c r="AN6" i="1"/>
</calcChain>
</file>

<file path=xl/sharedStrings.xml><?xml version="1.0" encoding="utf-8"?>
<sst xmlns="http://schemas.openxmlformats.org/spreadsheetml/2006/main" count="514" uniqueCount="81">
  <si>
    <t>Above ground sizes, 20 June, '03</t>
  </si>
  <si>
    <t>Above ground sizes, 29-30 May, 04</t>
  </si>
  <si>
    <t>Above ground sizes, 20-23 June, 2005,dimensions of live only</t>
  </si>
  <si>
    <t>live plants only</t>
    <phoneticPr fontId="0"/>
  </si>
  <si>
    <t>Above ground sizes, 24-25 June, 2006, dimensions of live only</t>
  </si>
  <si>
    <t>Above ground sizes, 24-25 April, 2010, dimensions include dead</t>
    <phoneticPr fontId="0"/>
  </si>
  <si>
    <t>Above ground sizes, 20 May, 2011, dimensions include dead and alive</t>
    <phoneticPr fontId="0"/>
  </si>
  <si>
    <t>Above ground sizes, 20 May, 2011, alive only</t>
    <phoneticPr fontId="0"/>
  </si>
  <si>
    <t>Above ground sizes, 18 &amp; 19 June, 2014, dimensions include dead and alive</t>
  </si>
  <si>
    <t>w1</t>
  </si>
  <si>
    <t>w2</t>
  </si>
  <si>
    <t>h1</t>
  </si>
  <si>
    <t>% dead</t>
  </si>
  <si>
    <t>Tot Vol, m3</t>
  </si>
  <si>
    <t>Tot mass, g</t>
  </si>
  <si>
    <t>Live Vol,m3</t>
  </si>
  <si>
    <t>Live mass,g</t>
  </si>
  <si>
    <t>Dead Vol,m3</t>
  </si>
  <si>
    <t>Dead mass,g</t>
  </si>
  <si>
    <t>h</t>
  </si>
  <si>
    <t>live Vol, m3</t>
  </si>
  <si>
    <t>live mass, g</t>
  </si>
  <si>
    <t>AC1</t>
  </si>
  <si>
    <t>AC2</t>
  </si>
  <si>
    <t>AC3</t>
  </si>
  <si>
    <t>AC4</t>
  </si>
  <si>
    <t>68 dead</t>
  </si>
  <si>
    <t>61 dead</t>
  </si>
  <si>
    <t>30 dead</t>
  </si>
  <si>
    <t>dead</t>
  </si>
  <si>
    <t>AC5</t>
  </si>
  <si>
    <t>AC6</t>
  </si>
  <si>
    <t>56 dead</t>
  </si>
  <si>
    <t>55 dead</t>
  </si>
  <si>
    <t>32 dead</t>
  </si>
  <si>
    <t>AC7</t>
  </si>
  <si>
    <t>AC8</t>
  </si>
  <si>
    <t>AC9</t>
  </si>
  <si>
    <t>64 dead</t>
  </si>
  <si>
    <t>58 dead</t>
  </si>
  <si>
    <t>34 dead</t>
  </si>
  <si>
    <t>AC10</t>
  </si>
  <si>
    <t>Average</t>
  </si>
  <si>
    <t>s.d.</t>
  </si>
  <si>
    <t>95% conf</t>
  </si>
  <si>
    <t>A1</t>
  </si>
  <si>
    <t>A6</t>
  </si>
  <si>
    <t>A9</t>
  </si>
  <si>
    <t>A10</t>
  </si>
  <si>
    <t>A15</t>
  </si>
  <si>
    <t>A20</t>
  </si>
  <si>
    <t>A22</t>
  </si>
  <si>
    <t>A26</t>
  </si>
  <si>
    <t>A27</t>
  </si>
  <si>
    <t>A30</t>
  </si>
  <si>
    <t>A2</t>
  </si>
  <si>
    <t>A3</t>
  </si>
  <si>
    <t>A11</t>
  </si>
  <si>
    <t>A12</t>
  </si>
  <si>
    <t>A17</t>
  </si>
  <si>
    <t>A18</t>
  </si>
  <si>
    <t>A21</t>
  </si>
  <si>
    <t>A24</t>
  </si>
  <si>
    <t>67 dead</t>
  </si>
  <si>
    <t>60 dead</t>
  </si>
  <si>
    <t>39 dead</t>
  </si>
  <si>
    <t>A25</t>
  </si>
  <si>
    <t>A29</t>
  </si>
  <si>
    <t>A4</t>
  </si>
  <si>
    <t>A5</t>
  </si>
  <si>
    <t>A7</t>
  </si>
  <si>
    <t>A8</t>
  </si>
  <si>
    <t>A13</t>
  </si>
  <si>
    <t>98 dead</t>
  </si>
  <si>
    <t>92 dead</t>
  </si>
  <si>
    <t>40 dead</t>
  </si>
  <si>
    <t>A14</t>
  </si>
  <si>
    <t>A16</t>
  </si>
  <si>
    <t>A19</t>
  </si>
  <si>
    <t>A23</t>
  </si>
  <si>
    <t>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</si>
</sst>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sz val="14"/>
      <name val="Verdana"/>
    </font>
    <font>
      <sz val="1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/>
    <xf numFmtId="2" fontId="2" fillId="0" borderId="1" xfId="0" applyNumberFormat="1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7"/>
  <sheetViews>
    <sheetView tabSelected="1" showRuler="0" workbookViewId="0">
      <selection sqref="A1:CH59"/>
    </sheetView>
  </sheetViews>
  <sheetFormatPr baseColWidth="10" defaultRowHeight="15" x14ac:dyDescent="0"/>
  <sheetData>
    <row r="1" spans="1:85">
      <c r="B1" t="s">
        <v>0</v>
      </c>
      <c r="L1" s="1" t="s">
        <v>1</v>
      </c>
      <c r="M1" s="1"/>
      <c r="N1" s="1"/>
      <c r="W1" t="s">
        <v>2</v>
      </c>
      <c r="AD1" t="s">
        <v>3</v>
      </c>
      <c r="AH1" t="s">
        <v>4</v>
      </c>
      <c r="AS1" t="s">
        <v>5</v>
      </c>
      <c r="BD1" t="s">
        <v>6</v>
      </c>
      <c r="BP1" t="s">
        <v>7</v>
      </c>
      <c r="BW1" t="s">
        <v>8</v>
      </c>
    </row>
    <row r="2" spans="1:85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M2" t="s">
        <v>9</v>
      </c>
      <c r="N2" t="s">
        <v>10</v>
      </c>
      <c r="O2" t="s">
        <v>19</v>
      </c>
      <c r="P2" t="s">
        <v>12</v>
      </c>
      <c r="Q2" t="s">
        <v>13</v>
      </c>
      <c r="R2" t="s">
        <v>14</v>
      </c>
      <c r="S2" t="s">
        <v>20</v>
      </c>
      <c r="T2" t="s">
        <v>21</v>
      </c>
      <c r="U2" t="s">
        <v>17</v>
      </c>
      <c r="V2" t="s">
        <v>18</v>
      </c>
      <c r="X2" t="s">
        <v>9</v>
      </c>
      <c r="Y2" t="s">
        <v>10</v>
      </c>
      <c r="Z2" t="s">
        <v>19</v>
      </c>
      <c r="AA2" t="s">
        <v>12</v>
      </c>
      <c r="AB2" t="s">
        <v>13</v>
      </c>
      <c r="AC2" t="s">
        <v>14</v>
      </c>
      <c r="AD2" t="s">
        <v>13</v>
      </c>
      <c r="AE2" t="s">
        <v>14</v>
      </c>
      <c r="AI2" t="s">
        <v>9</v>
      </c>
      <c r="AJ2" t="s">
        <v>10</v>
      </c>
      <c r="AK2" t="s">
        <v>19</v>
      </c>
      <c r="AL2" t="s">
        <v>12</v>
      </c>
      <c r="AM2" t="s">
        <v>13</v>
      </c>
      <c r="AN2" t="s">
        <v>14</v>
      </c>
      <c r="AT2" t="s">
        <v>9</v>
      </c>
      <c r="AU2" t="s">
        <v>10</v>
      </c>
      <c r="AV2" t="s">
        <v>19</v>
      </c>
      <c r="AW2" t="s">
        <v>12</v>
      </c>
      <c r="AX2" t="s">
        <v>13</v>
      </c>
      <c r="AY2" t="s">
        <v>14</v>
      </c>
      <c r="AZ2" t="s">
        <v>20</v>
      </c>
      <c r="BA2" t="s">
        <v>21</v>
      </c>
      <c r="BB2" t="s">
        <v>17</v>
      </c>
      <c r="BC2" t="s">
        <v>18</v>
      </c>
      <c r="BE2" t="s">
        <v>9</v>
      </c>
      <c r="BF2" t="s">
        <v>10</v>
      </c>
      <c r="BG2" t="s">
        <v>19</v>
      </c>
      <c r="BH2" t="s">
        <v>12</v>
      </c>
      <c r="BI2" t="s">
        <v>13</v>
      </c>
      <c r="BJ2" t="s">
        <v>14</v>
      </c>
      <c r="BK2" t="s">
        <v>20</v>
      </c>
      <c r="BL2" t="s">
        <v>21</v>
      </c>
      <c r="BM2" t="s">
        <v>17</v>
      </c>
      <c r="BN2" t="s">
        <v>18</v>
      </c>
      <c r="BP2" t="s">
        <v>9</v>
      </c>
      <c r="BQ2" t="s">
        <v>10</v>
      </c>
      <c r="BR2" t="s">
        <v>19</v>
      </c>
      <c r="BS2" t="s">
        <v>12</v>
      </c>
      <c r="BT2" t="s">
        <v>13</v>
      </c>
      <c r="BU2" t="s">
        <v>14</v>
      </c>
      <c r="BX2" t="s">
        <v>9</v>
      </c>
      <c r="BY2" t="s">
        <v>10</v>
      </c>
      <c r="BZ2" t="s">
        <v>19</v>
      </c>
      <c r="CA2" t="s">
        <v>12</v>
      </c>
      <c r="CB2" t="s">
        <v>13</v>
      </c>
      <c r="CC2" t="s">
        <v>14</v>
      </c>
      <c r="CD2" t="s">
        <v>20</v>
      </c>
      <c r="CE2" t="s">
        <v>21</v>
      </c>
      <c r="CF2" t="s">
        <v>17</v>
      </c>
      <c r="CG2" t="s">
        <v>18</v>
      </c>
    </row>
    <row r="3" spans="1:85">
      <c r="A3" t="s">
        <v>22</v>
      </c>
      <c r="B3">
        <v>50</v>
      </c>
      <c r="C3">
        <v>51</v>
      </c>
      <c r="D3">
        <v>26</v>
      </c>
      <c r="E3">
        <v>75</v>
      </c>
      <c r="F3" s="2">
        <f>((2/3)*PI()*(B3/2)*(C3/2)*D3)/1000000</f>
        <v>3.4714598822167209E-2</v>
      </c>
      <c r="G3" s="3">
        <f>10^(2.841+0.7*LOG(F3))</f>
        <v>65.971826097502557</v>
      </c>
      <c r="H3" s="2">
        <f>F3*(1-(E3)*1/100)</f>
        <v>8.6786497055418022E-3</v>
      </c>
      <c r="I3" s="3">
        <f>G3*(1-(E3)*1/100)</f>
        <v>16.492956524375639</v>
      </c>
      <c r="J3" s="2">
        <f>F3*(E3*(1/100))</f>
        <v>2.6035949116625406E-2</v>
      </c>
      <c r="K3" s="3">
        <f>G3*(E3*(1/100))</f>
        <v>49.478869573126914</v>
      </c>
      <c r="L3" t="s">
        <v>22</v>
      </c>
      <c r="M3">
        <v>48</v>
      </c>
      <c r="N3">
        <v>50</v>
      </c>
      <c r="O3">
        <v>25</v>
      </c>
      <c r="P3">
        <v>80</v>
      </c>
      <c r="Q3" s="2">
        <f t="shared" ref="Q3:Q12" si="0">((2/3)*PI()*(M3/2)*(N3/2)*O3)/1000000</f>
        <v>3.1415926535897934E-2</v>
      </c>
      <c r="R3" s="3">
        <f t="shared" ref="R3:R12" si="1">10^(2.841+0.7*LOG(Q3))</f>
        <v>61.518382900480916</v>
      </c>
      <c r="S3" s="2">
        <f t="shared" ref="S3:S12" si="2">Q3*(1-(P3)*1/100)</f>
        <v>6.2831853071795857E-3</v>
      </c>
      <c r="T3" s="3">
        <f t="shared" ref="T3:T12" si="3">R3*(1-(P3)*1/100)</f>
        <v>12.30367658009618</v>
      </c>
      <c r="U3" s="2">
        <f t="shared" ref="U3:U12" si="4">Q3*(P3*(1/100))</f>
        <v>2.513274122871835E-2</v>
      </c>
      <c r="V3" s="3">
        <f t="shared" ref="V3:V12" si="5">R3*(P3*(1/100))</f>
        <v>49.214706320384735</v>
      </c>
      <c r="W3" t="s">
        <v>22</v>
      </c>
      <c r="X3">
        <v>49</v>
      </c>
      <c r="Y3">
        <v>37</v>
      </c>
      <c r="Z3">
        <v>33</v>
      </c>
      <c r="AA3">
        <v>35</v>
      </c>
      <c r="AB3" s="2">
        <f t="shared" ref="AB3:AB12" si="6">((2/3)*PI()*(X3/2)*(Y3/2)*Z3)/1000000</f>
        <v>3.1326391145270617E-2</v>
      </c>
      <c r="AC3" s="3">
        <f>10^(2.841+0.7*LOG(AB3))</f>
        <v>61.395601194969814</v>
      </c>
      <c r="AD3" s="2">
        <v>6.2652782290541234E-2</v>
      </c>
      <c r="AE3" s="3">
        <v>99.737448392691988</v>
      </c>
      <c r="AF3" s="2"/>
      <c r="AG3" s="3"/>
      <c r="AH3" t="s">
        <v>22</v>
      </c>
      <c r="AI3">
        <v>49</v>
      </c>
      <c r="AJ3">
        <v>41</v>
      </c>
      <c r="AK3">
        <v>29</v>
      </c>
      <c r="AL3">
        <v>40</v>
      </c>
      <c r="AM3" s="2">
        <f>((2/3)*PI()*(AI3/2)*(AJ3/2)*AK3)/1000000</f>
        <v>3.050538826513249E-2</v>
      </c>
      <c r="AN3" s="3">
        <f t="shared" ref="AN3:AN12" si="7">10^(2.841+0.7*LOG(AM3))</f>
        <v>60.264781996379931</v>
      </c>
      <c r="AO3" s="2"/>
      <c r="AP3" s="3"/>
      <c r="AQ3" s="2"/>
      <c r="AR3" s="3"/>
      <c r="AS3" t="s">
        <v>22</v>
      </c>
      <c r="AT3">
        <v>56</v>
      </c>
      <c r="AU3">
        <v>52</v>
      </c>
      <c r="AV3">
        <v>32</v>
      </c>
      <c r="AW3">
        <v>70</v>
      </c>
      <c r="AX3" s="2">
        <f t="shared" ref="AX3:AX12" si="8">((2/3)*PI()*(AT3/2)*(AU3/2)*AV3)/1000000</f>
        <v>4.8791028305351883E-2</v>
      </c>
      <c r="AY3" s="3">
        <f t="shared" ref="AY3:AY12" si="9">10^(2.841+0.7*LOG(AX3))</f>
        <v>83.721688746517643</v>
      </c>
      <c r="AZ3" s="2">
        <f t="shared" ref="AZ3:AZ12" si="10">AX3*(1-(AW3)*1/100)</f>
        <v>1.4637308491605567E-2</v>
      </c>
      <c r="BA3" s="3">
        <f t="shared" ref="BA3:BA12" si="11">AY3*(1-(AW3)*1/100)</f>
        <v>25.116506623955296</v>
      </c>
      <c r="BB3" s="2">
        <f t="shared" ref="BB3:BB12" si="12">AX3*(AW3*(1/100))</f>
        <v>3.4153719813746319E-2</v>
      </c>
      <c r="BC3" s="3">
        <f t="shared" ref="BC3:BC12" si="13">AY3*(AW3*(1/100))</f>
        <v>58.605182122562354</v>
      </c>
      <c r="BD3" t="s">
        <v>22</v>
      </c>
      <c r="BE3">
        <v>49</v>
      </c>
      <c r="BF3">
        <v>52</v>
      </c>
      <c r="BG3">
        <v>30</v>
      </c>
      <c r="BH3">
        <v>70</v>
      </c>
      <c r="BI3" s="2">
        <f t="shared" ref="BI3:BI12" si="14">((2/3)*PI()*(BE3/2)*(BF3/2)*BG3)/1000000</f>
        <v>4.0023890406733958E-2</v>
      </c>
      <c r="BJ3" s="3">
        <f t="shared" ref="BJ3:BJ12" si="15">10^(2.841+0.7*LOG(BI3))</f>
        <v>72.882541818302172</v>
      </c>
      <c r="BK3" s="2">
        <f t="shared" ref="BK3:BK12" si="16">BI3*(1-(BH3)*1/100)</f>
        <v>1.200716712202019E-2</v>
      </c>
      <c r="BL3" s="3">
        <f t="shared" ref="BL3:BL12" si="17">BJ3*(1-(BH3)*1/100)</f>
        <v>21.864762545490656</v>
      </c>
      <c r="BM3" s="2">
        <f t="shared" ref="BM3:BM12" si="18">BI3*(BH3*(1/100))</f>
        <v>2.8016723284713774E-2</v>
      </c>
      <c r="BN3" s="3">
        <f t="shared" ref="BN3:BN12" si="19">BJ3*(BH3*(1/100))</f>
        <v>51.017779272811524</v>
      </c>
      <c r="BO3" t="s">
        <v>22</v>
      </c>
      <c r="BP3">
        <v>39</v>
      </c>
      <c r="BQ3">
        <v>20</v>
      </c>
      <c r="BR3">
        <v>29</v>
      </c>
      <c r="BS3">
        <v>70</v>
      </c>
      <c r="BT3" s="2">
        <f t="shared" ref="BT3:BT12" si="20">((2/3)*PI()*(BP3/2)*(BQ3/2)*BR3)/1000000</f>
        <v>1.184380430403352E-2</v>
      </c>
      <c r="BU3" s="3">
        <f t="shared" ref="BU3:BU12" si="21">10^(2.841+0.7*LOG(BT3))</f>
        <v>31.077341204989896</v>
      </c>
      <c r="BV3" s="2"/>
      <c r="BW3" t="s">
        <v>22</v>
      </c>
      <c r="BX3" s="4">
        <v>48</v>
      </c>
      <c r="BY3" s="4">
        <v>35</v>
      </c>
      <c r="BZ3">
        <v>30</v>
      </c>
      <c r="CA3">
        <v>60</v>
      </c>
      <c r="CB3" s="2">
        <f t="shared" ref="CB3:CB12" si="22">((2/3)*PI()*(BX3/2)*(BY3/2)*BZ3)/1000000</f>
        <v>2.6389378290154263E-2</v>
      </c>
      <c r="CC3" s="3">
        <f t="shared" ref="CC3:CC12" si="23">10^(2.841+0.7*LOG(CB3))</f>
        <v>54.450316830154279</v>
      </c>
      <c r="CD3" s="2">
        <f t="shared" ref="CD3:CD12" si="24">CB3*(1-(CA3)*1/100)</f>
        <v>1.0555751316061707E-2</v>
      </c>
      <c r="CE3" s="3">
        <f t="shared" ref="CE3:CE12" si="25">CC3*(1-(CA3)*1/100)</f>
        <v>21.780126732061714</v>
      </c>
      <c r="CF3" s="2">
        <f t="shared" ref="CF3:CF12" si="26">CB3*(CA3*(1/100))</f>
        <v>1.5833626974092557E-2</v>
      </c>
      <c r="CG3" s="3">
        <f t="shared" ref="CG3:CG12" si="27">CC3*(CA3*(1/100))</f>
        <v>32.670190098092569</v>
      </c>
    </row>
    <row r="4" spans="1:85">
      <c r="A4" t="s">
        <v>23</v>
      </c>
      <c r="B4">
        <v>62</v>
      </c>
      <c r="C4">
        <v>53</v>
      </c>
      <c r="D4">
        <v>30</v>
      </c>
      <c r="E4">
        <v>90</v>
      </c>
      <c r="F4" s="2">
        <f t="shared" ref="F4:F12" si="28">((2/3)*PI()*(B4/2)*(C4/2)*D4)/1000000</f>
        <v>5.1616367298480306E-2</v>
      </c>
      <c r="G4" s="3">
        <f t="shared" ref="G4:G12" si="29">10^(2.841+0.7*LOG(F4))</f>
        <v>87.086573923533976</v>
      </c>
      <c r="H4" s="2">
        <f t="shared" ref="H4:H12" si="30">F4*(1-(E4)*1/100)</f>
        <v>5.1616367298480291E-3</v>
      </c>
      <c r="I4" s="3">
        <f t="shared" ref="I4:I12" si="31">G4*(1-(E4)*1/100)</f>
        <v>8.7086573923533965</v>
      </c>
      <c r="J4" s="2">
        <f t="shared" ref="J4:J12" si="32">F4*(E4*(1/100))</f>
        <v>4.645473056863228E-2</v>
      </c>
      <c r="K4" s="3">
        <f t="shared" ref="K4:K12" si="33">G4*(E4*(1/100))</f>
        <v>78.377916531180574</v>
      </c>
      <c r="L4" t="s">
        <v>23</v>
      </c>
      <c r="M4">
        <v>58</v>
      </c>
      <c r="N4">
        <v>53</v>
      </c>
      <c r="O4">
        <v>25</v>
      </c>
      <c r="P4">
        <v>95</v>
      </c>
      <c r="Q4" s="2">
        <f t="shared" si="0"/>
        <v>4.0238565904729268E-2</v>
      </c>
      <c r="R4" s="3">
        <f t="shared" si="1"/>
        <v>73.155965411150902</v>
      </c>
      <c r="S4" s="2">
        <f t="shared" si="2"/>
        <v>2.0119282952364651E-3</v>
      </c>
      <c r="T4" s="3">
        <f t="shared" si="3"/>
        <v>3.6577982705575485</v>
      </c>
      <c r="U4" s="2">
        <f t="shared" si="4"/>
        <v>3.8226637609492804E-2</v>
      </c>
      <c r="V4" s="3">
        <f t="shared" si="5"/>
        <v>69.498167140593367</v>
      </c>
      <c r="W4" t="s">
        <v>23</v>
      </c>
      <c r="X4">
        <v>20</v>
      </c>
      <c r="Y4">
        <v>10</v>
      </c>
      <c r="Z4">
        <v>29</v>
      </c>
      <c r="AA4">
        <v>80</v>
      </c>
      <c r="AB4" s="2">
        <f t="shared" si="6"/>
        <v>3.0368728984701333E-3</v>
      </c>
      <c r="AC4" s="3">
        <f>10^(2.841+0.7*LOG(AB4))</f>
        <v>11.986672263181301</v>
      </c>
      <c r="AD4" s="2">
        <v>6.0737457969402666E-3</v>
      </c>
      <c r="AE4" s="3">
        <v>19.472406540211658</v>
      </c>
      <c r="AF4" s="2"/>
      <c r="AG4" s="3"/>
      <c r="AH4" t="s">
        <v>23</v>
      </c>
      <c r="AI4">
        <v>21</v>
      </c>
      <c r="AJ4">
        <v>22</v>
      </c>
      <c r="AK4">
        <v>29</v>
      </c>
      <c r="AL4">
        <v>80</v>
      </c>
      <c r="AM4" s="2">
        <f t="shared" ref="AM4:AM12" si="34">((2/3)*PI()*(AI4/2)*(AJ4/2)*AK4)/1000000</f>
        <v>7.0151763954660086E-3</v>
      </c>
      <c r="AN4" s="3">
        <f t="shared" si="7"/>
        <v>21.539073439684085</v>
      </c>
      <c r="AO4" s="2"/>
      <c r="AP4" s="3"/>
      <c r="AQ4" s="2"/>
      <c r="AR4" s="3"/>
      <c r="AS4" t="s">
        <v>23</v>
      </c>
      <c r="AT4">
        <v>55</v>
      </c>
      <c r="AU4">
        <v>49</v>
      </c>
      <c r="AV4">
        <v>32</v>
      </c>
      <c r="AW4">
        <v>75</v>
      </c>
      <c r="AX4" s="2">
        <f t="shared" si="8"/>
        <v>4.515515840759729E-2</v>
      </c>
      <c r="AY4" s="3">
        <f t="shared" si="9"/>
        <v>79.304012040363588</v>
      </c>
      <c r="AZ4" s="2">
        <f t="shared" si="10"/>
        <v>1.1288789601899323E-2</v>
      </c>
      <c r="BA4" s="3">
        <f t="shared" si="11"/>
        <v>19.826003010090897</v>
      </c>
      <c r="BB4" s="2">
        <f t="shared" si="12"/>
        <v>3.3866368805697968E-2</v>
      </c>
      <c r="BC4" s="3">
        <f t="shared" si="13"/>
        <v>59.478009030272688</v>
      </c>
      <c r="BD4" t="s">
        <v>23</v>
      </c>
      <c r="BE4">
        <v>56</v>
      </c>
      <c r="BF4">
        <v>50</v>
      </c>
      <c r="BG4">
        <v>31</v>
      </c>
      <c r="BH4">
        <v>60</v>
      </c>
      <c r="BI4" s="2">
        <f t="shared" si="14"/>
        <v>4.5448373721932341E-2</v>
      </c>
      <c r="BJ4" s="3">
        <f t="shared" si="15"/>
        <v>79.664134696811004</v>
      </c>
      <c r="BK4" s="2">
        <f t="shared" si="16"/>
        <v>1.8179349488772936E-2</v>
      </c>
      <c r="BL4" s="3">
        <f t="shared" si="17"/>
        <v>31.865653878724402</v>
      </c>
      <c r="BM4" s="2">
        <f t="shared" si="18"/>
        <v>2.7269024233159404E-2</v>
      </c>
      <c r="BN4" s="3">
        <f t="shared" si="19"/>
        <v>47.798480818086603</v>
      </c>
      <c r="BO4" t="s">
        <v>23</v>
      </c>
      <c r="BP4">
        <v>36</v>
      </c>
      <c r="BQ4">
        <v>30</v>
      </c>
      <c r="BR4">
        <v>31</v>
      </c>
      <c r="BS4">
        <v>60</v>
      </c>
      <c r="BT4" s="2">
        <f t="shared" si="20"/>
        <v>1.7530087007031046E-2</v>
      </c>
      <c r="BU4" s="3">
        <f t="shared" si="21"/>
        <v>40.892988477237786</v>
      </c>
      <c r="BV4" s="2"/>
      <c r="BW4" t="s">
        <v>23</v>
      </c>
      <c r="BX4" s="4">
        <v>50</v>
      </c>
      <c r="BY4" s="4">
        <v>43</v>
      </c>
      <c r="BZ4">
        <v>30</v>
      </c>
      <c r="CA4">
        <v>60</v>
      </c>
      <c r="CB4" s="2">
        <f t="shared" si="22"/>
        <v>3.3772121026090271E-2</v>
      </c>
      <c r="CC4" s="3">
        <f t="shared" si="23"/>
        <v>64.712896040205308</v>
      </c>
      <c r="CD4" s="2">
        <f t="shared" si="24"/>
        <v>1.3508848410436109E-2</v>
      </c>
      <c r="CE4" s="3">
        <f t="shared" si="25"/>
        <v>25.885158416082124</v>
      </c>
      <c r="CF4" s="2">
        <f t="shared" si="26"/>
        <v>2.0263272615654162E-2</v>
      </c>
      <c r="CG4" s="3">
        <f t="shared" si="27"/>
        <v>38.827737624123181</v>
      </c>
    </row>
    <row r="5" spans="1:85">
      <c r="A5" t="s">
        <v>24</v>
      </c>
      <c r="B5">
        <v>60</v>
      </c>
      <c r="C5">
        <v>50</v>
      </c>
      <c r="D5">
        <v>28</v>
      </c>
      <c r="E5">
        <v>80</v>
      </c>
      <c r="F5" s="2">
        <f t="shared" si="28"/>
        <v>4.3982297150257102E-2</v>
      </c>
      <c r="G5" s="3">
        <f t="shared" si="29"/>
        <v>77.856438963699915</v>
      </c>
      <c r="H5" s="2">
        <f t="shared" si="30"/>
        <v>8.7964594300514176E-3</v>
      </c>
      <c r="I5" s="3">
        <f t="shared" si="31"/>
        <v>15.57128779273998</v>
      </c>
      <c r="J5" s="2">
        <f t="shared" si="32"/>
        <v>3.5185837720205684E-2</v>
      </c>
      <c r="K5" s="3">
        <f t="shared" si="33"/>
        <v>62.285151170959935</v>
      </c>
      <c r="L5" t="s">
        <v>24</v>
      </c>
      <c r="M5">
        <v>31</v>
      </c>
      <c r="N5">
        <v>26</v>
      </c>
      <c r="O5">
        <v>22</v>
      </c>
      <c r="P5">
        <v>75</v>
      </c>
      <c r="Q5" s="2">
        <f t="shared" si="0"/>
        <v>9.2844534889090363E-3</v>
      </c>
      <c r="R5" s="3">
        <f t="shared" si="1"/>
        <v>26.207732147506217</v>
      </c>
      <c r="S5" s="2">
        <f t="shared" si="2"/>
        <v>2.3211133722272591E-3</v>
      </c>
      <c r="T5" s="3">
        <f t="shared" si="3"/>
        <v>6.5519330368765543</v>
      </c>
      <c r="U5" s="2">
        <f t="shared" si="4"/>
        <v>6.9633401166817772E-3</v>
      </c>
      <c r="V5" s="3">
        <f t="shared" si="5"/>
        <v>19.655799110629662</v>
      </c>
      <c r="W5" t="s">
        <v>24</v>
      </c>
      <c r="X5">
        <v>42</v>
      </c>
      <c r="Y5">
        <v>27</v>
      </c>
      <c r="Z5">
        <v>26</v>
      </c>
      <c r="AA5">
        <v>45</v>
      </c>
      <c r="AB5" s="2">
        <f t="shared" si="6"/>
        <v>1.5437786299740245E-2</v>
      </c>
      <c r="AC5" s="3">
        <f>10^(2.841+0.7*LOG(AB5))</f>
        <v>37.411878684310111</v>
      </c>
      <c r="AD5" s="2">
        <v>3.087557259948049E-2</v>
      </c>
      <c r="AE5" s="3">
        <v>60.775776227039316</v>
      </c>
      <c r="AF5" s="2"/>
      <c r="AG5" s="3"/>
      <c r="AH5" t="s">
        <v>24</v>
      </c>
      <c r="AI5">
        <v>46</v>
      </c>
      <c r="AJ5">
        <v>37</v>
      </c>
      <c r="AK5">
        <v>31</v>
      </c>
      <c r="AL5">
        <v>55</v>
      </c>
      <c r="AM5" s="2">
        <f t="shared" si="34"/>
        <v>2.7626118598117443E-2</v>
      </c>
      <c r="AN5" s="3">
        <f t="shared" si="7"/>
        <v>56.224280996125195</v>
      </c>
      <c r="AO5" s="2"/>
      <c r="AP5" s="3"/>
      <c r="AQ5" s="2"/>
      <c r="AR5" s="3"/>
      <c r="AS5" t="s">
        <v>24</v>
      </c>
      <c r="AT5">
        <v>63</v>
      </c>
      <c r="AU5">
        <v>56</v>
      </c>
      <c r="AV5">
        <v>34</v>
      </c>
      <c r="AW5">
        <v>45</v>
      </c>
      <c r="AX5" s="2">
        <f t="shared" si="8"/>
        <v>6.2806720330567126E-2</v>
      </c>
      <c r="AY5" s="3">
        <f t="shared" si="9"/>
        <v>99.908923848319674</v>
      </c>
      <c r="AZ5" s="2">
        <f t="shared" si="10"/>
        <v>3.4543696181811925E-2</v>
      </c>
      <c r="BA5" s="3">
        <f t="shared" si="11"/>
        <v>54.949908116575827</v>
      </c>
      <c r="BB5" s="2">
        <f t="shared" si="12"/>
        <v>2.8263024148755207E-2</v>
      </c>
      <c r="BC5" s="3">
        <f t="shared" si="13"/>
        <v>44.959015731743854</v>
      </c>
      <c r="BD5" t="s">
        <v>24</v>
      </c>
      <c r="BE5">
        <v>60</v>
      </c>
      <c r="BF5">
        <v>44</v>
      </c>
      <c r="BG5">
        <v>30</v>
      </c>
      <c r="BH5">
        <v>25</v>
      </c>
      <c r="BI5" s="2">
        <f t="shared" si="14"/>
        <v>4.1469023027385261E-2</v>
      </c>
      <c r="BJ5" s="3">
        <f t="shared" si="15"/>
        <v>74.714804211425076</v>
      </c>
      <c r="BK5" s="2">
        <f t="shared" si="16"/>
        <v>3.1101767270538948E-2</v>
      </c>
      <c r="BL5" s="3">
        <f t="shared" si="17"/>
        <v>56.036103158568807</v>
      </c>
      <c r="BM5" s="2">
        <f t="shared" si="18"/>
        <v>1.0367255756846315E-2</v>
      </c>
      <c r="BN5" s="3">
        <f t="shared" si="19"/>
        <v>18.678701052856269</v>
      </c>
      <c r="BO5" t="s">
        <v>24</v>
      </c>
      <c r="BP5">
        <v>46</v>
      </c>
      <c r="BQ5">
        <v>33</v>
      </c>
      <c r="BR5">
        <v>30</v>
      </c>
      <c r="BS5">
        <v>25</v>
      </c>
      <c r="BT5" s="2">
        <f t="shared" si="20"/>
        <v>2.3844688240746526E-2</v>
      </c>
      <c r="BU5" s="3">
        <f t="shared" si="21"/>
        <v>50.719405456517244</v>
      </c>
      <c r="BV5" s="2"/>
      <c r="BW5" t="s">
        <v>24</v>
      </c>
      <c r="BX5" s="4">
        <v>56</v>
      </c>
      <c r="BY5" s="4">
        <v>45</v>
      </c>
      <c r="BZ5">
        <v>31</v>
      </c>
      <c r="CA5">
        <v>45</v>
      </c>
      <c r="CB5" s="2">
        <f t="shared" si="22"/>
        <v>4.0903536349739103E-2</v>
      </c>
      <c r="CC5" s="3">
        <f t="shared" si="23"/>
        <v>74.000149964503834</v>
      </c>
      <c r="CD5" s="2">
        <f t="shared" si="24"/>
        <v>2.2496944992356507E-2</v>
      </c>
      <c r="CE5" s="3">
        <f t="shared" si="25"/>
        <v>40.700082480477114</v>
      </c>
      <c r="CF5" s="2">
        <f t="shared" si="26"/>
        <v>1.8406591357382596E-2</v>
      </c>
      <c r="CG5" s="3">
        <f t="shared" si="27"/>
        <v>33.300067484026727</v>
      </c>
    </row>
    <row r="6" spans="1:85">
      <c r="A6" t="s">
        <v>25</v>
      </c>
      <c r="B6">
        <v>58</v>
      </c>
      <c r="C6">
        <v>66</v>
      </c>
      <c r="D6">
        <v>25</v>
      </c>
      <c r="E6">
        <v>95</v>
      </c>
      <c r="F6" s="2">
        <f t="shared" si="28"/>
        <v>5.0108402824757196E-2</v>
      </c>
      <c r="G6" s="3">
        <f t="shared" si="29"/>
        <v>85.297713987829198</v>
      </c>
      <c r="H6" s="2">
        <f t="shared" si="30"/>
        <v>2.5054201412378621E-3</v>
      </c>
      <c r="I6" s="3">
        <f t="shared" si="31"/>
        <v>4.2648856993914634</v>
      </c>
      <c r="J6" s="2">
        <f t="shared" si="32"/>
        <v>4.760298268351934E-2</v>
      </c>
      <c r="K6" s="3">
        <f t="shared" si="33"/>
        <v>81.032828288437742</v>
      </c>
      <c r="L6" t="s">
        <v>25</v>
      </c>
      <c r="M6">
        <v>53</v>
      </c>
      <c r="N6">
        <v>54</v>
      </c>
      <c r="O6">
        <v>24</v>
      </c>
      <c r="P6">
        <v>95</v>
      </c>
      <c r="Q6" s="2">
        <f t="shared" si="0"/>
        <v>3.596495269829595E-2</v>
      </c>
      <c r="R6" s="3">
        <f t="shared" si="1"/>
        <v>67.626302903826826</v>
      </c>
      <c r="S6" s="2">
        <f t="shared" si="2"/>
        <v>1.7982476349147991E-3</v>
      </c>
      <c r="T6" s="3">
        <f t="shared" si="3"/>
        <v>3.3813151451913441</v>
      </c>
      <c r="U6" s="2">
        <f t="shared" si="4"/>
        <v>3.4166705063381153E-2</v>
      </c>
      <c r="V6" s="3">
        <f t="shared" si="5"/>
        <v>64.244987758635489</v>
      </c>
      <c r="W6" t="s">
        <v>25</v>
      </c>
      <c r="X6" t="s">
        <v>26</v>
      </c>
      <c r="Y6" t="s">
        <v>27</v>
      </c>
      <c r="Z6" t="s">
        <v>28</v>
      </c>
      <c r="AA6">
        <v>100</v>
      </c>
      <c r="AB6" s="2">
        <v>0</v>
      </c>
      <c r="AC6" s="3">
        <v>0</v>
      </c>
      <c r="AD6" s="2"/>
      <c r="AE6" s="3"/>
      <c r="AF6" s="2"/>
      <c r="AG6" s="3"/>
      <c r="AH6" t="s">
        <v>25</v>
      </c>
      <c r="AI6" t="s">
        <v>29</v>
      </c>
      <c r="AL6">
        <v>100</v>
      </c>
      <c r="AM6" s="2" t="e">
        <f t="shared" si="34"/>
        <v>#VALUE!</v>
      </c>
      <c r="AN6" s="3" t="e">
        <f t="shared" si="7"/>
        <v>#VALUE!</v>
      </c>
      <c r="AO6" s="2"/>
      <c r="AP6" s="3"/>
      <c r="AQ6" s="2"/>
      <c r="AR6" s="3"/>
      <c r="AS6" t="s">
        <v>25</v>
      </c>
      <c r="AT6">
        <v>78</v>
      </c>
      <c r="AU6">
        <v>58</v>
      </c>
      <c r="AV6">
        <v>28</v>
      </c>
      <c r="AW6">
        <v>100</v>
      </c>
      <c r="AX6" s="2">
        <f t="shared" si="8"/>
        <v>6.6325304102587718E-2</v>
      </c>
      <c r="AY6" s="3">
        <f t="shared" si="9"/>
        <v>103.79477096922894</v>
      </c>
      <c r="AZ6" s="2">
        <f t="shared" si="10"/>
        <v>0</v>
      </c>
      <c r="BA6" s="3">
        <f t="shared" si="11"/>
        <v>0</v>
      </c>
      <c r="BB6" s="2">
        <f t="shared" si="12"/>
        <v>6.6325304102587718E-2</v>
      </c>
      <c r="BC6" s="3">
        <f t="shared" si="13"/>
        <v>103.79477096922894</v>
      </c>
      <c r="BD6" t="s">
        <v>25</v>
      </c>
      <c r="BE6">
        <v>71</v>
      </c>
      <c r="BF6">
        <v>56</v>
      </c>
      <c r="BG6">
        <v>19</v>
      </c>
      <c r="BH6">
        <v>100</v>
      </c>
      <c r="BI6" s="2">
        <f t="shared" si="14"/>
        <v>3.9554745903797893E-2</v>
      </c>
      <c r="BJ6" s="3">
        <f t="shared" si="15"/>
        <v>72.283474394598514</v>
      </c>
      <c r="BK6" s="2">
        <f t="shared" si="16"/>
        <v>0</v>
      </c>
      <c r="BL6" s="3">
        <f t="shared" si="17"/>
        <v>0</v>
      </c>
      <c r="BM6" s="2">
        <f t="shared" si="18"/>
        <v>3.9554745903797893E-2</v>
      </c>
      <c r="BN6" s="3">
        <f t="shared" si="19"/>
        <v>72.283474394598514</v>
      </c>
      <c r="BO6" t="s">
        <v>25</v>
      </c>
      <c r="BT6" s="2">
        <f t="shared" si="20"/>
        <v>0</v>
      </c>
      <c r="BU6" s="3" t="e">
        <f t="shared" si="21"/>
        <v>#NUM!</v>
      </c>
      <c r="BV6" s="2"/>
      <c r="BW6" t="s">
        <v>25</v>
      </c>
      <c r="BX6">
        <v>78</v>
      </c>
      <c r="BY6">
        <v>58</v>
      </c>
      <c r="BZ6">
        <v>28</v>
      </c>
      <c r="CA6">
        <v>100</v>
      </c>
      <c r="CB6" s="2">
        <f t="shared" si="22"/>
        <v>6.6325304102587718E-2</v>
      </c>
      <c r="CC6" s="3">
        <f t="shared" si="23"/>
        <v>103.79477096922894</v>
      </c>
      <c r="CD6" s="2">
        <f t="shared" si="24"/>
        <v>0</v>
      </c>
      <c r="CE6" s="3">
        <f t="shared" si="25"/>
        <v>0</v>
      </c>
      <c r="CF6" s="2">
        <f t="shared" si="26"/>
        <v>6.6325304102587718E-2</v>
      </c>
      <c r="CG6" s="3">
        <f t="shared" si="27"/>
        <v>103.79477096922894</v>
      </c>
    </row>
    <row r="7" spans="1:85">
      <c r="A7" t="s">
        <v>30</v>
      </c>
      <c r="B7">
        <v>71</v>
      </c>
      <c r="C7">
        <v>71</v>
      </c>
      <c r="D7">
        <v>34</v>
      </c>
      <c r="E7">
        <v>85</v>
      </c>
      <c r="F7" s="2">
        <f t="shared" si="28"/>
        <v>8.974168854489481E-2</v>
      </c>
      <c r="G7" s="3">
        <f t="shared" si="29"/>
        <v>128.2613969673624</v>
      </c>
      <c r="H7" s="2">
        <f t="shared" si="30"/>
        <v>1.3461253281734224E-2</v>
      </c>
      <c r="I7" s="3">
        <f t="shared" si="31"/>
        <v>19.239209545104362</v>
      </c>
      <c r="J7" s="2">
        <f t="shared" si="32"/>
        <v>7.6280435263160584E-2</v>
      </c>
      <c r="K7" s="3">
        <f t="shared" si="33"/>
        <v>109.02218742225804</v>
      </c>
      <c r="L7" t="s">
        <v>30</v>
      </c>
      <c r="M7">
        <v>71</v>
      </c>
      <c r="N7">
        <v>70</v>
      </c>
      <c r="O7">
        <v>31</v>
      </c>
      <c r="P7">
        <v>75</v>
      </c>
      <c r="Q7" s="2">
        <f t="shared" si="0"/>
        <v>8.0670863356429895E-2</v>
      </c>
      <c r="R7" s="3">
        <f t="shared" si="1"/>
        <v>119.04240530777226</v>
      </c>
      <c r="S7" s="2">
        <f t="shared" si="2"/>
        <v>2.0167715839107474E-2</v>
      </c>
      <c r="T7" s="3">
        <f t="shared" si="3"/>
        <v>29.760601326943064</v>
      </c>
      <c r="U7" s="2">
        <f t="shared" si="4"/>
        <v>6.0503147517322421E-2</v>
      </c>
      <c r="V7" s="3">
        <f t="shared" si="5"/>
        <v>89.281803980829196</v>
      </c>
      <c r="W7" t="s">
        <v>30</v>
      </c>
      <c r="X7">
        <v>59</v>
      </c>
      <c r="Y7">
        <v>57</v>
      </c>
      <c r="Z7">
        <v>41</v>
      </c>
      <c r="AA7">
        <v>30</v>
      </c>
      <c r="AB7" s="2">
        <f t="shared" si="6"/>
        <v>7.2195369975820239E-2</v>
      </c>
      <c r="AC7" s="3">
        <f>10^(2.841+0.7*LOG(AB7))</f>
        <v>110.14290898262092</v>
      </c>
      <c r="AD7" s="2">
        <v>0.14439073995164048</v>
      </c>
      <c r="AE7" s="3">
        <v>178.92768352556118</v>
      </c>
      <c r="AF7" s="2"/>
      <c r="AG7" s="3"/>
      <c r="AH7" t="s">
        <v>30</v>
      </c>
      <c r="AI7">
        <v>63</v>
      </c>
      <c r="AJ7">
        <v>52</v>
      </c>
      <c r="AK7">
        <v>35</v>
      </c>
      <c r="AL7">
        <v>30</v>
      </c>
      <c r="AM7" s="2">
        <f t="shared" si="34"/>
        <v>6.0035835610100931E-2</v>
      </c>
      <c r="AN7" s="3">
        <f t="shared" si="7"/>
        <v>96.802682413290881</v>
      </c>
      <c r="AO7" s="2"/>
      <c r="AP7" s="3"/>
      <c r="AQ7" s="2"/>
      <c r="AR7" s="3"/>
      <c r="AS7" t="s">
        <v>30</v>
      </c>
      <c r="AT7">
        <v>85</v>
      </c>
      <c r="AU7">
        <v>79</v>
      </c>
      <c r="AV7">
        <v>45</v>
      </c>
      <c r="AW7">
        <v>35</v>
      </c>
      <c r="AX7" s="2">
        <f t="shared" si="8"/>
        <v>0.15821846001641593</v>
      </c>
      <c r="AY7" s="3">
        <f t="shared" si="9"/>
        <v>190.75679066842838</v>
      </c>
      <c r="AZ7" s="2">
        <f t="shared" si="10"/>
        <v>0.10284199901067036</v>
      </c>
      <c r="BA7" s="3">
        <f t="shared" si="11"/>
        <v>123.99191393447845</v>
      </c>
      <c r="BB7" s="2">
        <f t="shared" si="12"/>
        <v>5.5376461005745579E-2</v>
      </c>
      <c r="BC7" s="3">
        <f t="shared" si="13"/>
        <v>66.764876733949933</v>
      </c>
      <c r="BD7" t="s">
        <v>30</v>
      </c>
      <c r="BE7">
        <v>85</v>
      </c>
      <c r="BF7">
        <v>78</v>
      </c>
      <c r="BG7">
        <v>38</v>
      </c>
      <c r="BH7">
        <v>15</v>
      </c>
      <c r="BI7" s="2">
        <f t="shared" si="14"/>
        <v>0.13191547552423541</v>
      </c>
      <c r="BJ7" s="3">
        <f t="shared" si="15"/>
        <v>167.96044752572439</v>
      </c>
      <c r="BK7" s="2">
        <f t="shared" si="16"/>
        <v>0.1121281541956001</v>
      </c>
      <c r="BL7" s="3">
        <f t="shared" si="17"/>
        <v>142.76638039686574</v>
      </c>
      <c r="BM7" s="2">
        <f t="shared" si="18"/>
        <v>1.978732132863531E-2</v>
      </c>
      <c r="BN7" s="3">
        <f t="shared" si="19"/>
        <v>25.194067128858659</v>
      </c>
      <c r="BO7" t="s">
        <v>30</v>
      </c>
      <c r="BP7">
        <v>76</v>
      </c>
      <c r="BQ7">
        <v>75</v>
      </c>
      <c r="BR7">
        <v>37</v>
      </c>
      <c r="BS7">
        <v>15</v>
      </c>
      <c r="BT7" s="2">
        <f t="shared" si="20"/>
        <v>0.11042698177368121</v>
      </c>
      <c r="BU7" s="3">
        <f t="shared" si="21"/>
        <v>148.30392371976282</v>
      </c>
      <c r="BV7" s="2"/>
      <c r="BW7" t="s">
        <v>30</v>
      </c>
      <c r="BX7" s="4">
        <v>70</v>
      </c>
      <c r="BY7" s="4">
        <v>77</v>
      </c>
      <c r="BZ7">
        <v>38</v>
      </c>
      <c r="CA7">
        <v>25</v>
      </c>
      <c r="CB7" s="2">
        <f t="shared" si="22"/>
        <v>0.10724350121804356</v>
      </c>
      <c r="CC7" s="3">
        <f t="shared" si="23"/>
        <v>145.29801757234765</v>
      </c>
      <c r="CD7" s="2">
        <f t="shared" si="24"/>
        <v>8.0432625913532674E-2</v>
      </c>
      <c r="CE7" s="3">
        <f t="shared" si="25"/>
        <v>108.97351317926073</v>
      </c>
      <c r="CF7" s="2">
        <f t="shared" si="26"/>
        <v>2.681087530451089E-2</v>
      </c>
      <c r="CG7" s="3">
        <f t="shared" si="27"/>
        <v>36.324504393086912</v>
      </c>
    </row>
    <row r="8" spans="1:85">
      <c r="A8" t="s">
        <v>31</v>
      </c>
      <c r="B8">
        <v>56</v>
      </c>
      <c r="C8">
        <v>59</v>
      </c>
      <c r="D8">
        <v>23</v>
      </c>
      <c r="E8">
        <v>100</v>
      </c>
      <c r="F8" s="2">
        <f t="shared" si="28"/>
        <v>3.9789318155265922E-2</v>
      </c>
      <c r="G8" s="3">
        <f t="shared" si="29"/>
        <v>72.583272986888772</v>
      </c>
      <c r="H8" s="2">
        <f t="shared" si="30"/>
        <v>0</v>
      </c>
      <c r="I8" s="3">
        <f t="shared" si="31"/>
        <v>0</v>
      </c>
      <c r="J8" s="2">
        <f t="shared" si="32"/>
        <v>3.9789318155265922E-2</v>
      </c>
      <c r="K8" s="3">
        <f t="shared" si="33"/>
        <v>72.583272986888772</v>
      </c>
      <c r="L8" t="s">
        <v>31</v>
      </c>
      <c r="M8">
        <v>52</v>
      </c>
      <c r="N8">
        <v>52</v>
      </c>
      <c r="O8">
        <v>22</v>
      </c>
      <c r="P8">
        <v>100</v>
      </c>
      <c r="Q8" s="2">
        <f t="shared" si="0"/>
        <v>3.1147843962791598E-2</v>
      </c>
      <c r="R8" s="3">
        <f t="shared" si="1"/>
        <v>61.150440984061248</v>
      </c>
      <c r="S8" s="2">
        <f t="shared" si="2"/>
        <v>0</v>
      </c>
      <c r="T8" s="3">
        <f t="shared" si="3"/>
        <v>0</v>
      </c>
      <c r="U8" s="2">
        <f t="shared" si="4"/>
        <v>3.1147843962791598E-2</v>
      </c>
      <c r="V8" s="3">
        <f t="shared" si="5"/>
        <v>61.150440984061248</v>
      </c>
      <c r="W8" t="s">
        <v>31</v>
      </c>
      <c r="X8" t="s">
        <v>32</v>
      </c>
      <c r="Y8" t="s">
        <v>33</v>
      </c>
      <c r="Z8" t="s">
        <v>34</v>
      </c>
      <c r="AA8">
        <v>100</v>
      </c>
      <c r="AB8" s="2">
        <v>0</v>
      </c>
      <c r="AC8" s="3">
        <v>0</v>
      </c>
      <c r="AD8" s="2"/>
      <c r="AE8" s="3"/>
      <c r="AF8" s="2"/>
      <c r="AG8" s="3"/>
      <c r="AH8" t="s">
        <v>31</v>
      </c>
      <c r="AI8" t="s">
        <v>29</v>
      </c>
      <c r="AL8">
        <v>100</v>
      </c>
      <c r="AM8" s="2" t="e">
        <f t="shared" si="34"/>
        <v>#VALUE!</v>
      </c>
      <c r="AN8" s="3" t="e">
        <f t="shared" si="7"/>
        <v>#VALUE!</v>
      </c>
      <c r="AO8" s="2"/>
      <c r="AP8" s="3"/>
      <c r="AQ8" s="2"/>
      <c r="AR8" s="3"/>
      <c r="AS8" t="s">
        <v>31</v>
      </c>
      <c r="AT8">
        <v>58</v>
      </c>
      <c r="AU8">
        <v>61</v>
      </c>
      <c r="AV8">
        <v>26</v>
      </c>
      <c r="AW8">
        <v>100</v>
      </c>
      <c r="AX8" s="2">
        <f t="shared" si="8"/>
        <v>4.8164804169736307E-2</v>
      </c>
      <c r="AY8" s="3">
        <f t="shared" si="9"/>
        <v>82.968045457138416</v>
      </c>
      <c r="AZ8" s="2">
        <f t="shared" si="10"/>
        <v>0</v>
      </c>
      <c r="BA8" s="3">
        <f t="shared" si="11"/>
        <v>0</v>
      </c>
      <c r="BB8" s="2">
        <f t="shared" si="12"/>
        <v>4.8164804169736307E-2</v>
      </c>
      <c r="BC8" s="3">
        <f t="shared" si="13"/>
        <v>82.968045457138416</v>
      </c>
      <c r="BD8" t="s">
        <v>31</v>
      </c>
      <c r="BE8">
        <v>50</v>
      </c>
      <c r="BF8">
        <v>57</v>
      </c>
      <c r="BG8">
        <v>21</v>
      </c>
      <c r="BH8">
        <v>100</v>
      </c>
      <c r="BI8" s="2">
        <f t="shared" si="14"/>
        <v>3.1337386719558186E-2</v>
      </c>
      <c r="BJ8" s="3">
        <f t="shared" si="15"/>
        <v>61.410685315167548</v>
      </c>
      <c r="BK8" s="2">
        <f t="shared" si="16"/>
        <v>0</v>
      </c>
      <c r="BL8" s="3">
        <f t="shared" si="17"/>
        <v>0</v>
      </c>
      <c r="BM8" s="2">
        <f t="shared" si="18"/>
        <v>3.1337386719558186E-2</v>
      </c>
      <c r="BN8" s="3">
        <f t="shared" si="19"/>
        <v>61.410685315167548</v>
      </c>
      <c r="BO8" t="s">
        <v>31</v>
      </c>
      <c r="BT8" s="2">
        <f t="shared" si="20"/>
        <v>0</v>
      </c>
      <c r="BU8" s="3" t="e">
        <f t="shared" si="21"/>
        <v>#NUM!</v>
      </c>
      <c r="BV8" s="2"/>
      <c r="BW8" t="s">
        <v>31</v>
      </c>
      <c r="BX8">
        <v>58</v>
      </c>
      <c r="BY8">
        <v>61</v>
      </c>
      <c r="BZ8">
        <v>26</v>
      </c>
      <c r="CA8">
        <v>100</v>
      </c>
      <c r="CB8" s="2">
        <f t="shared" si="22"/>
        <v>4.8164804169736307E-2</v>
      </c>
      <c r="CC8" s="3">
        <f t="shared" si="23"/>
        <v>82.968045457138416</v>
      </c>
      <c r="CD8" s="2">
        <f t="shared" si="24"/>
        <v>0</v>
      </c>
      <c r="CE8" s="3">
        <f t="shared" si="25"/>
        <v>0</v>
      </c>
      <c r="CF8" s="2">
        <f t="shared" si="26"/>
        <v>4.8164804169736307E-2</v>
      </c>
      <c r="CG8" s="3">
        <f t="shared" si="27"/>
        <v>82.968045457138416</v>
      </c>
    </row>
    <row r="9" spans="1:85">
      <c r="A9" t="s">
        <v>35</v>
      </c>
      <c r="B9">
        <v>61</v>
      </c>
      <c r="C9">
        <v>54</v>
      </c>
      <c r="D9">
        <v>38</v>
      </c>
      <c r="E9">
        <v>80</v>
      </c>
      <c r="F9" s="2">
        <f t="shared" si="28"/>
        <v>6.5539905939190249E-2</v>
      </c>
      <c r="G9" s="3">
        <f t="shared" si="29"/>
        <v>102.93286705650804</v>
      </c>
      <c r="H9" s="2">
        <f t="shared" si="30"/>
        <v>1.3107981187838047E-2</v>
      </c>
      <c r="I9" s="3">
        <f t="shared" si="31"/>
        <v>20.586573411301604</v>
      </c>
      <c r="J9" s="2">
        <f t="shared" si="32"/>
        <v>5.24319247513522E-2</v>
      </c>
      <c r="K9" s="3">
        <f t="shared" si="33"/>
        <v>82.346293645206444</v>
      </c>
      <c r="L9" t="s">
        <v>35</v>
      </c>
      <c r="M9">
        <v>63</v>
      </c>
      <c r="N9">
        <v>63</v>
      </c>
      <c r="O9">
        <v>40</v>
      </c>
      <c r="P9">
        <v>80</v>
      </c>
      <c r="Q9" s="2">
        <f t="shared" si="0"/>
        <v>8.3126541613985916E-2</v>
      </c>
      <c r="R9" s="3">
        <f t="shared" si="1"/>
        <v>121.56758765161318</v>
      </c>
      <c r="S9" s="2">
        <f t="shared" si="2"/>
        <v>1.662530832279718E-2</v>
      </c>
      <c r="T9" s="3">
        <f t="shared" si="3"/>
        <v>24.313517530322631</v>
      </c>
      <c r="U9" s="2">
        <f t="shared" si="4"/>
        <v>6.6501233291188733E-2</v>
      </c>
      <c r="V9" s="3">
        <f t="shared" si="5"/>
        <v>97.254070121290553</v>
      </c>
      <c r="W9" t="s">
        <v>35</v>
      </c>
      <c r="X9">
        <v>17</v>
      </c>
      <c r="Y9">
        <v>12</v>
      </c>
      <c r="Z9">
        <v>32</v>
      </c>
      <c r="AA9">
        <v>85</v>
      </c>
      <c r="AB9" s="2">
        <f t="shared" si="6"/>
        <v>3.4180528071056943E-3</v>
      </c>
      <c r="AC9" s="3">
        <f>10^(2.841+0.7*LOG(AB9))</f>
        <v>13.021023947727025</v>
      </c>
      <c r="AD9" s="2">
        <v>6.8361056142113887E-3</v>
      </c>
      <c r="AE9" s="3">
        <v>21.152715809106422</v>
      </c>
      <c r="AF9" s="2"/>
      <c r="AG9" s="3"/>
      <c r="AH9" t="s">
        <v>35</v>
      </c>
      <c r="AI9">
        <v>34</v>
      </c>
      <c r="AJ9">
        <v>26</v>
      </c>
      <c r="AK9">
        <v>42</v>
      </c>
      <c r="AL9">
        <v>70</v>
      </c>
      <c r="AM9" s="2">
        <f t="shared" si="34"/>
        <v>1.9440175340413635E-2</v>
      </c>
      <c r="AN9" s="3">
        <f t="shared" si="7"/>
        <v>43.963283818824337</v>
      </c>
      <c r="AO9" s="2"/>
      <c r="AP9" s="3"/>
      <c r="AQ9" s="2"/>
      <c r="AR9" s="3"/>
      <c r="AS9" t="s">
        <v>35</v>
      </c>
      <c r="AT9">
        <v>73</v>
      </c>
      <c r="AU9">
        <v>60</v>
      </c>
      <c r="AV9">
        <v>45</v>
      </c>
      <c r="AW9">
        <v>85</v>
      </c>
      <c r="AX9" s="2">
        <f t="shared" si="8"/>
        <v>0.10320131867042469</v>
      </c>
      <c r="AY9" s="3">
        <f t="shared" si="9"/>
        <v>141.44241815886269</v>
      </c>
      <c r="AZ9" s="2">
        <f t="shared" si="10"/>
        <v>1.5480197800563705E-2</v>
      </c>
      <c r="BA9" s="3">
        <f t="shared" si="11"/>
        <v>21.216362723829405</v>
      </c>
      <c r="BB9" s="2">
        <f t="shared" si="12"/>
        <v>8.7721120869860988E-2</v>
      </c>
      <c r="BC9" s="3">
        <f t="shared" si="13"/>
        <v>120.22605543503329</v>
      </c>
      <c r="BD9" t="s">
        <v>35</v>
      </c>
      <c r="BE9">
        <v>65</v>
      </c>
      <c r="BF9">
        <v>60</v>
      </c>
      <c r="BG9">
        <v>42</v>
      </c>
      <c r="BH9">
        <v>60</v>
      </c>
      <c r="BI9" s="2">
        <f t="shared" si="14"/>
        <v>8.5765479443001363E-2</v>
      </c>
      <c r="BJ9" s="3">
        <f t="shared" si="15"/>
        <v>124.25639910936624</v>
      </c>
      <c r="BK9" s="2">
        <f t="shared" si="16"/>
        <v>3.4306191777200547E-2</v>
      </c>
      <c r="BL9" s="3">
        <f t="shared" si="17"/>
        <v>49.702559643746497</v>
      </c>
      <c r="BM9" s="2">
        <f t="shared" si="18"/>
        <v>5.1459287665800817E-2</v>
      </c>
      <c r="BN9" s="3">
        <f t="shared" si="19"/>
        <v>74.553839465619745</v>
      </c>
      <c r="BO9" t="s">
        <v>35</v>
      </c>
      <c r="BP9">
        <v>36</v>
      </c>
      <c r="BQ9">
        <v>24</v>
      </c>
      <c r="BR9">
        <v>38</v>
      </c>
      <c r="BS9">
        <v>60</v>
      </c>
      <c r="BT9" s="2">
        <f t="shared" si="20"/>
        <v>1.7190795000443349E-2</v>
      </c>
      <c r="BU9" s="3">
        <f t="shared" si="21"/>
        <v>40.337332311280711</v>
      </c>
      <c r="BV9" s="2"/>
      <c r="BW9" t="s">
        <v>35</v>
      </c>
      <c r="BX9" s="4">
        <v>54</v>
      </c>
      <c r="BY9" s="4">
        <v>43</v>
      </c>
      <c r="BZ9">
        <v>34</v>
      </c>
      <c r="CA9">
        <v>60</v>
      </c>
      <c r="CB9" s="2">
        <f t="shared" si="22"/>
        <v>4.1337076135934493E-2</v>
      </c>
      <c r="CC9" s="3">
        <f t="shared" si="23"/>
        <v>74.548314432901279</v>
      </c>
      <c r="CD9" s="2">
        <f t="shared" si="24"/>
        <v>1.6534830454373799E-2</v>
      </c>
      <c r="CE9" s="3">
        <f t="shared" si="25"/>
        <v>29.819325773160514</v>
      </c>
      <c r="CF9" s="2">
        <f t="shared" si="26"/>
        <v>2.4802245681560694E-2</v>
      </c>
      <c r="CG9" s="3">
        <f t="shared" si="27"/>
        <v>44.728988659740764</v>
      </c>
    </row>
    <row r="10" spans="1:85">
      <c r="A10" t="s">
        <v>36</v>
      </c>
      <c r="B10">
        <v>48</v>
      </c>
      <c r="C10">
        <v>70</v>
      </c>
      <c r="D10">
        <v>31</v>
      </c>
      <c r="E10">
        <v>85</v>
      </c>
      <c r="F10" s="2">
        <f t="shared" si="28"/>
        <v>5.4538048466318802E-2</v>
      </c>
      <c r="G10" s="3">
        <f t="shared" si="29"/>
        <v>90.508572544252999</v>
      </c>
      <c r="H10" s="2">
        <f t="shared" si="30"/>
        <v>8.1807072699478216E-3</v>
      </c>
      <c r="I10" s="3">
        <f t="shared" si="31"/>
        <v>13.576285881637952</v>
      </c>
      <c r="J10" s="2">
        <f t="shared" si="32"/>
        <v>4.6357341196370978E-2</v>
      </c>
      <c r="K10" s="3">
        <f t="shared" si="33"/>
        <v>76.932286662615041</v>
      </c>
      <c r="L10" t="s">
        <v>36</v>
      </c>
      <c r="M10">
        <v>64</v>
      </c>
      <c r="N10">
        <v>59</v>
      </c>
      <c r="O10">
        <v>29</v>
      </c>
      <c r="P10">
        <v>75</v>
      </c>
      <c r="Q10" s="2">
        <f t="shared" si="0"/>
        <v>5.7336160323116114E-2</v>
      </c>
      <c r="R10" s="3">
        <f t="shared" si="1"/>
        <v>93.734620213093763</v>
      </c>
      <c r="S10" s="2">
        <f t="shared" si="2"/>
        <v>1.4334040080779029E-2</v>
      </c>
      <c r="T10" s="3">
        <f t="shared" si="3"/>
        <v>23.433655053273441</v>
      </c>
      <c r="U10" s="2">
        <f t="shared" si="4"/>
        <v>4.3002120242337086E-2</v>
      </c>
      <c r="V10" s="3">
        <f t="shared" si="5"/>
        <v>70.300965159820322</v>
      </c>
      <c r="W10" t="s">
        <v>36</v>
      </c>
      <c r="X10">
        <v>35</v>
      </c>
      <c r="Y10">
        <v>34</v>
      </c>
      <c r="Z10">
        <v>31</v>
      </c>
      <c r="AA10">
        <v>70</v>
      </c>
      <c r="AB10" s="2">
        <f t="shared" si="6"/>
        <v>1.931555883182124E-2</v>
      </c>
      <c r="AC10" s="3">
        <f>10^(2.841+0.7*LOG(AB10))</f>
        <v>43.765822460840077</v>
      </c>
      <c r="AD10" s="2">
        <v>3.8631117663642481E-2</v>
      </c>
      <c r="AE10" s="3">
        <v>71.097788344637792</v>
      </c>
      <c r="AF10" s="2"/>
      <c r="AG10" s="3"/>
      <c r="AH10" t="s">
        <v>36</v>
      </c>
      <c r="AI10">
        <v>23</v>
      </c>
      <c r="AJ10">
        <v>24</v>
      </c>
      <c r="AK10">
        <v>20</v>
      </c>
      <c r="AL10">
        <v>85</v>
      </c>
      <c r="AM10" s="2">
        <f t="shared" si="34"/>
        <v>5.7805304826052187E-3</v>
      </c>
      <c r="AN10" s="3">
        <f t="shared" si="7"/>
        <v>18.809505883305583</v>
      </c>
      <c r="AO10" s="2"/>
      <c r="AP10" s="3"/>
      <c r="AQ10" s="2"/>
      <c r="AR10" s="3"/>
      <c r="AS10" t="s">
        <v>36</v>
      </c>
      <c r="AT10">
        <v>74</v>
      </c>
      <c r="AU10">
        <v>49</v>
      </c>
      <c r="AV10">
        <v>34</v>
      </c>
      <c r="AW10">
        <v>70</v>
      </c>
      <c r="AX10" s="2">
        <f t="shared" si="8"/>
        <v>6.4551351450860675E-2</v>
      </c>
      <c r="AY10" s="3">
        <f t="shared" si="9"/>
        <v>101.84359879981245</v>
      </c>
      <c r="AZ10" s="2">
        <f t="shared" si="10"/>
        <v>1.9365405435258207E-2</v>
      </c>
      <c r="BA10" s="3">
        <f t="shared" si="11"/>
        <v>30.553079639943739</v>
      </c>
      <c r="BB10" s="2">
        <f t="shared" si="12"/>
        <v>4.5185946015602475E-2</v>
      </c>
      <c r="BC10" s="3">
        <f t="shared" si="13"/>
        <v>71.290519159868722</v>
      </c>
      <c r="BD10" t="s">
        <v>36</v>
      </c>
      <c r="BE10">
        <v>63</v>
      </c>
      <c r="BF10">
        <v>47</v>
      </c>
      <c r="BG10">
        <v>26</v>
      </c>
      <c r="BH10">
        <v>60</v>
      </c>
      <c r="BI10" s="2">
        <f t="shared" si="14"/>
        <v>4.0309775338210632E-2</v>
      </c>
      <c r="BJ10" s="3">
        <f t="shared" si="15"/>
        <v>73.246565288776623</v>
      </c>
      <c r="BK10" s="2">
        <f t="shared" si="16"/>
        <v>1.6123910135284254E-2</v>
      </c>
      <c r="BL10" s="3">
        <f t="shared" si="17"/>
        <v>29.29862611551065</v>
      </c>
      <c r="BM10" s="2">
        <f t="shared" si="18"/>
        <v>2.4185865202926378E-2</v>
      </c>
      <c r="BN10" s="3">
        <f t="shared" si="19"/>
        <v>43.947939173265972</v>
      </c>
      <c r="BO10" t="s">
        <v>36</v>
      </c>
      <c r="BP10">
        <v>40</v>
      </c>
      <c r="BQ10">
        <v>26</v>
      </c>
      <c r="BR10">
        <v>26</v>
      </c>
      <c r="BS10">
        <v>60</v>
      </c>
      <c r="BT10" s="2">
        <f t="shared" si="20"/>
        <v>1.4158110892177998E-2</v>
      </c>
      <c r="BU10" s="3">
        <f t="shared" si="21"/>
        <v>35.213055945091469</v>
      </c>
      <c r="BV10" s="2"/>
      <c r="BW10" t="s">
        <v>36</v>
      </c>
      <c r="BX10" s="4">
        <v>66</v>
      </c>
      <c r="BY10" s="4">
        <v>43</v>
      </c>
      <c r="BZ10">
        <v>31</v>
      </c>
      <c r="CA10">
        <v>75</v>
      </c>
      <c r="CB10" s="2">
        <f t="shared" si="22"/>
        <v>4.6065173079587136E-2</v>
      </c>
      <c r="CC10" s="3">
        <f t="shared" si="23"/>
        <v>80.41941231936616</v>
      </c>
      <c r="CD10" s="2">
        <f t="shared" si="24"/>
        <v>1.1516293269896784E-2</v>
      </c>
      <c r="CE10" s="3">
        <f t="shared" si="25"/>
        <v>20.10485307984154</v>
      </c>
      <c r="CF10" s="2">
        <f t="shared" si="26"/>
        <v>3.4548879809690354E-2</v>
      </c>
      <c r="CG10" s="3">
        <f t="shared" si="27"/>
        <v>60.31455923952462</v>
      </c>
    </row>
    <row r="11" spans="1:85">
      <c r="A11" t="s">
        <v>37</v>
      </c>
      <c r="B11">
        <v>52</v>
      </c>
      <c r="C11">
        <v>52</v>
      </c>
      <c r="D11">
        <v>30</v>
      </c>
      <c r="E11">
        <v>98</v>
      </c>
      <c r="F11" s="2">
        <f t="shared" si="28"/>
        <v>4.2474332676533992E-2</v>
      </c>
      <c r="G11" s="3">
        <f t="shared" si="29"/>
        <v>75.978129066750597</v>
      </c>
      <c r="H11" s="2">
        <f t="shared" si="30"/>
        <v>8.4948665353068063E-4</v>
      </c>
      <c r="I11" s="3">
        <f t="shared" si="31"/>
        <v>1.5195625813350133</v>
      </c>
      <c r="J11" s="2">
        <f t="shared" si="32"/>
        <v>4.1624846023003315E-2</v>
      </c>
      <c r="K11" s="3">
        <f t="shared" si="33"/>
        <v>74.458566485415588</v>
      </c>
      <c r="L11" t="s">
        <v>37</v>
      </c>
      <c r="M11">
        <v>58</v>
      </c>
      <c r="N11">
        <v>60</v>
      </c>
      <c r="O11">
        <v>25</v>
      </c>
      <c r="P11">
        <v>99</v>
      </c>
      <c r="Q11" s="2">
        <f t="shared" si="0"/>
        <v>4.5553093477051998E-2</v>
      </c>
      <c r="R11" s="3">
        <f t="shared" si="1"/>
        <v>79.792580871754154</v>
      </c>
      <c r="S11" s="2">
        <f t="shared" si="2"/>
        <v>4.5553093477052037E-4</v>
      </c>
      <c r="T11" s="3">
        <f t="shared" si="3"/>
        <v>0.79792580871754226</v>
      </c>
      <c r="U11" s="2">
        <f t="shared" si="4"/>
        <v>4.5097562542281477E-2</v>
      </c>
      <c r="V11" s="3">
        <f t="shared" si="5"/>
        <v>78.994655063036618</v>
      </c>
      <c r="W11" t="s">
        <v>37</v>
      </c>
      <c r="X11" t="s">
        <v>38</v>
      </c>
      <c r="Y11" t="s">
        <v>39</v>
      </c>
      <c r="Z11" t="s">
        <v>40</v>
      </c>
      <c r="AA11">
        <v>100</v>
      </c>
      <c r="AB11" s="2">
        <v>0</v>
      </c>
      <c r="AC11" s="3">
        <v>0</v>
      </c>
      <c r="AD11" s="2"/>
      <c r="AE11" s="3"/>
      <c r="AF11" s="2"/>
      <c r="AG11" s="3"/>
      <c r="AH11" t="s">
        <v>37</v>
      </c>
      <c r="AI11" t="s">
        <v>29</v>
      </c>
      <c r="AL11">
        <v>100</v>
      </c>
      <c r="AM11" s="2" t="e">
        <f t="shared" si="34"/>
        <v>#VALUE!</v>
      </c>
      <c r="AN11" s="3" t="e">
        <f t="shared" si="7"/>
        <v>#VALUE!</v>
      </c>
      <c r="AO11" s="2"/>
      <c r="AP11" s="3"/>
      <c r="AQ11" s="2"/>
      <c r="AR11" s="3"/>
      <c r="AS11" t="s">
        <v>37</v>
      </c>
      <c r="AT11">
        <v>57</v>
      </c>
      <c r="AU11">
        <v>58</v>
      </c>
      <c r="AV11">
        <v>31</v>
      </c>
      <c r="AW11">
        <v>100</v>
      </c>
      <c r="AX11" s="2">
        <f t="shared" si="8"/>
        <v>5.3661544115967255E-2</v>
      </c>
      <c r="AY11" s="3">
        <f t="shared" si="9"/>
        <v>89.48787920766533</v>
      </c>
      <c r="AZ11" s="2">
        <f t="shared" si="10"/>
        <v>0</v>
      </c>
      <c r="BA11" s="3">
        <f t="shared" si="11"/>
        <v>0</v>
      </c>
      <c r="BB11" s="2">
        <f t="shared" si="12"/>
        <v>5.3661544115967255E-2</v>
      </c>
      <c r="BC11" s="3">
        <f t="shared" si="13"/>
        <v>89.48787920766533</v>
      </c>
      <c r="BD11" t="s">
        <v>37</v>
      </c>
      <c r="BE11">
        <v>55</v>
      </c>
      <c r="BF11">
        <v>54</v>
      </c>
      <c r="BG11">
        <v>30</v>
      </c>
      <c r="BH11">
        <v>100</v>
      </c>
      <c r="BI11" s="2">
        <f t="shared" si="14"/>
        <v>4.6652650905808425E-2</v>
      </c>
      <c r="BJ11" s="3">
        <f t="shared" si="15"/>
        <v>81.135969219003485</v>
      </c>
      <c r="BK11" s="2">
        <f t="shared" si="16"/>
        <v>0</v>
      </c>
      <c r="BL11" s="3">
        <f t="shared" si="17"/>
        <v>0</v>
      </c>
      <c r="BM11" s="2">
        <f t="shared" si="18"/>
        <v>4.6652650905808425E-2</v>
      </c>
      <c r="BN11" s="3">
        <f t="shared" si="19"/>
        <v>81.135969219003485</v>
      </c>
      <c r="BO11" t="s">
        <v>37</v>
      </c>
      <c r="BT11" s="2">
        <f t="shared" si="20"/>
        <v>0</v>
      </c>
      <c r="BU11" s="3" t="e">
        <f t="shared" si="21"/>
        <v>#NUM!</v>
      </c>
      <c r="BV11" s="2"/>
      <c r="BW11" t="s">
        <v>37</v>
      </c>
      <c r="BX11">
        <v>57</v>
      </c>
      <c r="BY11">
        <v>58</v>
      </c>
      <c r="BZ11">
        <v>31</v>
      </c>
      <c r="CA11">
        <v>100</v>
      </c>
      <c r="CB11" s="2">
        <f t="shared" si="22"/>
        <v>5.3661544115967255E-2</v>
      </c>
      <c r="CC11" s="3">
        <f t="shared" si="23"/>
        <v>89.48787920766533</v>
      </c>
      <c r="CD11" s="2">
        <f t="shared" si="24"/>
        <v>0</v>
      </c>
      <c r="CE11" s="3">
        <f t="shared" si="25"/>
        <v>0</v>
      </c>
      <c r="CF11" s="2">
        <f t="shared" si="26"/>
        <v>5.3661544115967255E-2</v>
      </c>
      <c r="CG11" s="3">
        <f t="shared" si="27"/>
        <v>89.48787920766533</v>
      </c>
    </row>
    <row r="12" spans="1:85">
      <c r="A12" t="s">
        <v>41</v>
      </c>
      <c r="B12">
        <v>53</v>
      </c>
      <c r="C12">
        <v>66</v>
      </c>
      <c r="D12">
        <v>29</v>
      </c>
      <c r="E12">
        <v>80</v>
      </c>
      <c r="F12" s="2">
        <f t="shared" si="28"/>
        <v>5.3114906994242629E-2</v>
      </c>
      <c r="G12" s="3">
        <f t="shared" si="29"/>
        <v>88.848785921991393</v>
      </c>
      <c r="H12" s="2">
        <f t="shared" si="30"/>
        <v>1.0622981398848524E-2</v>
      </c>
      <c r="I12" s="3">
        <f t="shared" si="31"/>
        <v>17.769757184398273</v>
      </c>
      <c r="J12" s="2">
        <f t="shared" si="32"/>
        <v>4.2491925595394109E-2</v>
      </c>
      <c r="K12" s="3">
        <f t="shared" si="33"/>
        <v>71.07902873759312</v>
      </c>
      <c r="L12" t="s">
        <v>41</v>
      </c>
      <c r="M12">
        <v>70</v>
      </c>
      <c r="N12">
        <v>52</v>
      </c>
      <c r="O12">
        <v>29</v>
      </c>
      <c r="P12">
        <v>65</v>
      </c>
      <c r="Q12" s="2">
        <f t="shared" si="0"/>
        <v>5.5271086752156424E-2</v>
      </c>
      <c r="R12" s="3">
        <f t="shared" si="1"/>
        <v>91.358424764399174</v>
      </c>
      <c r="S12" s="2">
        <f t="shared" si="2"/>
        <v>1.9344880363254748E-2</v>
      </c>
      <c r="T12" s="3">
        <f t="shared" si="3"/>
        <v>31.975448667539709</v>
      </c>
      <c r="U12" s="2">
        <f t="shared" si="4"/>
        <v>3.5926206388901677E-2</v>
      </c>
      <c r="V12" s="3">
        <f t="shared" si="5"/>
        <v>59.382976096859466</v>
      </c>
      <c r="W12" t="s">
        <v>41</v>
      </c>
      <c r="X12">
        <v>28</v>
      </c>
      <c r="Y12">
        <v>28</v>
      </c>
      <c r="Z12">
        <v>32</v>
      </c>
      <c r="AA12">
        <v>75</v>
      </c>
      <c r="AB12" s="2">
        <f t="shared" si="6"/>
        <v>1.3136046082210121E-2</v>
      </c>
      <c r="AC12" s="3">
        <f>10^(2.841+0.7*LOG(AB12))</f>
        <v>33.413753493319135</v>
      </c>
      <c r="AD12" s="2">
        <v>2.6272092164420242E-2</v>
      </c>
      <c r="AE12" s="3">
        <v>54.280802692410035</v>
      </c>
      <c r="AF12" s="2"/>
      <c r="AG12" s="3"/>
      <c r="AH12" t="s">
        <v>41</v>
      </c>
      <c r="AI12">
        <v>31</v>
      </c>
      <c r="AJ12">
        <v>28</v>
      </c>
      <c r="AK12">
        <v>32</v>
      </c>
      <c r="AL12">
        <v>65</v>
      </c>
      <c r="AM12" s="2">
        <f t="shared" si="34"/>
        <v>1.4543479591018349E-2</v>
      </c>
      <c r="AN12" s="3">
        <f t="shared" si="7"/>
        <v>35.881271799454773</v>
      </c>
      <c r="AO12" s="2"/>
      <c r="AP12" s="3"/>
      <c r="AQ12" s="2"/>
      <c r="AR12" s="3"/>
      <c r="AS12" t="s">
        <v>41</v>
      </c>
      <c r="AT12">
        <v>69</v>
      </c>
      <c r="AU12">
        <v>59</v>
      </c>
      <c r="AV12">
        <v>33</v>
      </c>
      <c r="AW12">
        <v>60</v>
      </c>
      <c r="AX12" s="2">
        <f t="shared" si="8"/>
        <v>7.0341830310202261E-2</v>
      </c>
      <c r="AY12" s="3">
        <f t="shared" si="9"/>
        <v>108.15573803268271</v>
      </c>
      <c r="AZ12" s="2">
        <f t="shared" si="10"/>
        <v>2.8136732124080906E-2</v>
      </c>
      <c r="BA12" s="3">
        <f t="shared" si="11"/>
        <v>43.262295213073088</v>
      </c>
      <c r="BB12" s="2">
        <f t="shared" si="12"/>
        <v>4.2205098186121358E-2</v>
      </c>
      <c r="BC12" s="3">
        <f t="shared" si="13"/>
        <v>64.893442819609618</v>
      </c>
      <c r="BD12" t="s">
        <v>41</v>
      </c>
      <c r="BE12">
        <v>66</v>
      </c>
      <c r="BF12">
        <v>43</v>
      </c>
      <c r="BG12">
        <v>32</v>
      </c>
      <c r="BH12">
        <v>55</v>
      </c>
      <c r="BI12" s="2">
        <f t="shared" si="14"/>
        <v>4.7551146404735102E-2</v>
      </c>
      <c r="BJ12" s="3">
        <f t="shared" si="15"/>
        <v>82.226668406965487</v>
      </c>
      <c r="BK12" s="2">
        <f t="shared" si="16"/>
        <v>2.1398015882130795E-2</v>
      </c>
      <c r="BL12" s="3">
        <f t="shared" si="17"/>
        <v>37.002000783134463</v>
      </c>
      <c r="BM12" s="2">
        <f t="shared" si="18"/>
        <v>2.6153130522604307E-2</v>
      </c>
      <c r="BN12" s="3">
        <f t="shared" si="19"/>
        <v>45.224667623831024</v>
      </c>
      <c r="BO12" t="s">
        <v>41</v>
      </c>
      <c r="BP12">
        <v>38</v>
      </c>
      <c r="BQ12">
        <v>38</v>
      </c>
      <c r="BR12">
        <v>32</v>
      </c>
      <c r="BS12">
        <v>55</v>
      </c>
      <c r="BT12" s="2">
        <f t="shared" si="20"/>
        <v>2.4194452222846195E-2</v>
      </c>
      <c r="BU12" s="3">
        <f t="shared" si="21"/>
        <v>51.239048420765769</v>
      </c>
      <c r="BV12" s="2"/>
      <c r="BW12" t="s">
        <v>41</v>
      </c>
      <c r="BX12" s="4">
        <v>62</v>
      </c>
      <c r="BY12" s="4">
        <v>46</v>
      </c>
      <c r="BZ12">
        <v>31</v>
      </c>
      <c r="CA12">
        <v>60</v>
      </c>
      <c r="CB12" s="2">
        <f t="shared" si="22"/>
        <v>4.6292414948196789E-2</v>
      </c>
      <c r="CC12" s="3">
        <f t="shared" si="23"/>
        <v>80.696906440424542</v>
      </c>
      <c r="CD12" s="2">
        <f t="shared" si="24"/>
        <v>1.8516965979278717E-2</v>
      </c>
      <c r="CE12" s="3">
        <f t="shared" si="25"/>
        <v>32.278762576169818</v>
      </c>
      <c r="CF12" s="2">
        <f t="shared" si="26"/>
        <v>2.7775448968918072E-2</v>
      </c>
      <c r="CG12" s="3">
        <f t="shared" si="27"/>
        <v>48.418143864254723</v>
      </c>
    </row>
    <row r="13" spans="1:85" ht="23">
      <c r="A13" t="s">
        <v>42</v>
      </c>
      <c r="B13" s="5">
        <v>57.1</v>
      </c>
      <c r="C13" s="5">
        <v>59.2</v>
      </c>
      <c r="D13" s="5">
        <v>29.4</v>
      </c>
      <c r="E13" s="6">
        <v>86.8</v>
      </c>
      <c r="F13" s="7">
        <f t="shared" ref="F13:K13" si="35">AVERAGE(F3,F4,F5,F6,F7,F8,F9,F10,F11,F12)</f>
        <v>5.2561986687210828E-2</v>
      </c>
      <c r="G13" s="8">
        <f t="shared" si="35"/>
        <v>87.532557751631984</v>
      </c>
      <c r="H13" s="7">
        <f t="shared" si="35"/>
        <v>7.1364575798578411E-3</v>
      </c>
      <c r="I13" s="8">
        <f t="shared" si="35"/>
        <v>11.772917601263767</v>
      </c>
      <c r="J13" s="7">
        <f t="shared" si="35"/>
        <v>4.5425529107352987E-2</v>
      </c>
      <c r="K13" s="8">
        <f t="shared" si="35"/>
        <v>75.759640150368213</v>
      </c>
      <c r="L13" t="s">
        <v>42</v>
      </c>
      <c r="M13" s="5">
        <v>56.8</v>
      </c>
      <c r="N13" s="5">
        <v>53.9</v>
      </c>
      <c r="O13" s="5">
        <v>27.2</v>
      </c>
      <c r="P13" s="6">
        <v>83.9</v>
      </c>
      <c r="Q13" s="7">
        <f t="shared" ref="Q13:V13" si="36">AVERAGE(Q3,Q4,Q5,Q6,Q7,Q8,Q9,Q10,Q11,Q12)</f>
        <v>4.7000948811336415E-2</v>
      </c>
      <c r="R13" s="8">
        <f t="shared" si="36"/>
        <v>79.515444315565858</v>
      </c>
      <c r="S13" s="7">
        <f t="shared" si="36"/>
        <v>8.3341950150267047E-3</v>
      </c>
      <c r="T13" s="8">
        <f t="shared" si="36"/>
        <v>13.617587141951798</v>
      </c>
      <c r="U13" s="7">
        <f t="shared" si="36"/>
        <v>3.8666753796309704E-2</v>
      </c>
      <c r="V13" s="8">
        <f t="shared" si="36"/>
        <v>65.897857173614071</v>
      </c>
      <c r="W13" t="s">
        <v>42</v>
      </c>
      <c r="X13" s="9">
        <f>AVERAGE(X3:X12)</f>
        <v>35.714285714285715</v>
      </c>
      <c r="Y13" s="9">
        <f>AVERAGE(Y3,Y4,Y5,Y7,Y9,Y10,Y12)</f>
        <v>29.285714285714285</v>
      </c>
      <c r="Z13" s="9">
        <f>AVERAGE(Z3,Z4,Z5,Z7,Z9,Z10,Z12)</f>
        <v>32</v>
      </c>
      <c r="AA13" s="8">
        <f>AVERAGE(AA3:AA12)</f>
        <v>72</v>
      </c>
      <c r="AB13" s="7">
        <f>AVERAGE(AB3,AB4,AB5,AB6,AB7,AB8,AB9,AB10,AB11,AB12)</f>
        <v>1.5786607804043829E-2</v>
      </c>
      <c r="AC13" s="8">
        <f>AVERAGE(AC3,AC4,AC5,AC6,AC7,AC8,AC9,AC10,AC11,AC12)</f>
        <v>31.113766102696836</v>
      </c>
      <c r="AD13" s="7">
        <f>AVERAGE(AD3,AD4,AD5,AD7,AD9,AD10,AD12)</f>
        <v>4.5104593725839512E-2</v>
      </c>
      <c r="AE13" s="8">
        <f>AVERAGE(AE3,AE4,AE5,AE7,AE9,AE10,AE12)</f>
        <v>72.206374504522628</v>
      </c>
      <c r="AH13" t="s">
        <v>42</v>
      </c>
      <c r="AI13" s="9">
        <f>AVERAGE(AI3:AI12)</f>
        <v>38.142857142857146</v>
      </c>
      <c r="AJ13" s="9">
        <f>AVERAGE(AJ3,AJ4,AJ5,AJ7,AJ9,AJ10,AJ12)</f>
        <v>32.857142857142854</v>
      </c>
      <c r="AK13" s="9">
        <f>AVERAGE(AK3:AK12)</f>
        <v>31.142857142857142</v>
      </c>
      <c r="AL13" s="8">
        <f>AVERAGE(AL3:AL12)</f>
        <v>72.5</v>
      </c>
      <c r="AM13" s="7">
        <f>AVERAGE(AM3,AM4,AM5,AM7,AM9,AM10,AM12)</f>
        <v>2.3563814897550581E-2</v>
      </c>
      <c r="AN13" s="8">
        <f>AVERAGE(AN3,AN4,AN5,AN7,AN9,AN10,AN12)</f>
        <v>47.640697192437827</v>
      </c>
      <c r="AS13" t="s">
        <v>42</v>
      </c>
      <c r="AT13" s="9">
        <f>AVERAGE(AT3:AT12)</f>
        <v>66.8</v>
      </c>
      <c r="AU13" s="9">
        <f>AVERAGE(AU3:AU12)</f>
        <v>58.1</v>
      </c>
      <c r="AV13" s="9">
        <f>AVERAGE(AV3:AV12)</f>
        <v>34</v>
      </c>
      <c r="AW13" s="8">
        <f>AVERAGE(AW3:AW12)</f>
        <v>74</v>
      </c>
      <c r="AX13" s="7">
        <f t="shared" ref="AX13:BC13" si="37">AVERAGE(AX3,AX4,AX5,AX6,AX7,AX8,AX9,AX10,AX11,AX12)</f>
        <v>7.2121751987971106E-2</v>
      </c>
      <c r="AY13" s="8">
        <f t="shared" si="37"/>
        <v>108.13838659290198</v>
      </c>
      <c r="AZ13" s="7">
        <f t="shared" si="37"/>
        <v>2.2629412864588999E-2</v>
      </c>
      <c r="BA13" s="8">
        <f t="shared" si="37"/>
        <v>31.891606926194662</v>
      </c>
      <c r="BB13" s="7">
        <f t="shared" si="37"/>
        <v>4.949233912338212E-2</v>
      </c>
      <c r="BC13" s="8">
        <f t="shared" si="37"/>
        <v>76.246779666707312</v>
      </c>
      <c r="BD13" t="s">
        <v>42</v>
      </c>
      <c r="BE13" s="9">
        <f>AVERAGE(BE3:BE12)</f>
        <v>62</v>
      </c>
      <c r="BF13" s="9">
        <f>AVERAGE(BF3:BF12)</f>
        <v>54.1</v>
      </c>
      <c r="BG13" s="9">
        <f>AVERAGE(BG3:BG12)</f>
        <v>29.9</v>
      </c>
      <c r="BH13" s="8">
        <f>AVERAGE(BH3:BH12)</f>
        <v>64.5</v>
      </c>
      <c r="BI13" s="7">
        <f t="shared" ref="BI13:BN13" si="38">AVERAGE(BI3,BI4,BI5,BI6,BI7,BI8,BI9,BI10,BI11,BI12)</f>
        <v>5.5002794739539861E-2</v>
      </c>
      <c r="BJ13" s="8">
        <f t="shared" si="38"/>
        <v>88.978168998614066</v>
      </c>
      <c r="BK13" s="7">
        <f t="shared" si="38"/>
        <v>2.4524455587154777E-2</v>
      </c>
      <c r="BL13" s="8">
        <f t="shared" si="38"/>
        <v>36.853608652204123</v>
      </c>
      <c r="BM13" s="7">
        <f t="shared" si="38"/>
        <v>3.047833915238508E-2</v>
      </c>
      <c r="BN13" s="8">
        <f t="shared" si="38"/>
        <v>52.124560346409929</v>
      </c>
      <c r="BO13" t="s">
        <v>42</v>
      </c>
      <c r="BP13" s="9">
        <f>AVERAGE(BP3:BP12)</f>
        <v>44.428571428571431</v>
      </c>
      <c r="BQ13" s="9">
        <f>AVERAGE(BQ3:BQ12)</f>
        <v>35.142857142857146</v>
      </c>
      <c r="BR13" s="9">
        <f>AVERAGE(BR3:BR12)</f>
        <v>31.857142857142858</v>
      </c>
      <c r="BS13" s="8">
        <f>AVERAGE(BS3:BS12)</f>
        <v>49.285714285714285</v>
      </c>
      <c r="BT13" s="7">
        <f>AVERAGE(BT3,BT4,BT5,BT7,BT9,BT10,BT12)</f>
        <v>3.1312702777279974E-2</v>
      </c>
      <c r="BU13" s="8">
        <f>AVERAGE(BU3,BU4,BU5,BU7,BU9,BU10,BU12)</f>
        <v>56.826156505092236</v>
      </c>
      <c r="BW13" t="s">
        <v>42</v>
      </c>
      <c r="BX13" s="9">
        <f>AVERAGE(BX3:BX12)</f>
        <v>59.9</v>
      </c>
      <c r="BY13" s="9">
        <f>AVERAGE(BY3:BY12)</f>
        <v>50.9</v>
      </c>
      <c r="BZ13" s="9">
        <f>AVERAGE(BZ3:BZ12)</f>
        <v>31</v>
      </c>
      <c r="CA13" s="8">
        <f>AVERAGE(CA3:CA12)</f>
        <v>68.5</v>
      </c>
      <c r="CB13" s="7">
        <f t="shared" ref="CB13:CG13" si="39">AVERAGE(CB3,CB4,CB5,CB6,CB7,CB8,CB9,CB10,CB11,CB12)</f>
        <v>5.1015485343603686E-2</v>
      </c>
      <c r="CC13" s="8">
        <f t="shared" si="39"/>
        <v>85.037670923393563</v>
      </c>
      <c r="CD13" s="7">
        <f t="shared" si="39"/>
        <v>1.7356226033593627E-2</v>
      </c>
      <c r="CE13" s="8">
        <f t="shared" si="39"/>
        <v>27.954182223705363</v>
      </c>
      <c r="CF13" s="7">
        <f t="shared" si="39"/>
        <v>3.3659259310010063E-2</v>
      </c>
      <c r="CG13" s="8">
        <f t="shared" si="39"/>
        <v>57.08348869968821</v>
      </c>
    </row>
    <row r="14" spans="1:85" ht="18">
      <c r="A14" t="s">
        <v>43</v>
      </c>
      <c r="B14" s="9">
        <v>6.82</v>
      </c>
      <c r="C14" s="9">
        <v>8.2799999999999994</v>
      </c>
      <c r="D14" s="9">
        <v>4.38</v>
      </c>
      <c r="E14" s="9">
        <v>8.57</v>
      </c>
      <c r="F14" s="7">
        <f t="shared" ref="F14:K14" si="40">STDEV(F3,F4,F5,F6,F7,F8,F9,F10,F11,F12)</f>
        <v>1.5701817234455722E-2</v>
      </c>
      <c r="G14" s="9">
        <f t="shared" si="40"/>
        <v>17.724022558486055</v>
      </c>
      <c r="H14" s="7">
        <f t="shared" si="40"/>
        <v>4.8286627857579735E-3</v>
      </c>
      <c r="I14" s="9">
        <f t="shared" si="40"/>
        <v>7.5926847944763809</v>
      </c>
      <c r="J14" s="7">
        <f t="shared" si="40"/>
        <v>1.3095414102263033E-2</v>
      </c>
      <c r="K14" s="9">
        <f t="shared" si="40"/>
        <v>15.245214254863765</v>
      </c>
      <c r="L14" t="s">
        <v>43</v>
      </c>
      <c r="M14" s="9">
        <v>11.78</v>
      </c>
      <c r="N14" s="9">
        <v>11.58</v>
      </c>
      <c r="O14" s="9">
        <v>5.41</v>
      </c>
      <c r="P14" s="9">
        <f>12.29</f>
        <v>12.29</v>
      </c>
      <c r="Q14" s="7">
        <f t="shared" ref="Q14:V14" si="41">STDEV(Q3,Q4,Q5,Q6,Q7,Q8,Q9,Q10,Q11,Q12)</f>
        <v>2.2852912698611769E-2</v>
      </c>
      <c r="R14" s="9">
        <f t="shared" si="41"/>
        <v>28.592842455573436</v>
      </c>
      <c r="S14" s="7">
        <f t="shared" si="41"/>
        <v>8.3039061635767214E-3</v>
      </c>
      <c r="T14" s="9">
        <f t="shared" si="41"/>
        <v>12.533408629211102</v>
      </c>
      <c r="U14" s="7">
        <f t="shared" si="41"/>
        <v>1.6945998295216518E-2</v>
      </c>
      <c r="V14" s="9">
        <f t="shared" si="41"/>
        <v>21.649392690921893</v>
      </c>
      <c r="W14" t="s">
        <v>43</v>
      </c>
      <c r="X14" s="9">
        <f>STDEV(X3,X4,X5,X7,X9,X10,X12)</f>
        <v>15.35919144697278</v>
      </c>
      <c r="Y14" s="9">
        <f>STDEV(Y3,Y4,Y5,Y7,Y9,Y10,Y12)</f>
        <v>15.95529468770253</v>
      </c>
      <c r="Z14" s="9">
        <f>STDEV(Z3,Z4,Z5,Z7,Z9,Z10,Z12)</f>
        <v>4.6188021535170058</v>
      </c>
      <c r="AA14" s="9">
        <f>STDEV(AA3:AA12)</f>
        <v>26.791375063213493</v>
      </c>
      <c r="AB14" s="7">
        <f>STDEV(AB3,AB4,AB5,AB7,AB9,AB10,AB12)</f>
        <v>2.3937937181625887E-2</v>
      </c>
      <c r="AC14" s="9">
        <f>STDEV(AC3,AC4,AC5,AC6,AC7,AC8,AC9,AC10,AC11,AC12)</f>
        <v>34.904660649928871</v>
      </c>
      <c r="AD14" s="7">
        <f>STDEV(AD3,AD4,AD5,AD7,AD9,AD10,AD12)</f>
        <v>4.7875874363251775E-2</v>
      </c>
      <c r="AE14" s="9">
        <f>STDEV(AE3,AE4,AE5,AE7,AE9,AE10,AE12)</f>
        <v>54.753932791923965</v>
      </c>
      <c r="AH14" t="s">
        <v>43</v>
      </c>
      <c r="AI14" s="9">
        <f>STDEV(AI3:AI12)</f>
        <v>15.214341605084018</v>
      </c>
      <c r="AJ14" s="9">
        <f>STDEV(AJ3:AJ12)</f>
        <v>10.930516478016514</v>
      </c>
      <c r="AK14" s="9">
        <f>STDEV(AK3:AK12)</f>
        <v>6.669047194029333</v>
      </c>
      <c r="AL14" s="9">
        <f>STDEV(AL3:AL12)</f>
        <v>25.193694096384956</v>
      </c>
      <c r="AM14" s="7">
        <f>STDEV(AM3,AM4,AM5,AM7,AM9,AM10,AM12)</f>
        <v>1.8634061733488822E-2</v>
      </c>
      <c r="AN14" s="9">
        <f>STDEV(AN3,AN4,AN5,AN7,AN9,AN10,AN12)</f>
        <v>26.815064262571642</v>
      </c>
      <c r="AS14" t="s">
        <v>43</v>
      </c>
      <c r="AT14" s="9">
        <f>STDEV(AT3:AT12)</f>
        <v>10.517709932405536</v>
      </c>
      <c r="AU14" s="9">
        <f>STDEV(AU3:AU12)</f>
        <v>8.543353491977788</v>
      </c>
      <c r="AV14" s="9">
        <f>STDEV(AV3:AV12)</f>
        <v>6.324555320336759</v>
      </c>
      <c r="AW14" s="9">
        <f>STDEV(AW3:AW12)</f>
        <v>22.949219304078007</v>
      </c>
      <c r="AX14" s="7">
        <f t="shared" ref="AX14:BC14" si="42">STDEV(AX3,AX4,AX5,AX6,AX7,AX8,AX9,AX10,AX11,AX12)</f>
        <v>3.4553766103098967E-2</v>
      </c>
      <c r="AY14" s="9">
        <f t="shared" si="42"/>
        <v>34.107931151455482</v>
      </c>
      <c r="AZ14" s="7">
        <f t="shared" si="42"/>
        <v>3.0544792531706538E-2</v>
      </c>
      <c r="BA14" s="9">
        <f t="shared" si="42"/>
        <v>37.270633971846785</v>
      </c>
      <c r="BB14" s="7">
        <f t="shared" si="42"/>
        <v>1.763939051770326E-2</v>
      </c>
      <c r="BC14" s="9">
        <f t="shared" si="42"/>
        <v>22.920834085094654</v>
      </c>
      <c r="BD14" t="s">
        <v>43</v>
      </c>
      <c r="BE14" s="9">
        <f>STDEV(BE3:BE12)</f>
        <v>10.739335795724674</v>
      </c>
      <c r="BF14" s="9">
        <f>STDEV(BF3:BF12)</f>
        <v>10.082437976777031</v>
      </c>
      <c r="BG14" s="9">
        <f>STDEV(BG3:BG12)</f>
        <v>6.9193769790189732</v>
      </c>
      <c r="BH14" s="9">
        <f>STDEV(BH3:BH12)</f>
        <v>29.762952362514934</v>
      </c>
      <c r="BI14" s="7">
        <f t="shared" ref="BI14:BN14" si="43">STDEV(BI3,BI4,BI5,BI6,BI7,BI8,BI9,BI10,BI11,BI12)</f>
        <v>3.0732811423739029E-2</v>
      </c>
      <c r="BJ14" s="9">
        <f t="shared" si="43"/>
        <v>32.361264676050475</v>
      </c>
      <c r="BK14" s="7">
        <f t="shared" si="43"/>
        <v>3.3157846127488011E-2</v>
      </c>
      <c r="BL14" s="9">
        <f t="shared" si="43"/>
        <v>42.336993607591623</v>
      </c>
      <c r="BM14" s="7">
        <f t="shared" si="43"/>
        <v>1.2375347958905243E-2</v>
      </c>
      <c r="BN14" s="9">
        <f t="shared" si="43"/>
        <v>20.590264392466565</v>
      </c>
      <c r="BO14" t="s">
        <v>43</v>
      </c>
      <c r="BP14" s="9">
        <f>STDEV(BP3:BP12)</f>
        <v>14.327795164843556</v>
      </c>
      <c r="BQ14" s="9">
        <f>STDEV(BQ3:BQ12)</f>
        <v>18.551087761715138</v>
      </c>
      <c r="BR14" s="9">
        <f>STDEV(BR3:BR12)</f>
        <v>4.2983939414844841</v>
      </c>
      <c r="BS14" s="9">
        <f>STDEV(BS3:BS12)</f>
        <v>20.701966780270631</v>
      </c>
      <c r="BT14" s="7">
        <f>STDEV(BT3,BT4,BT5,BT7,BT9,BT10,BT12)</f>
        <v>3.5185737357694057E-2</v>
      </c>
      <c r="BU14" s="9">
        <f>STDEV(BU3,BU4,BU5,BU7,BU9,BU10,BU12)</f>
        <v>41.013341023725516</v>
      </c>
      <c r="BW14" t="s">
        <v>43</v>
      </c>
      <c r="BX14" s="9">
        <f>STDEV(BX3:BX12)</f>
        <v>9.2670263719155308</v>
      </c>
      <c r="BY14" s="9">
        <f>STDEV(BY3:BY12)</f>
        <v>12.395787815042484</v>
      </c>
      <c r="BZ14" s="9">
        <f>STDEV(BZ3:BZ12)</f>
        <v>3.2317865716108862</v>
      </c>
      <c r="CA14" s="9">
        <f>STDEV(CA3:CA12)</f>
        <v>25.281745720315016</v>
      </c>
      <c r="CB14" s="7">
        <f t="shared" ref="CB14:CG14" si="44">STDEV(CB3,CB4,CB5,CB6,CB7,CB8,CB9,CB10,CB11,CB12)</f>
        <v>2.2503390347289539E-2</v>
      </c>
      <c r="CC14" s="9">
        <f t="shared" si="44"/>
        <v>25.006516052012209</v>
      </c>
      <c r="CD14" s="7">
        <f t="shared" si="44"/>
        <v>2.358424745737684E-2</v>
      </c>
      <c r="CE14" s="9">
        <f t="shared" si="44"/>
        <v>31.967155744701245</v>
      </c>
      <c r="CF14" s="7">
        <f t="shared" si="44"/>
        <v>1.6892404346843536E-2</v>
      </c>
      <c r="CG14" s="9">
        <f t="shared" si="44"/>
        <v>25.961571030365132</v>
      </c>
    </row>
    <row r="15" spans="1:85" ht="18">
      <c r="A15" t="s">
        <v>44</v>
      </c>
      <c r="B15" s="9">
        <v>4.2300000000000004</v>
      </c>
      <c r="C15" s="9">
        <v>5.13</v>
      </c>
      <c r="D15" s="9">
        <v>2.71</v>
      </c>
      <c r="E15" s="9">
        <v>5.31</v>
      </c>
      <c r="F15" s="7">
        <f t="shared" ref="F15:K15" si="45">CONFIDENCE(0.05,F14,10)</f>
        <v>9.7319083200698032E-3</v>
      </c>
      <c r="G15" s="9">
        <f t="shared" si="45"/>
        <v>10.98526113420364</v>
      </c>
      <c r="H15" s="7">
        <f t="shared" si="45"/>
        <v>2.9927812072866964E-3</v>
      </c>
      <c r="I15" s="9">
        <f t="shared" si="45"/>
        <v>4.7059083174708398</v>
      </c>
      <c r="J15" s="7">
        <f t="shared" si="45"/>
        <v>8.1164726065537252E-3</v>
      </c>
      <c r="K15" s="9">
        <f t="shared" si="45"/>
        <v>9.4489080615832481</v>
      </c>
      <c r="L15" t="s">
        <v>44</v>
      </c>
      <c r="M15" s="9">
        <v>7.3</v>
      </c>
      <c r="N15" s="9">
        <v>7.18</v>
      </c>
      <c r="O15" s="9">
        <v>3.35</v>
      </c>
      <c r="P15" s="9">
        <v>7.62</v>
      </c>
      <c r="Q15" s="7">
        <f t="shared" ref="Q15:V15" si="46">CONFIDENCE(0.05,Q14,10)</f>
        <v>1.4164121764289403E-2</v>
      </c>
      <c r="R15" s="9">
        <f t="shared" si="46"/>
        <v>17.721701713431372</v>
      </c>
      <c r="S15" s="7">
        <f t="shared" si="46"/>
        <v>5.1467197889080805E-3</v>
      </c>
      <c r="T15" s="9">
        <f t="shared" si="46"/>
        <v>7.7681444062281635</v>
      </c>
      <c r="U15" s="7">
        <f t="shared" si="46"/>
        <v>1.0503045560816765E-2</v>
      </c>
      <c r="V15" s="9">
        <f t="shared" si="46"/>
        <v>13.41818604224407</v>
      </c>
      <c r="W15" t="s">
        <v>44</v>
      </c>
      <c r="X15" s="9">
        <f>CONFIDENCE(0.05,X14,7)</f>
        <v>11.378039176179913</v>
      </c>
      <c r="Y15" s="9">
        <f>CONFIDENCE(0.05,Y14,7)</f>
        <v>11.81963052227956</v>
      </c>
      <c r="Z15" s="9">
        <f>CONFIDENCE(0.05,Z14,7)</f>
        <v>3.4215936451588771</v>
      </c>
      <c r="AA15" s="9">
        <f>CONFIDENCE(0.05,AA14,10)</f>
        <v>16.605161172788026</v>
      </c>
      <c r="AB15" s="7">
        <f>CONFIDENCE(0.05,AB14,10)</f>
        <v>1.4836614548790377E-2</v>
      </c>
      <c r="AC15" s="9">
        <f>CONFIDENCE(0.05,AC14,10)</f>
        <v>21.633735275102421</v>
      </c>
      <c r="AD15" s="7">
        <f>CONFIDENCE(0.05,AD14,7)</f>
        <v>3.5466292348762314E-2</v>
      </c>
      <c r="AE15" s="9">
        <f>CONFIDENCE(0.05,AE14,7)</f>
        <v>40.561535710216148</v>
      </c>
      <c r="AH15" t="s">
        <v>44</v>
      </c>
      <c r="AI15" s="9">
        <f t="shared" ref="AI15:AN15" si="47">CONFIDENCE(0.05,AI14,7)</f>
        <v>11.270734883413992</v>
      </c>
      <c r="AJ15" s="9">
        <f t="shared" si="47"/>
        <v>8.0972911322922716</v>
      </c>
      <c r="AK15" s="9">
        <f t="shared" si="47"/>
        <v>4.9404085171693186</v>
      </c>
      <c r="AL15" s="9">
        <f>CONFIDENCE(0.05,AL14,10)</f>
        <v>15.614926446340151</v>
      </c>
      <c r="AM15" s="7">
        <f t="shared" si="47"/>
        <v>1.3804052455949997E-2</v>
      </c>
      <c r="AN15" s="9">
        <f t="shared" si="47"/>
        <v>19.864512578326924</v>
      </c>
      <c r="AS15" t="s">
        <v>44</v>
      </c>
      <c r="AT15" s="9">
        <f>CONFIDENCE(0.05,AT14,7)</f>
        <v>7.7914853830533719</v>
      </c>
      <c r="AU15" s="9">
        <f>CONFIDENCE(0.05,AU14,7)</f>
        <v>6.3288885396916958</v>
      </c>
      <c r="AV15" s="9">
        <f>CONFIDENCE(0.05,AV14,7)</f>
        <v>4.6852100551746103</v>
      </c>
      <c r="AW15" s="9">
        <f>CONFIDENCE(0.05,AW14,7)</f>
        <v>17.00070717954419</v>
      </c>
      <c r="AX15" s="7">
        <f t="shared" ref="AX15:BC15" si="48">CONFIDENCE(0.05,AX14,10)</f>
        <v>2.141625257811448E-2</v>
      </c>
      <c r="AY15" s="9">
        <f t="shared" si="48"/>
        <v>21.139926289858106</v>
      </c>
      <c r="AZ15" s="7">
        <f t="shared" si="48"/>
        <v>1.8931510673925182E-2</v>
      </c>
      <c r="BA15" s="9">
        <f t="shared" si="48"/>
        <v>23.100153786592262</v>
      </c>
      <c r="BB15" s="7">
        <f t="shared" si="48"/>
        <v>1.0932806615752666E-2</v>
      </c>
      <c r="BC15" s="9">
        <f t="shared" si="48"/>
        <v>14.206219102218734</v>
      </c>
      <c r="BD15" t="s">
        <v>44</v>
      </c>
      <c r="BE15" s="9">
        <f>CONFIDENCE(0.05,BE14,7)</f>
        <v>7.9556651033209294</v>
      </c>
      <c r="BF15" s="9">
        <f>CONFIDENCE(0.05,BF14,7)</f>
        <v>7.4690373309842188</v>
      </c>
      <c r="BG15" s="9">
        <f>CONFIDENCE(0.05,BG14,7)</f>
        <v>5.1258520094527746</v>
      </c>
      <c r="BH15" s="9">
        <f>CONFIDENCE(0.05,BH14,7)</f>
        <v>22.048298515493567</v>
      </c>
      <c r="BI15" s="7">
        <f t="shared" ref="BI15:BN15" si="49">CONFIDENCE(0.05,BI14,10)</f>
        <v>1.9048043849186326E-2</v>
      </c>
      <c r="BJ15" s="9">
        <f t="shared" si="49"/>
        <v>20.057351085309165</v>
      </c>
      <c r="BK15" s="7">
        <f t="shared" si="49"/>
        <v>2.0551068311736108E-2</v>
      </c>
      <c r="BL15" s="9">
        <f t="shared" si="49"/>
        <v>26.240258320695261</v>
      </c>
      <c r="BM15" s="7">
        <f t="shared" si="49"/>
        <v>7.6701791879698637E-3</v>
      </c>
      <c r="BN15" s="9">
        <f t="shared" si="49"/>
        <v>12.761743584288276</v>
      </c>
      <c r="BO15" t="s">
        <v>44</v>
      </c>
      <c r="BP15" s="9">
        <f t="shared" ref="BP15:BU15" si="50">CONFIDENCE(0.05,BP14,7)</f>
        <v>10.613984157740411</v>
      </c>
      <c r="BQ15" s="9">
        <f t="shared" si="50"/>
        <v>13.742585606949278</v>
      </c>
      <c r="BR15" s="9">
        <f t="shared" si="50"/>
        <v>3.1842362815592242</v>
      </c>
      <c r="BS15" s="9">
        <f t="shared" si="50"/>
        <v>15.335949803289918</v>
      </c>
      <c r="BT15" s="7">
        <f t="shared" si="50"/>
        <v>2.6065480040456557E-2</v>
      </c>
      <c r="BU15" s="9">
        <f t="shared" si="50"/>
        <v>30.382549922961626</v>
      </c>
      <c r="BW15" t="s">
        <v>44</v>
      </c>
      <c r="BX15" s="9">
        <f>CONFIDENCE(0.05,BX14,7)</f>
        <v>6.8649830604936657</v>
      </c>
      <c r="BY15" s="9">
        <f>CONFIDENCE(0.05,BY14,7)</f>
        <v>9.1827593832724332</v>
      </c>
      <c r="BZ15" s="9">
        <f>CONFIDENCE(0.05,BZ14,7)</f>
        <v>2.3940970035950877</v>
      </c>
      <c r="CA15" s="9">
        <f>CONFIDENCE(0.05,CA14,7)</f>
        <v>18.7286351785568</v>
      </c>
      <c r="CB15" s="7">
        <f t="shared" ref="CB15:CG15" si="51">CONFIDENCE(0.05,CB14,10)</f>
        <v>1.3947489547260473E-2</v>
      </c>
      <c r="CC15" s="9">
        <f t="shared" si="51"/>
        <v>15.498914424281441</v>
      </c>
      <c r="CD15" s="7">
        <f t="shared" si="51"/>
        <v>1.4617399414723649E-2</v>
      </c>
      <c r="CE15" s="9">
        <f t="shared" si="51"/>
        <v>19.813084327472055</v>
      </c>
      <c r="CF15" s="7">
        <f t="shared" si="51"/>
        <v>1.0469828297853602E-2</v>
      </c>
      <c r="CG15" s="9">
        <f t="shared" si="51"/>
        <v>16.090852755442324</v>
      </c>
    </row>
    <row r="17" spans="1:85">
      <c r="A17" t="s">
        <v>45</v>
      </c>
      <c r="B17">
        <v>76</v>
      </c>
      <c r="C17">
        <v>42</v>
      </c>
      <c r="D17">
        <v>34</v>
      </c>
      <c r="E17">
        <v>95</v>
      </c>
      <c r="F17" s="2">
        <f t="shared" ref="F17:F26" si="52">((2/3)*PI()*(B17/2)*(C17/2)*D17)/1000000</f>
        <v>5.6825127918132171E-2</v>
      </c>
      <c r="G17" s="3">
        <f t="shared" ref="G17:G26" si="53">10^(2.841+0.7*LOG(F17))</f>
        <v>93.149021132643242</v>
      </c>
      <c r="H17" s="2">
        <f t="shared" ref="H17:H26" si="54">F17*(1-(E17)*1/100)</f>
        <v>2.8412563959066112E-3</v>
      </c>
      <c r="I17" s="3">
        <f t="shared" ref="I17:I26" si="55">G17*(1-(E17)*1/100)</f>
        <v>4.6574510566321665</v>
      </c>
      <c r="J17" s="2">
        <f t="shared" ref="J17:J26" si="56">F17*(E17*(1/100))</f>
        <v>5.3983871522225564E-2</v>
      </c>
      <c r="K17" s="3">
        <f t="shared" ref="K17:K26" si="57">G17*(E17*(1/100))</f>
        <v>88.491570076011087</v>
      </c>
      <c r="L17" t="s">
        <v>45</v>
      </c>
      <c r="M17">
        <v>80</v>
      </c>
      <c r="N17">
        <v>48</v>
      </c>
      <c r="O17">
        <v>34</v>
      </c>
      <c r="P17">
        <v>95</v>
      </c>
      <c r="Q17" s="2">
        <f t="shared" ref="Q17:Q26" si="58">((2/3)*PI()*(M17/2)*(N17/2)*O17)/1000000</f>
        <v>6.836105614211388E-2</v>
      </c>
      <c r="R17" s="3">
        <f t="shared" ref="R17:R26" si="59">10^(2.841+0.7*LOG(Q17))</f>
        <v>106.01471120069917</v>
      </c>
      <c r="S17" s="2">
        <f t="shared" ref="S17:S26" si="60">Q17*(1-(P17)*1/100)</f>
        <v>3.4180528071056969E-3</v>
      </c>
      <c r="T17" s="3">
        <f t="shared" ref="T17:T26" si="61">R17*(1-(P17)*1/100)</f>
        <v>5.3007355600349628</v>
      </c>
      <c r="U17" s="2">
        <f t="shared" ref="U17:U26" si="62">Q17*(P17*(1/100))</f>
        <v>6.4943003335008187E-2</v>
      </c>
      <c r="V17" s="3">
        <f t="shared" ref="V17:V26" si="63">R17*(P17*(1/100))</f>
        <v>100.71397564066422</v>
      </c>
      <c r="W17" t="s">
        <v>45</v>
      </c>
      <c r="X17">
        <v>24</v>
      </c>
      <c r="Y17">
        <v>22</v>
      </c>
      <c r="Z17">
        <v>31</v>
      </c>
      <c r="AA17">
        <v>75</v>
      </c>
      <c r="AB17" s="2">
        <f t="shared" ref="AB17:AB26" si="64">((2/3)*PI()*(X17/2)*(Y17/2)*Z17)/1000000</f>
        <v>8.5702647589929546E-3</v>
      </c>
      <c r="AC17" s="3">
        <f t="shared" ref="AC17:AC26" si="65">10^(2.841+0.7*LOG(AB17))</f>
        <v>24.77969559912167</v>
      </c>
      <c r="AD17" s="2"/>
      <c r="AE17" s="3"/>
      <c r="AF17" s="2"/>
      <c r="AG17" s="3"/>
      <c r="AH17" t="s">
        <v>45</v>
      </c>
      <c r="AI17">
        <v>6</v>
      </c>
      <c r="AJ17">
        <v>4</v>
      </c>
      <c r="AK17">
        <v>13</v>
      </c>
      <c r="AL17">
        <v>95</v>
      </c>
      <c r="AM17" s="2">
        <f t="shared" ref="AM17:AM26" si="66">((2/3)*PI()*(AI17/2)*(AJ17/2)*AK17)/1000000</f>
        <v>1.6336281798666924E-4</v>
      </c>
      <c r="AN17" s="3">
        <f t="shared" ref="AN17:AN26" si="67">10^(2.841+0.7*LOG(AM17))</f>
        <v>1.5495559123563714</v>
      </c>
      <c r="AO17" s="2"/>
      <c r="AP17" s="3"/>
      <c r="AQ17" s="2"/>
      <c r="AR17" s="3"/>
      <c r="AS17" t="s">
        <v>45</v>
      </c>
      <c r="AT17">
        <v>74</v>
      </c>
      <c r="AU17">
        <v>41</v>
      </c>
      <c r="AV17">
        <v>37</v>
      </c>
      <c r="AW17">
        <v>100</v>
      </c>
      <c r="AX17" s="2">
        <f t="shared" ref="AX17:AX26" si="68">((2/3)*PI()*(AT17/2)*(AU17/2)*AV17)/1000000</f>
        <v>5.8778151351113833E-2</v>
      </c>
      <c r="AY17" s="3">
        <f t="shared" ref="AY17:AY26" si="69">10^(2.841+0.7*LOG(AX17))</f>
        <v>95.378644485558382</v>
      </c>
      <c r="AZ17" s="2">
        <f t="shared" ref="AZ17:AZ26" si="70">AX17*(1-(AW17)*1/100)</f>
        <v>0</v>
      </c>
      <c r="BA17" s="3">
        <f t="shared" ref="BA17:BA26" si="71">AY17*(1-(AW17)*1/100)</f>
        <v>0</v>
      </c>
      <c r="BB17" s="2">
        <f t="shared" ref="BB17:BB26" si="72">AX17*(AW17*(1/100))</f>
        <v>5.8778151351113833E-2</v>
      </c>
      <c r="BC17" s="3">
        <f t="shared" ref="BC17:BC26" si="73">AY17*(AW17*(1/100))</f>
        <v>95.378644485558382</v>
      </c>
      <c r="BD17" t="s">
        <v>45</v>
      </c>
      <c r="BE17">
        <v>76</v>
      </c>
      <c r="BF17">
        <v>42</v>
      </c>
      <c r="BG17">
        <v>33</v>
      </c>
      <c r="BH17">
        <v>100</v>
      </c>
      <c r="BI17" s="2">
        <f t="shared" ref="BI17:BI26" si="74">((2/3)*PI()*(BE17/2)*(BF17/2)*BG17)/1000000</f>
        <v>5.5153800626422403E-2</v>
      </c>
      <c r="BJ17" s="3">
        <f t="shared" ref="BJ17:BJ26" si="75">10^(2.841+0.7*LOG(BI17))</f>
        <v>91.222676707530965</v>
      </c>
      <c r="BK17" s="2">
        <f t="shared" ref="BK17:BK26" si="76">BI17*(1-(BH17)*1/100)</f>
        <v>0</v>
      </c>
      <c r="BL17" s="3">
        <f t="shared" ref="BL17:BL26" si="77">BJ17*(1-(BH17)*1/100)</f>
        <v>0</v>
      </c>
      <c r="BM17" s="2">
        <f t="shared" ref="BM17:BM26" si="78">BI17*(BH17*(1/100))</f>
        <v>5.5153800626422403E-2</v>
      </c>
      <c r="BN17" s="3">
        <f t="shared" ref="BN17:BN26" si="79">BJ17*(BH17*(1/100))</f>
        <v>91.222676707530965</v>
      </c>
      <c r="BO17" t="s">
        <v>45</v>
      </c>
      <c r="BT17" s="2"/>
      <c r="BU17" s="3" t="e">
        <f t="shared" ref="BU17:BU26" si="80">10^(2.841+0.7*LOG(BT17))</f>
        <v>#NUM!</v>
      </c>
      <c r="BV17" s="2"/>
      <c r="BW17" t="s">
        <v>45</v>
      </c>
      <c r="BX17">
        <v>74</v>
      </c>
      <c r="BY17">
        <v>41</v>
      </c>
      <c r="BZ17">
        <v>37</v>
      </c>
      <c r="CA17">
        <v>100</v>
      </c>
      <c r="CB17" s="2">
        <f t="shared" ref="CB17:CB26" si="81">((2/3)*PI()*(BX17/2)*(BY17/2)*BZ17)/1000000</f>
        <v>5.8778151351113833E-2</v>
      </c>
      <c r="CC17" s="3">
        <f t="shared" ref="CC17:CC26" si="82">10^(2.841+0.7*LOG(CB17))</f>
        <v>95.378644485558382</v>
      </c>
      <c r="CD17" s="2">
        <f t="shared" ref="CD17:CD26" si="83">CB17*(1-(CA17)*1/100)</f>
        <v>0</v>
      </c>
      <c r="CE17" s="3">
        <f t="shared" ref="CE17:CE26" si="84">CC17*(1-(CA17)*1/100)</f>
        <v>0</v>
      </c>
      <c r="CF17" s="2">
        <f t="shared" ref="CF17:CF26" si="85">CB17*(CA17*(1/100))</f>
        <v>5.8778151351113833E-2</v>
      </c>
      <c r="CG17" s="3">
        <f t="shared" ref="CG17:CG26" si="86">CC17*(CA17*(1/100))</f>
        <v>95.378644485558382</v>
      </c>
    </row>
    <row r="18" spans="1:85">
      <c r="A18" t="s">
        <v>46</v>
      </c>
      <c r="B18">
        <v>68</v>
      </c>
      <c r="C18">
        <v>70</v>
      </c>
      <c r="D18">
        <v>38</v>
      </c>
      <c r="E18">
        <v>55</v>
      </c>
      <c r="F18" s="2">
        <f t="shared" si="52"/>
        <v>9.4708546530220289E-2</v>
      </c>
      <c r="G18" s="3">
        <f t="shared" si="53"/>
        <v>133.19024572370856</v>
      </c>
      <c r="H18" s="2">
        <f t="shared" si="54"/>
        <v>4.2618845938599124E-2</v>
      </c>
      <c r="I18" s="3">
        <f t="shared" si="55"/>
        <v>59.935610575668846</v>
      </c>
      <c r="J18" s="2">
        <f t="shared" si="56"/>
        <v>5.2089700591621164E-2</v>
      </c>
      <c r="K18" s="3">
        <f t="shared" si="57"/>
        <v>73.254635148039711</v>
      </c>
      <c r="L18" t="s">
        <v>46</v>
      </c>
      <c r="M18">
        <v>64</v>
      </c>
      <c r="N18">
        <v>62</v>
      </c>
      <c r="O18">
        <v>37</v>
      </c>
      <c r="P18">
        <v>40</v>
      </c>
      <c r="Q18" s="2">
        <f t="shared" si="58"/>
        <v>7.6872677838239853E-2</v>
      </c>
      <c r="R18" s="3">
        <f t="shared" si="59"/>
        <v>115.09074647730333</v>
      </c>
      <c r="S18" s="2">
        <f t="shared" si="60"/>
        <v>4.6123606702943909E-2</v>
      </c>
      <c r="T18" s="3">
        <f t="shared" si="61"/>
        <v>69.054447886381993</v>
      </c>
      <c r="U18" s="2">
        <f t="shared" si="62"/>
        <v>3.0749071135295944E-2</v>
      </c>
      <c r="V18" s="3">
        <f t="shared" si="63"/>
        <v>46.036298590921334</v>
      </c>
      <c r="W18" t="s">
        <v>46</v>
      </c>
      <c r="X18">
        <v>68</v>
      </c>
      <c r="Y18">
        <v>56</v>
      </c>
      <c r="Z18">
        <v>36</v>
      </c>
      <c r="AA18">
        <v>25</v>
      </c>
      <c r="AB18" s="2">
        <f t="shared" si="64"/>
        <v>7.1779108949219572E-2</v>
      </c>
      <c r="AC18" s="3">
        <f t="shared" si="65"/>
        <v>109.69798340694653</v>
      </c>
      <c r="AD18" s="2"/>
      <c r="AE18" s="3"/>
      <c r="AF18" s="2"/>
      <c r="AG18" s="3"/>
      <c r="AH18" t="s">
        <v>46</v>
      </c>
      <c r="AI18">
        <v>62</v>
      </c>
      <c r="AJ18">
        <v>51</v>
      </c>
      <c r="AK18">
        <v>38</v>
      </c>
      <c r="AL18">
        <v>30</v>
      </c>
      <c r="AM18" s="2">
        <f t="shared" si="66"/>
        <v>6.2913534480789193E-2</v>
      </c>
      <c r="AN18" s="3">
        <f t="shared" si="67"/>
        <v>100.0278327240846</v>
      </c>
      <c r="AO18" s="2"/>
      <c r="AP18" s="3"/>
      <c r="AQ18" s="2"/>
      <c r="AR18" s="3"/>
      <c r="AS18" t="s">
        <v>46</v>
      </c>
      <c r="AT18">
        <v>75</v>
      </c>
      <c r="AU18">
        <v>65</v>
      </c>
      <c r="AV18">
        <v>42</v>
      </c>
      <c r="AW18">
        <v>40</v>
      </c>
      <c r="AX18" s="2">
        <f t="shared" si="68"/>
        <v>0.10720684930375167</v>
      </c>
      <c r="AY18" s="3">
        <f t="shared" si="69"/>
        <v>145.26325549882856</v>
      </c>
      <c r="AZ18" s="2">
        <f t="shared" si="70"/>
        <v>6.4324109582251002E-2</v>
      </c>
      <c r="BA18" s="3">
        <f t="shared" si="71"/>
        <v>87.157953299297134</v>
      </c>
      <c r="BB18" s="2">
        <f t="shared" si="72"/>
        <v>4.2882739721500668E-2</v>
      </c>
      <c r="BC18" s="3">
        <f t="shared" si="73"/>
        <v>58.105302199531423</v>
      </c>
      <c r="BD18" t="s">
        <v>46</v>
      </c>
      <c r="BE18">
        <v>67</v>
      </c>
      <c r="BF18">
        <v>66</v>
      </c>
      <c r="BG18">
        <v>34</v>
      </c>
      <c r="BH18">
        <v>35</v>
      </c>
      <c r="BI18" s="2">
        <f t="shared" si="74"/>
        <v>7.8722028713653025E-2</v>
      </c>
      <c r="BJ18" s="3">
        <f t="shared" si="75"/>
        <v>117.02196713670978</v>
      </c>
      <c r="BK18" s="2">
        <f t="shared" si="76"/>
        <v>5.1169318663874468E-2</v>
      </c>
      <c r="BL18" s="3">
        <f t="shared" si="77"/>
        <v>76.064278638861353</v>
      </c>
      <c r="BM18" s="2">
        <f t="shared" si="78"/>
        <v>2.7552710049778561E-2</v>
      </c>
      <c r="BN18" s="3">
        <f t="shared" si="79"/>
        <v>40.957688497848423</v>
      </c>
      <c r="BO18" t="s">
        <v>46</v>
      </c>
      <c r="BP18">
        <v>63</v>
      </c>
      <c r="BQ18">
        <v>53</v>
      </c>
      <c r="BR18">
        <v>30</v>
      </c>
      <c r="BS18">
        <v>35</v>
      </c>
      <c r="BT18" s="2">
        <f t="shared" ref="BT18:BT26" si="87">((2/3)*PI()*(BP18/2)*(BQ18/2)*BR18)/1000000</f>
        <v>5.2448889351681585E-2</v>
      </c>
      <c r="BU18" s="3">
        <f t="shared" si="80"/>
        <v>88.067447113400888</v>
      </c>
      <c r="BV18" s="2"/>
      <c r="BW18" t="s">
        <v>46</v>
      </c>
      <c r="BX18" s="4">
        <v>64</v>
      </c>
      <c r="BY18" s="4">
        <v>64</v>
      </c>
      <c r="BZ18">
        <v>35</v>
      </c>
      <c r="CA18">
        <v>55</v>
      </c>
      <c r="CB18" s="2">
        <f t="shared" si="81"/>
        <v>7.5063120469772107E-2</v>
      </c>
      <c r="CC18" s="3">
        <f t="shared" si="82"/>
        <v>113.18754237271438</v>
      </c>
      <c r="CD18" s="2">
        <f t="shared" si="83"/>
        <v>3.3778404211397446E-2</v>
      </c>
      <c r="CE18" s="3">
        <f t="shared" si="84"/>
        <v>50.934394067721463</v>
      </c>
      <c r="CF18" s="2">
        <f t="shared" si="85"/>
        <v>4.1284716258374661E-2</v>
      </c>
      <c r="CG18" s="3">
        <f t="shared" si="86"/>
        <v>62.253148304992912</v>
      </c>
    </row>
    <row r="19" spans="1:85">
      <c r="A19" t="s">
        <v>47</v>
      </c>
      <c r="B19">
        <v>49</v>
      </c>
      <c r="C19">
        <v>44</v>
      </c>
      <c r="D19">
        <v>26</v>
      </c>
      <c r="E19">
        <v>45</v>
      </c>
      <c r="F19" s="2">
        <f t="shared" si="52"/>
        <v>2.9350852964938241E-2</v>
      </c>
      <c r="G19" s="3">
        <f t="shared" si="53"/>
        <v>58.658980248288891</v>
      </c>
      <c r="H19" s="2">
        <f t="shared" si="54"/>
        <v>1.6142969130716035E-2</v>
      </c>
      <c r="I19" s="3">
        <f t="shared" si="55"/>
        <v>32.262439136558896</v>
      </c>
      <c r="J19" s="2">
        <f t="shared" si="56"/>
        <v>1.3207883834222209E-2</v>
      </c>
      <c r="K19" s="3">
        <f t="shared" si="57"/>
        <v>26.396541111730002</v>
      </c>
      <c r="L19" t="s">
        <v>47</v>
      </c>
      <c r="M19">
        <v>46</v>
      </c>
      <c r="N19">
        <v>40</v>
      </c>
      <c r="O19">
        <v>26</v>
      </c>
      <c r="P19">
        <v>35</v>
      </c>
      <c r="Q19" s="2">
        <f t="shared" si="58"/>
        <v>2.5048965424622614E-2</v>
      </c>
      <c r="R19" s="3">
        <f t="shared" si="59"/>
        <v>52.499220522306395</v>
      </c>
      <c r="S19" s="2">
        <f t="shared" si="60"/>
        <v>1.62818275260047E-2</v>
      </c>
      <c r="T19" s="3">
        <f t="shared" si="61"/>
        <v>34.124493339499161</v>
      </c>
      <c r="U19" s="2">
        <f t="shared" si="62"/>
        <v>8.7671378986179157E-3</v>
      </c>
      <c r="V19" s="3">
        <f t="shared" si="63"/>
        <v>18.374727182807241</v>
      </c>
      <c r="W19" t="s">
        <v>47</v>
      </c>
      <c r="X19">
        <v>35</v>
      </c>
      <c r="Y19">
        <v>33</v>
      </c>
      <c r="Z19">
        <v>30</v>
      </c>
      <c r="AA19">
        <v>35</v>
      </c>
      <c r="AB19" s="2">
        <f t="shared" si="64"/>
        <v>1.8142697574481056E-2</v>
      </c>
      <c r="AC19" s="3">
        <f t="shared" si="65"/>
        <v>41.888161845540957</v>
      </c>
      <c r="AD19" s="2"/>
      <c r="AE19" s="3"/>
      <c r="AF19" s="2"/>
      <c r="AG19" s="3"/>
      <c r="AH19" t="s">
        <v>47</v>
      </c>
      <c r="AI19">
        <v>33</v>
      </c>
      <c r="AJ19">
        <v>38</v>
      </c>
      <c r="AK19">
        <v>31</v>
      </c>
      <c r="AL19">
        <v>40</v>
      </c>
      <c r="AM19" s="2">
        <f t="shared" si="66"/>
        <v>2.0354378802608271E-2</v>
      </c>
      <c r="AN19" s="3">
        <f t="shared" si="67"/>
        <v>45.400485473119289</v>
      </c>
      <c r="AO19" s="2"/>
      <c r="AP19" s="3"/>
      <c r="AQ19" s="2"/>
      <c r="AR19" s="3"/>
      <c r="AS19" t="s">
        <v>47</v>
      </c>
      <c r="AT19">
        <v>50</v>
      </c>
      <c r="AU19">
        <v>46</v>
      </c>
      <c r="AV19">
        <v>31</v>
      </c>
      <c r="AW19">
        <v>50</v>
      </c>
      <c r="AX19" s="2">
        <f t="shared" si="68"/>
        <v>3.7332592700158707E-2</v>
      </c>
      <c r="AY19" s="3">
        <f t="shared" si="69"/>
        <v>69.416339184516858</v>
      </c>
      <c r="AZ19" s="2">
        <f t="shared" si="70"/>
        <v>1.8666296350079353E-2</v>
      </c>
      <c r="BA19" s="3">
        <f t="shared" si="71"/>
        <v>34.708169592258429</v>
      </c>
      <c r="BB19" s="2">
        <f t="shared" si="72"/>
        <v>1.8666296350079353E-2</v>
      </c>
      <c r="BC19" s="3">
        <f t="shared" si="73"/>
        <v>34.708169592258429</v>
      </c>
      <c r="BD19" t="s">
        <v>47</v>
      </c>
      <c r="BE19">
        <v>44</v>
      </c>
      <c r="BF19">
        <v>44</v>
      </c>
      <c r="BG19">
        <v>25</v>
      </c>
      <c r="BH19">
        <v>75</v>
      </c>
      <c r="BI19" s="2">
        <f t="shared" si="74"/>
        <v>2.5342180738957665E-2</v>
      </c>
      <c r="BJ19" s="3">
        <f t="shared" si="75"/>
        <v>52.928646559065299</v>
      </c>
      <c r="BK19" s="2">
        <f t="shared" si="76"/>
        <v>6.3355451847394162E-3</v>
      </c>
      <c r="BL19" s="3">
        <f t="shared" si="77"/>
        <v>13.232161639766325</v>
      </c>
      <c r="BM19" s="2">
        <f t="shared" si="78"/>
        <v>1.9006635554218249E-2</v>
      </c>
      <c r="BN19" s="3">
        <f t="shared" si="79"/>
        <v>39.696484919298975</v>
      </c>
      <c r="BO19" t="s">
        <v>47</v>
      </c>
      <c r="BP19">
        <v>34</v>
      </c>
      <c r="BQ19">
        <v>17</v>
      </c>
      <c r="BR19">
        <v>17</v>
      </c>
      <c r="BS19">
        <v>75</v>
      </c>
      <c r="BT19" s="2">
        <f t="shared" si="87"/>
        <v>5.1448815690288835E-3</v>
      </c>
      <c r="BU19" s="3">
        <f t="shared" si="80"/>
        <v>17.336553632821069</v>
      </c>
      <c r="BV19" s="2"/>
      <c r="BW19" t="s">
        <v>47</v>
      </c>
      <c r="BX19" s="4">
        <v>44</v>
      </c>
      <c r="BY19" s="4">
        <v>34</v>
      </c>
      <c r="BZ19">
        <v>26</v>
      </c>
      <c r="CA19">
        <v>85</v>
      </c>
      <c r="CB19" s="2">
        <f t="shared" si="81"/>
        <v>2.0365897975671433E-2</v>
      </c>
      <c r="CC19" s="3">
        <f t="shared" si="82"/>
        <v>45.418469424828892</v>
      </c>
      <c r="CD19" s="2">
        <f t="shared" si="83"/>
        <v>3.0548846963507153E-3</v>
      </c>
      <c r="CE19" s="3">
        <f t="shared" si="84"/>
        <v>6.8127704137243352</v>
      </c>
      <c r="CF19" s="2">
        <f t="shared" si="85"/>
        <v>1.7311013279320719E-2</v>
      </c>
      <c r="CG19" s="3">
        <f t="shared" si="86"/>
        <v>38.605699011104555</v>
      </c>
    </row>
    <row r="20" spans="1:85">
      <c r="A20" t="s">
        <v>48</v>
      </c>
      <c r="B20">
        <v>38</v>
      </c>
      <c r="C20">
        <v>45</v>
      </c>
      <c r="D20">
        <v>23</v>
      </c>
      <c r="E20">
        <v>50</v>
      </c>
      <c r="F20" s="2">
        <f t="shared" si="52"/>
        <v>2.0593139844281093E-2</v>
      </c>
      <c r="G20" s="3">
        <f t="shared" si="53"/>
        <v>45.772622759698606</v>
      </c>
      <c r="H20" s="2">
        <f t="shared" si="54"/>
        <v>1.0296569922140546E-2</v>
      </c>
      <c r="I20" s="3">
        <f t="shared" si="55"/>
        <v>22.886311379849303</v>
      </c>
      <c r="J20" s="2">
        <f t="shared" si="56"/>
        <v>1.0296569922140546E-2</v>
      </c>
      <c r="K20" s="3">
        <f t="shared" si="57"/>
        <v>22.886311379849303</v>
      </c>
      <c r="L20" t="s">
        <v>48</v>
      </c>
      <c r="M20">
        <v>43</v>
      </c>
      <c r="N20">
        <v>28</v>
      </c>
      <c r="O20">
        <v>26</v>
      </c>
      <c r="P20">
        <v>40</v>
      </c>
      <c r="Q20" s="2">
        <f t="shared" si="58"/>
        <v>1.6390736071329147E-2</v>
      </c>
      <c r="R20" s="3">
        <f t="shared" si="59"/>
        <v>39.013859897328487</v>
      </c>
      <c r="S20" s="2">
        <f t="shared" si="60"/>
        <v>9.8344416427974882E-3</v>
      </c>
      <c r="T20" s="3">
        <f t="shared" si="61"/>
        <v>23.408315938397092</v>
      </c>
      <c r="U20" s="2">
        <f t="shared" si="62"/>
        <v>6.5562944285316588E-3</v>
      </c>
      <c r="V20" s="3">
        <f t="shared" si="63"/>
        <v>15.605543958931396</v>
      </c>
      <c r="W20" t="s">
        <v>48</v>
      </c>
      <c r="X20">
        <v>41</v>
      </c>
      <c r="Y20">
        <v>30</v>
      </c>
      <c r="Z20">
        <v>29</v>
      </c>
      <c r="AA20">
        <v>20</v>
      </c>
      <c r="AB20" s="2">
        <f t="shared" si="64"/>
        <v>1.8676768325591314E-2</v>
      </c>
      <c r="AC20" s="3">
        <f t="shared" si="65"/>
        <v>42.747548345845928</v>
      </c>
      <c r="AD20" s="2"/>
      <c r="AE20" s="3"/>
      <c r="AF20" s="2"/>
      <c r="AG20" s="3"/>
      <c r="AH20" t="s">
        <v>48</v>
      </c>
      <c r="AI20">
        <v>48</v>
      </c>
      <c r="AJ20">
        <v>31</v>
      </c>
      <c r="AK20">
        <v>26</v>
      </c>
      <c r="AL20">
        <v>25</v>
      </c>
      <c r="AM20" s="2">
        <f t="shared" si="66"/>
        <v>2.0256989430346983E-2</v>
      </c>
      <c r="AN20" s="3">
        <f t="shared" si="67"/>
        <v>45.248317070683264</v>
      </c>
      <c r="AO20" s="2"/>
      <c r="AP20" s="3"/>
      <c r="AQ20" s="2"/>
      <c r="AR20" s="3"/>
      <c r="AS20" t="s">
        <v>48</v>
      </c>
      <c r="AT20">
        <v>46</v>
      </c>
      <c r="AU20">
        <v>45</v>
      </c>
      <c r="AV20">
        <v>32</v>
      </c>
      <c r="AW20">
        <v>25</v>
      </c>
      <c r="AX20" s="2">
        <f t="shared" si="68"/>
        <v>3.4683182895631312E-2</v>
      </c>
      <c r="AY20" s="3">
        <f t="shared" si="69"/>
        <v>65.930028315109894</v>
      </c>
      <c r="AZ20" s="2">
        <f t="shared" si="70"/>
        <v>2.6012387171723484E-2</v>
      </c>
      <c r="BA20" s="3">
        <f t="shared" si="71"/>
        <v>49.44752123633242</v>
      </c>
      <c r="BB20" s="2">
        <f t="shared" si="72"/>
        <v>8.670795723907828E-3</v>
      </c>
      <c r="BC20" s="3">
        <f t="shared" si="73"/>
        <v>16.482507078777473</v>
      </c>
      <c r="BD20" t="s">
        <v>48</v>
      </c>
      <c r="BE20">
        <v>57</v>
      </c>
      <c r="BF20">
        <v>54</v>
      </c>
      <c r="BG20">
        <v>30</v>
      </c>
      <c r="BH20">
        <v>10</v>
      </c>
      <c r="BI20" s="2">
        <f t="shared" si="74"/>
        <v>4.8349110938746914E-2</v>
      </c>
      <c r="BJ20" s="3">
        <f t="shared" si="75"/>
        <v>83.190157162939698</v>
      </c>
      <c r="BK20" s="2">
        <f t="shared" si="76"/>
        <v>4.3514199844872224E-2</v>
      </c>
      <c r="BL20" s="3">
        <f t="shared" si="77"/>
        <v>74.871141446645737</v>
      </c>
      <c r="BM20" s="2">
        <f t="shared" si="78"/>
        <v>4.8349110938746918E-3</v>
      </c>
      <c r="BN20" s="3">
        <f t="shared" si="79"/>
        <v>8.3190157162939702</v>
      </c>
      <c r="BO20" t="s">
        <v>48</v>
      </c>
      <c r="BP20">
        <v>57</v>
      </c>
      <c r="BQ20">
        <v>54</v>
      </c>
      <c r="BR20">
        <v>30</v>
      </c>
      <c r="BS20">
        <v>10</v>
      </c>
      <c r="BT20" s="2">
        <f t="shared" si="87"/>
        <v>4.8349110938746914E-2</v>
      </c>
      <c r="BU20" s="3">
        <f t="shared" si="80"/>
        <v>83.190157162939698</v>
      </c>
      <c r="BV20" s="2"/>
      <c r="BW20" t="s">
        <v>48</v>
      </c>
      <c r="BX20" s="4">
        <v>45</v>
      </c>
      <c r="BY20" s="4">
        <v>42</v>
      </c>
      <c r="BZ20">
        <v>38</v>
      </c>
      <c r="CA20">
        <v>15</v>
      </c>
      <c r="CB20" s="2">
        <f t="shared" si="81"/>
        <v>3.7604864063469821E-2</v>
      </c>
      <c r="CC20" s="3">
        <f t="shared" si="82"/>
        <v>69.770336274833554</v>
      </c>
      <c r="CD20" s="2">
        <f t="shared" si="83"/>
        <v>3.1964134453949349E-2</v>
      </c>
      <c r="CE20" s="3">
        <f t="shared" si="84"/>
        <v>59.30478583360852</v>
      </c>
      <c r="CF20" s="2">
        <f t="shared" si="85"/>
        <v>5.6407296095204729E-3</v>
      </c>
      <c r="CG20" s="3">
        <f t="shared" si="86"/>
        <v>10.465550441225032</v>
      </c>
    </row>
    <row r="21" spans="1:85">
      <c r="A21" t="s">
        <v>49</v>
      </c>
      <c r="B21">
        <v>73</v>
      </c>
      <c r="C21">
        <v>60</v>
      </c>
      <c r="D21">
        <v>34</v>
      </c>
      <c r="E21">
        <v>70</v>
      </c>
      <c r="F21" s="2">
        <f t="shared" si="52"/>
        <v>7.7974329662098649E-2</v>
      </c>
      <c r="G21" s="3">
        <f t="shared" si="53"/>
        <v>116.24282473428265</v>
      </c>
      <c r="H21" s="2">
        <f t="shared" si="54"/>
        <v>2.3392298898629597E-2</v>
      </c>
      <c r="I21" s="3">
        <f t="shared" si="55"/>
        <v>34.872847420284799</v>
      </c>
      <c r="J21" s="2">
        <f t="shared" si="56"/>
        <v>5.4582030763469062E-2</v>
      </c>
      <c r="K21" s="3">
        <f t="shared" si="57"/>
        <v>81.369977313997865</v>
      </c>
      <c r="L21" t="s">
        <v>49</v>
      </c>
      <c r="M21">
        <v>71</v>
      </c>
      <c r="N21">
        <v>55</v>
      </c>
      <c r="O21">
        <v>32</v>
      </c>
      <c r="P21">
        <v>55</v>
      </c>
      <c r="Q21" s="2">
        <f t="shared" si="58"/>
        <v>6.5428902998763416E-2</v>
      </c>
      <c r="R21" s="3">
        <f t="shared" si="59"/>
        <v>102.81080204993572</v>
      </c>
      <c r="S21" s="2">
        <f t="shared" si="60"/>
        <v>2.9443006349443534E-2</v>
      </c>
      <c r="T21" s="3">
        <f t="shared" si="61"/>
        <v>46.264860922471065</v>
      </c>
      <c r="U21" s="2">
        <f t="shared" si="62"/>
        <v>3.5985896649319879E-2</v>
      </c>
      <c r="V21" s="3">
        <f t="shared" si="63"/>
        <v>56.545941127464651</v>
      </c>
      <c r="W21" t="s">
        <v>49</v>
      </c>
      <c r="X21">
        <v>73</v>
      </c>
      <c r="Y21">
        <v>54</v>
      </c>
      <c r="Z21">
        <v>33</v>
      </c>
      <c r="AA21">
        <v>35</v>
      </c>
      <c r="AB21" s="2">
        <f t="shared" si="64"/>
        <v>6.8112870322480285E-2</v>
      </c>
      <c r="AC21" s="3">
        <f t="shared" si="65"/>
        <v>105.74514267090369</v>
      </c>
      <c r="AD21" s="2"/>
      <c r="AE21" s="3"/>
      <c r="AF21" s="2"/>
      <c r="AG21" s="3"/>
      <c r="AH21" t="s">
        <v>49</v>
      </c>
      <c r="AI21">
        <v>62</v>
      </c>
      <c r="AJ21">
        <v>49</v>
      </c>
      <c r="AK21">
        <v>29</v>
      </c>
      <c r="AL21">
        <v>55</v>
      </c>
      <c r="AM21" s="2">
        <f t="shared" si="66"/>
        <v>4.6130099327761326E-2</v>
      </c>
      <c r="AN21" s="3">
        <f t="shared" si="67"/>
        <v>80.498738174889198</v>
      </c>
      <c r="AO21" s="2"/>
      <c r="AP21" s="3"/>
      <c r="AQ21" s="2"/>
      <c r="AR21" s="3"/>
      <c r="AS21" t="s">
        <v>49</v>
      </c>
      <c r="AT21">
        <v>79</v>
      </c>
      <c r="AU21">
        <v>63</v>
      </c>
      <c r="AV21">
        <v>39</v>
      </c>
      <c r="AW21">
        <v>30</v>
      </c>
      <c r="AX21" s="2">
        <f t="shared" si="68"/>
        <v>0.10163209313995661</v>
      </c>
      <c r="AY21" s="3">
        <f t="shared" si="69"/>
        <v>139.93347173157579</v>
      </c>
      <c r="AZ21" s="2">
        <f t="shared" si="70"/>
        <v>7.1142465197969615E-2</v>
      </c>
      <c r="BA21" s="3">
        <f t="shared" si="71"/>
        <v>97.953430212103044</v>
      </c>
      <c r="BB21" s="2">
        <f t="shared" si="72"/>
        <v>3.048962794198698E-2</v>
      </c>
      <c r="BC21" s="3">
        <f t="shared" si="73"/>
        <v>41.980041519472735</v>
      </c>
      <c r="BD21" t="s">
        <v>49</v>
      </c>
      <c r="BE21">
        <v>71</v>
      </c>
      <c r="BF21">
        <v>53</v>
      </c>
      <c r="BG21">
        <v>32</v>
      </c>
      <c r="BH21">
        <v>20</v>
      </c>
      <c r="BI21" s="2">
        <f t="shared" si="74"/>
        <v>6.3049670162444754E-2</v>
      </c>
      <c r="BJ21" s="3">
        <f t="shared" si="75"/>
        <v>100.17929550684123</v>
      </c>
      <c r="BK21" s="2">
        <f t="shared" si="76"/>
        <v>5.0439736129955809E-2</v>
      </c>
      <c r="BL21" s="3">
        <f t="shared" si="77"/>
        <v>80.143436405472983</v>
      </c>
      <c r="BM21" s="2">
        <f t="shared" si="78"/>
        <v>1.2609934032488952E-2</v>
      </c>
      <c r="BN21" s="3">
        <f t="shared" si="79"/>
        <v>20.035859101368246</v>
      </c>
      <c r="BO21" t="s">
        <v>49</v>
      </c>
      <c r="BP21">
        <v>71</v>
      </c>
      <c r="BQ21">
        <v>52</v>
      </c>
      <c r="BR21">
        <v>32</v>
      </c>
      <c r="BS21">
        <v>20</v>
      </c>
      <c r="BT21" s="2">
        <f t="shared" si="87"/>
        <v>6.1860053744285409E-2</v>
      </c>
      <c r="BU21" s="3">
        <f t="shared" si="80"/>
        <v>98.852397095612417</v>
      </c>
      <c r="BV21" s="2"/>
      <c r="BW21" t="s">
        <v>49</v>
      </c>
      <c r="BX21" s="4">
        <v>70</v>
      </c>
      <c r="BY21" s="4">
        <v>56</v>
      </c>
      <c r="BZ21">
        <v>41</v>
      </c>
      <c r="CA21">
        <v>35</v>
      </c>
      <c r="CB21" s="2">
        <f t="shared" si="81"/>
        <v>8.4152795214158568E-2</v>
      </c>
      <c r="CC21" s="3">
        <f t="shared" si="82"/>
        <v>122.61623655121141</v>
      </c>
      <c r="CD21" s="2">
        <f t="shared" si="83"/>
        <v>5.469931688920307E-2</v>
      </c>
      <c r="CE21" s="3">
        <f t="shared" si="84"/>
        <v>79.700553758287427</v>
      </c>
      <c r="CF21" s="2">
        <f t="shared" si="85"/>
        <v>2.9453478324955502E-2</v>
      </c>
      <c r="CG21" s="3">
        <f t="shared" si="86"/>
        <v>42.915682792924002</v>
      </c>
    </row>
    <row r="22" spans="1:85">
      <c r="A22" t="s">
        <v>50</v>
      </c>
      <c r="B22">
        <v>47</v>
      </c>
      <c r="C22">
        <v>44</v>
      </c>
      <c r="D22">
        <v>27</v>
      </c>
      <c r="E22">
        <v>90</v>
      </c>
      <c r="F22" s="2">
        <f t="shared" si="52"/>
        <v>2.9235661234306608E-2</v>
      </c>
      <c r="G22" s="3">
        <f t="shared" si="53"/>
        <v>58.497734172804265</v>
      </c>
      <c r="H22" s="2">
        <f t="shared" si="54"/>
        <v>2.9235661234306601E-3</v>
      </c>
      <c r="I22" s="3">
        <f t="shared" si="55"/>
        <v>5.8497734172804252</v>
      </c>
      <c r="J22" s="2">
        <f t="shared" si="56"/>
        <v>2.6312095110875948E-2</v>
      </c>
      <c r="K22" s="3">
        <f t="shared" si="57"/>
        <v>52.64796075552384</v>
      </c>
      <c r="L22" t="s">
        <v>50</v>
      </c>
      <c r="M22">
        <v>44</v>
      </c>
      <c r="N22">
        <v>37</v>
      </c>
      <c r="O22">
        <v>26</v>
      </c>
      <c r="P22">
        <v>90</v>
      </c>
      <c r="Q22" s="2">
        <f t="shared" si="58"/>
        <v>2.2162888973524794E-2</v>
      </c>
      <c r="R22" s="3">
        <f t="shared" si="59"/>
        <v>48.187950947542149</v>
      </c>
      <c r="S22" s="2">
        <f t="shared" si="60"/>
        <v>2.2162888973524791E-3</v>
      </c>
      <c r="T22" s="3">
        <f t="shared" si="61"/>
        <v>4.818795094754214</v>
      </c>
      <c r="U22" s="2">
        <f t="shared" si="62"/>
        <v>1.9946600076172317E-2</v>
      </c>
      <c r="V22" s="3">
        <f t="shared" si="63"/>
        <v>43.369155852787934</v>
      </c>
      <c r="W22" t="s">
        <v>50</v>
      </c>
      <c r="X22">
        <v>3</v>
      </c>
      <c r="Y22">
        <v>3</v>
      </c>
      <c r="Z22">
        <v>29</v>
      </c>
      <c r="AA22">
        <v>85</v>
      </c>
      <c r="AB22" s="2">
        <f t="shared" si="64"/>
        <v>1.3665928043115599E-4</v>
      </c>
      <c r="AC22" s="3">
        <f t="shared" si="65"/>
        <v>1.3675631527010674</v>
      </c>
      <c r="AD22" s="2"/>
      <c r="AE22" s="3"/>
      <c r="AF22" s="2"/>
      <c r="AG22" s="3"/>
      <c r="AH22" t="s">
        <v>50</v>
      </c>
      <c r="AI22">
        <v>62</v>
      </c>
      <c r="AJ22">
        <v>25</v>
      </c>
      <c r="AK22">
        <v>28</v>
      </c>
      <c r="AL22">
        <v>65</v>
      </c>
      <c r="AM22" s="2">
        <f t="shared" si="66"/>
        <v>2.272418686096617E-2</v>
      </c>
      <c r="AN22" s="3">
        <f t="shared" si="67"/>
        <v>49.039027187967882</v>
      </c>
      <c r="AO22" s="2"/>
      <c r="AP22" s="3"/>
      <c r="AQ22" s="2"/>
      <c r="AR22" s="3"/>
      <c r="AS22" t="s">
        <v>50</v>
      </c>
      <c r="AT22">
        <v>39</v>
      </c>
      <c r="AU22">
        <v>42</v>
      </c>
      <c r="AV22">
        <v>26</v>
      </c>
      <c r="AW22">
        <v>70</v>
      </c>
      <c r="AX22" s="2">
        <f t="shared" si="68"/>
        <v>2.2299024655180352E-2</v>
      </c>
      <c r="AY22" s="3">
        <f t="shared" si="69"/>
        <v>48.394956897454307</v>
      </c>
      <c r="AZ22" s="2">
        <f t="shared" si="70"/>
        <v>6.6897073965541069E-3</v>
      </c>
      <c r="BA22" s="3">
        <f t="shared" si="71"/>
        <v>14.518487069236294</v>
      </c>
      <c r="BB22" s="2">
        <f t="shared" si="72"/>
        <v>1.5609317258626248E-2</v>
      </c>
      <c r="BC22" s="3">
        <f t="shared" si="73"/>
        <v>33.876469828218021</v>
      </c>
      <c r="BD22" t="s">
        <v>50</v>
      </c>
      <c r="BE22">
        <v>41</v>
      </c>
      <c r="BF22">
        <v>30</v>
      </c>
      <c r="BG22">
        <v>24</v>
      </c>
      <c r="BH22">
        <v>65</v>
      </c>
      <c r="BI22" s="2">
        <f t="shared" si="74"/>
        <v>1.5456635855661777E-2</v>
      </c>
      <c r="BJ22" s="3">
        <f t="shared" si="75"/>
        <v>37.443848795690208</v>
      </c>
      <c r="BK22" s="2">
        <f t="shared" si="76"/>
        <v>5.4098225494816216E-3</v>
      </c>
      <c r="BL22" s="3">
        <f t="shared" si="77"/>
        <v>13.105347078491572</v>
      </c>
      <c r="BM22" s="2">
        <f t="shared" si="78"/>
        <v>1.0046813306180156E-2</v>
      </c>
      <c r="BN22" s="3">
        <f t="shared" si="79"/>
        <v>24.338501717198636</v>
      </c>
      <c r="BO22" t="s">
        <v>50</v>
      </c>
      <c r="BP22">
        <v>18</v>
      </c>
      <c r="BQ22">
        <v>22</v>
      </c>
      <c r="BR22">
        <v>24</v>
      </c>
      <c r="BS22">
        <v>65</v>
      </c>
      <c r="BT22" s="2">
        <f t="shared" si="87"/>
        <v>4.9762827632862331E-3</v>
      </c>
      <c r="BU22" s="3">
        <f t="shared" si="80"/>
        <v>16.936884853667607</v>
      </c>
      <c r="BV22" s="2"/>
      <c r="BW22" t="s">
        <v>50</v>
      </c>
      <c r="BX22" s="4">
        <v>41</v>
      </c>
      <c r="BY22" s="4">
        <v>30</v>
      </c>
      <c r="BZ22">
        <v>26</v>
      </c>
      <c r="CA22">
        <v>65</v>
      </c>
      <c r="CB22" s="2">
        <f t="shared" si="81"/>
        <v>1.6744688843633594E-2</v>
      </c>
      <c r="CC22" s="3">
        <f t="shared" si="82"/>
        <v>39.601711646690113</v>
      </c>
      <c r="CD22" s="2">
        <f t="shared" si="83"/>
        <v>5.8606410952717573E-3</v>
      </c>
      <c r="CE22" s="3">
        <f t="shared" si="84"/>
        <v>13.860599076341538</v>
      </c>
      <c r="CF22" s="2">
        <f t="shared" si="85"/>
        <v>1.0884047748361837E-2</v>
      </c>
      <c r="CG22" s="3">
        <f t="shared" si="86"/>
        <v>25.741112570348573</v>
      </c>
    </row>
    <row r="23" spans="1:85">
      <c r="A23" t="s">
        <v>51</v>
      </c>
      <c r="B23">
        <v>63</v>
      </c>
      <c r="C23">
        <v>61</v>
      </c>
      <c r="D23">
        <v>39</v>
      </c>
      <c r="E23">
        <v>60</v>
      </c>
      <c r="F23" s="2">
        <f t="shared" si="52"/>
        <v>7.8475413690346218E-2</v>
      </c>
      <c r="G23" s="3">
        <f t="shared" si="53"/>
        <v>116.76522745710902</v>
      </c>
      <c r="H23" s="2">
        <f t="shared" si="54"/>
        <v>3.1390165476138487E-2</v>
      </c>
      <c r="I23" s="3">
        <f t="shared" si="55"/>
        <v>46.706090982843612</v>
      </c>
      <c r="J23" s="2">
        <f t="shared" si="56"/>
        <v>4.7085248214207731E-2</v>
      </c>
      <c r="K23" s="3">
        <f t="shared" si="57"/>
        <v>70.059136474265415</v>
      </c>
      <c r="L23" t="s">
        <v>51</v>
      </c>
      <c r="M23">
        <v>64</v>
      </c>
      <c r="N23">
        <v>58</v>
      </c>
      <c r="O23">
        <v>40</v>
      </c>
      <c r="P23">
        <v>65</v>
      </c>
      <c r="Q23" s="2">
        <f t="shared" si="58"/>
        <v>7.7743946200835398E-2</v>
      </c>
      <c r="R23" s="3">
        <f t="shared" si="59"/>
        <v>116.00230178342471</v>
      </c>
      <c r="S23" s="2">
        <f t="shared" si="60"/>
        <v>2.7210381170292387E-2</v>
      </c>
      <c r="T23" s="3">
        <f t="shared" si="61"/>
        <v>40.600805624198649</v>
      </c>
      <c r="U23" s="2">
        <f t="shared" si="62"/>
        <v>5.0533565030543008E-2</v>
      </c>
      <c r="V23" s="3">
        <f t="shared" si="63"/>
        <v>75.40149615922607</v>
      </c>
      <c r="W23" t="s">
        <v>51</v>
      </c>
      <c r="X23">
        <v>64</v>
      </c>
      <c r="Y23">
        <v>45</v>
      </c>
      <c r="Z23">
        <v>52</v>
      </c>
      <c r="AA23">
        <v>30</v>
      </c>
      <c r="AB23" s="2">
        <f t="shared" si="64"/>
        <v>7.8414152633601228E-2</v>
      </c>
      <c r="AC23" s="3">
        <f t="shared" si="65"/>
        <v>116.70141384791354</v>
      </c>
      <c r="AD23" s="2"/>
      <c r="AE23" s="3"/>
      <c r="AF23" s="2"/>
      <c r="AG23" s="3"/>
      <c r="AH23" t="s">
        <v>51</v>
      </c>
      <c r="AI23">
        <v>80</v>
      </c>
      <c r="AJ23">
        <v>45</v>
      </c>
      <c r="AK23">
        <v>52</v>
      </c>
      <c r="AL23">
        <v>20</v>
      </c>
      <c r="AM23" s="2">
        <f t="shared" si="66"/>
        <v>9.8017690792001538E-2</v>
      </c>
      <c r="AN23" s="3">
        <f t="shared" si="67"/>
        <v>136.43102019995817</v>
      </c>
      <c r="AO23" s="2"/>
      <c r="AP23" s="3"/>
      <c r="AQ23" s="2"/>
      <c r="AR23" s="3"/>
      <c r="AS23" t="s">
        <v>51</v>
      </c>
      <c r="AT23">
        <v>86</v>
      </c>
      <c r="AU23">
        <v>74</v>
      </c>
      <c r="AV23">
        <v>52</v>
      </c>
      <c r="AW23">
        <v>20</v>
      </c>
      <c r="AX23" s="2">
        <f t="shared" si="68"/>
        <v>0.17327349561119382</v>
      </c>
      <c r="AY23" s="3">
        <f t="shared" si="69"/>
        <v>203.28835231082238</v>
      </c>
      <c r="AZ23" s="2">
        <f t="shared" si="70"/>
        <v>0.13861879648895506</v>
      </c>
      <c r="BA23" s="3">
        <f t="shared" si="71"/>
        <v>162.6306818486579</v>
      </c>
      <c r="BB23" s="2">
        <f t="shared" si="72"/>
        <v>3.4654699122238765E-2</v>
      </c>
      <c r="BC23" s="3">
        <f t="shared" si="73"/>
        <v>40.657670462164475</v>
      </c>
      <c r="BD23" t="s">
        <v>51</v>
      </c>
      <c r="BE23">
        <v>83</v>
      </c>
      <c r="BF23">
        <v>62</v>
      </c>
      <c r="BG23">
        <v>49</v>
      </c>
      <c r="BH23">
        <v>10</v>
      </c>
      <c r="BI23" s="2">
        <f t="shared" si="74"/>
        <v>0.13202752566221346</v>
      </c>
      <c r="BJ23" s="3">
        <f t="shared" si="75"/>
        <v>168.06030173899023</v>
      </c>
      <c r="BK23" s="2">
        <f t="shared" si="76"/>
        <v>0.11882477309599211</v>
      </c>
      <c r="BL23" s="3">
        <f t="shared" si="77"/>
        <v>151.25427156509122</v>
      </c>
      <c r="BM23" s="2">
        <f t="shared" si="78"/>
        <v>1.3202752566221346E-2</v>
      </c>
      <c r="BN23" s="3">
        <f t="shared" si="79"/>
        <v>16.806030173899025</v>
      </c>
      <c r="BO23" t="s">
        <v>51</v>
      </c>
      <c r="BP23">
        <v>82</v>
      </c>
      <c r="BQ23">
        <v>62</v>
      </c>
      <c r="BR23">
        <v>49</v>
      </c>
      <c r="BS23">
        <v>10</v>
      </c>
      <c r="BT23" s="2">
        <f t="shared" si="87"/>
        <v>0.1304368325819458</v>
      </c>
      <c r="BU23" s="3">
        <f t="shared" si="80"/>
        <v>166.64035071046271</v>
      </c>
      <c r="BV23" s="2"/>
      <c r="BW23" t="s">
        <v>51</v>
      </c>
      <c r="BX23" s="4">
        <v>77</v>
      </c>
      <c r="BY23" s="4">
        <v>57</v>
      </c>
      <c r="BZ23">
        <v>45</v>
      </c>
      <c r="CA23">
        <v>25</v>
      </c>
      <c r="CB23" s="2">
        <f t="shared" si="81"/>
        <v>0.10341337617454202</v>
      </c>
      <c r="CC23" s="3">
        <f t="shared" si="82"/>
        <v>141.6458000831752</v>
      </c>
      <c r="CD23" s="2">
        <f t="shared" si="83"/>
        <v>7.7560032130906509E-2</v>
      </c>
      <c r="CE23" s="3">
        <f t="shared" si="84"/>
        <v>106.2343500623814</v>
      </c>
      <c r="CF23" s="2">
        <f t="shared" si="85"/>
        <v>2.5853344043635505E-2</v>
      </c>
      <c r="CG23" s="3">
        <f t="shared" si="86"/>
        <v>35.411450020793801</v>
      </c>
    </row>
    <row r="24" spans="1:85">
      <c r="A24" t="s">
        <v>52</v>
      </c>
      <c r="B24">
        <v>45</v>
      </c>
      <c r="C24">
        <v>27</v>
      </c>
      <c r="D24">
        <v>25</v>
      </c>
      <c r="E24">
        <v>35</v>
      </c>
      <c r="F24" s="2">
        <f t="shared" si="52"/>
        <v>1.5904312808798327E-2</v>
      </c>
      <c r="G24" s="3">
        <f t="shared" si="53"/>
        <v>38.199742574639068</v>
      </c>
      <c r="H24" s="2">
        <f t="shared" si="54"/>
        <v>1.0337803325718913E-2</v>
      </c>
      <c r="I24" s="3">
        <f t="shared" si="55"/>
        <v>24.829832673515394</v>
      </c>
      <c r="J24" s="2">
        <f t="shared" si="56"/>
        <v>5.5665094830794149E-3</v>
      </c>
      <c r="K24" s="3">
        <f t="shared" si="57"/>
        <v>13.369909901123675</v>
      </c>
      <c r="L24" t="s">
        <v>52</v>
      </c>
      <c r="M24">
        <v>42</v>
      </c>
      <c r="N24">
        <v>27</v>
      </c>
      <c r="O24">
        <v>25</v>
      </c>
      <c r="P24">
        <v>30</v>
      </c>
      <c r="Q24" s="2">
        <f t="shared" si="58"/>
        <v>1.4844025288211772E-2</v>
      </c>
      <c r="R24" s="3">
        <f t="shared" si="59"/>
        <v>36.398725731922745</v>
      </c>
      <c r="S24" s="2">
        <f t="shared" si="60"/>
        <v>1.0390817701748239E-2</v>
      </c>
      <c r="T24" s="3">
        <f t="shared" si="61"/>
        <v>25.479108012345922</v>
      </c>
      <c r="U24" s="2">
        <f t="shared" si="62"/>
        <v>4.4532075864635312E-3</v>
      </c>
      <c r="V24" s="3">
        <f t="shared" si="63"/>
        <v>10.919617719576824</v>
      </c>
      <c r="W24" t="s">
        <v>52</v>
      </c>
      <c r="X24">
        <v>8</v>
      </c>
      <c r="Y24">
        <v>7</v>
      </c>
      <c r="Z24">
        <v>19</v>
      </c>
      <c r="AA24">
        <v>90</v>
      </c>
      <c r="AB24" s="2">
        <f t="shared" si="64"/>
        <v>5.5710909723658995E-4</v>
      </c>
      <c r="AC24" s="3">
        <f t="shared" si="65"/>
        <v>3.6572796981283084</v>
      </c>
      <c r="AD24" s="2"/>
      <c r="AE24" s="3"/>
      <c r="AF24" s="2"/>
      <c r="AG24" s="3"/>
      <c r="AH24" t="s">
        <v>52</v>
      </c>
      <c r="AI24">
        <v>29</v>
      </c>
      <c r="AJ24">
        <v>30</v>
      </c>
      <c r="AK24">
        <v>26</v>
      </c>
      <c r="AL24">
        <v>55</v>
      </c>
      <c r="AM24" s="2">
        <f t="shared" si="66"/>
        <v>1.184380430403352E-2</v>
      </c>
      <c r="AN24" s="3">
        <f t="shared" si="67"/>
        <v>31.077341204989896</v>
      </c>
      <c r="AO24" s="2"/>
      <c r="AP24" s="3"/>
      <c r="AQ24" s="2"/>
      <c r="AR24" s="3"/>
      <c r="AS24" t="s">
        <v>52</v>
      </c>
      <c r="AT24">
        <v>52</v>
      </c>
      <c r="AU24">
        <v>39</v>
      </c>
      <c r="AV24">
        <v>29</v>
      </c>
      <c r="AW24">
        <v>70</v>
      </c>
      <c r="AX24" s="2">
        <f t="shared" si="68"/>
        <v>3.0793891190487147E-2</v>
      </c>
      <c r="AY24" s="3">
        <f t="shared" si="69"/>
        <v>60.663183780208804</v>
      </c>
      <c r="AZ24" s="2">
        <f t="shared" si="70"/>
        <v>9.2381673571461462E-3</v>
      </c>
      <c r="BA24" s="3">
        <f t="shared" si="71"/>
        <v>18.198955134062643</v>
      </c>
      <c r="BB24" s="2">
        <f t="shared" si="72"/>
        <v>2.1555723833341006E-2</v>
      </c>
      <c r="BC24" s="3">
        <f t="shared" si="73"/>
        <v>42.464228646146168</v>
      </c>
      <c r="BD24" t="s">
        <v>52</v>
      </c>
      <c r="BE24">
        <v>50</v>
      </c>
      <c r="BF24">
        <v>33</v>
      </c>
      <c r="BG24">
        <v>21</v>
      </c>
      <c r="BH24">
        <v>60</v>
      </c>
      <c r="BI24" s="2">
        <f t="shared" si="74"/>
        <v>1.8142697574481056E-2</v>
      </c>
      <c r="BJ24" s="3">
        <f t="shared" si="75"/>
        <v>41.888161845540957</v>
      </c>
      <c r="BK24" s="2">
        <f t="shared" si="76"/>
        <v>7.2570790297924225E-3</v>
      </c>
      <c r="BL24" s="3">
        <f t="shared" si="77"/>
        <v>16.755264738216383</v>
      </c>
      <c r="BM24" s="2">
        <f t="shared" si="78"/>
        <v>1.0885618544688632E-2</v>
      </c>
      <c r="BN24" s="3">
        <f t="shared" si="79"/>
        <v>25.132897107324574</v>
      </c>
      <c r="BO24" t="s">
        <v>52</v>
      </c>
      <c r="BP24">
        <v>27</v>
      </c>
      <c r="BQ24">
        <v>20</v>
      </c>
      <c r="BR24">
        <v>20</v>
      </c>
      <c r="BS24">
        <v>60</v>
      </c>
      <c r="BT24" s="2">
        <f t="shared" si="87"/>
        <v>5.6548667764616265E-3</v>
      </c>
      <c r="BU24" s="3">
        <f t="shared" si="80"/>
        <v>18.522332004020257</v>
      </c>
      <c r="BV24" s="2"/>
      <c r="BW24" t="s">
        <v>52</v>
      </c>
      <c r="BX24" s="4">
        <v>40</v>
      </c>
      <c r="BY24" s="4">
        <v>26</v>
      </c>
      <c r="BZ24">
        <v>20</v>
      </c>
      <c r="CA24">
        <v>95</v>
      </c>
      <c r="CB24" s="2">
        <f t="shared" si="81"/>
        <v>1.0890854532444613E-2</v>
      </c>
      <c r="CC24" s="3">
        <f t="shared" si="82"/>
        <v>29.305110958031303</v>
      </c>
      <c r="CD24" s="2">
        <f t="shared" si="83"/>
        <v>5.445427266222311E-4</v>
      </c>
      <c r="CE24" s="3">
        <f t="shared" si="84"/>
        <v>1.4652555479015665</v>
      </c>
      <c r="CF24" s="2">
        <f t="shared" si="85"/>
        <v>1.0346311805822383E-2</v>
      </c>
      <c r="CG24" s="3">
        <f t="shared" si="86"/>
        <v>27.83985541012974</v>
      </c>
    </row>
    <row r="25" spans="1:85">
      <c r="A25" t="s">
        <v>53</v>
      </c>
      <c r="B25">
        <v>74</v>
      </c>
      <c r="C25">
        <v>65</v>
      </c>
      <c r="D25">
        <v>39</v>
      </c>
      <c r="E25">
        <v>35</v>
      </c>
      <c r="F25" s="2">
        <f t="shared" si="52"/>
        <v>9.8221894314484887E-2</v>
      </c>
      <c r="G25" s="3">
        <f t="shared" si="53"/>
        <v>136.62991998488488</v>
      </c>
      <c r="H25" s="2">
        <f t="shared" si="54"/>
        <v>6.3844231304415175E-2</v>
      </c>
      <c r="I25" s="3">
        <f t="shared" si="55"/>
        <v>88.809447990175173</v>
      </c>
      <c r="J25" s="2">
        <f t="shared" si="56"/>
        <v>3.4377663010069712E-2</v>
      </c>
      <c r="K25" s="3">
        <f t="shared" si="57"/>
        <v>47.820471994709713</v>
      </c>
      <c r="L25" t="s">
        <v>53</v>
      </c>
      <c r="M25">
        <v>70</v>
      </c>
      <c r="N25">
        <v>54</v>
      </c>
      <c r="O25">
        <v>43</v>
      </c>
      <c r="P25">
        <v>60</v>
      </c>
      <c r="Q25" s="2">
        <f t="shared" si="58"/>
        <v>8.5105744985747481E-2</v>
      </c>
      <c r="R25" s="3">
        <f t="shared" si="59"/>
        <v>123.58655159907406</v>
      </c>
      <c r="S25" s="2">
        <f t="shared" si="60"/>
        <v>3.4042297994298996E-2</v>
      </c>
      <c r="T25" s="3">
        <f t="shared" si="61"/>
        <v>49.434620639629628</v>
      </c>
      <c r="U25" s="2">
        <f t="shared" si="62"/>
        <v>5.1063446991448484E-2</v>
      </c>
      <c r="V25" s="3">
        <f t="shared" si="63"/>
        <v>74.151930959444428</v>
      </c>
      <c r="W25" t="s">
        <v>53</v>
      </c>
      <c r="X25">
        <v>56</v>
      </c>
      <c r="Y25">
        <v>57</v>
      </c>
      <c r="Z25">
        <v>43</v>
      </c>
      <c r="AA25">
        <v>35</v>
      </c>
      <c r="AB25" s="2">
        <f t="shared" si="64"/>
        <v>7.1867073543520107E-2</v>
      </c>
      <c r="AC25" s="3">
        <f t="shared" si="65"/>
        <v>109.79206977989548</v>
      </c>
      <c r="AD25" s="2"/>
      <c r="AE25" s="3"/>
      <c r="AF25" s="2"/>
      <c r="AG25" s="3"/>
      <c r="AH25" t="s">
        <v>53</v>
      </c>
      <c r="AI25">
        <v>73</v>
      </c>
      <c r="AJ25">
        <v>60</v>
      </c>
      <c r="AK25">
        <v>41</v>
      </c>
      <c r="AL25">
        <v>30</v>
      </c>
      <c r="AM25" s="2">
        <f t="shared" si="66"/>
        <v>9.4027868121942484E-2</v>
      </c>
      <c r="AN25" s="3">
        <f t="shared" si="67"/>
        <v>132.51944631625685</v>
      </c>
      <c r="AO25" s="2"/>
      <c r="AP25" s="3"/>
      <c r="AQ25" s="2"/>
      <c r="AR25" s="3"/>
      <c r="AS25" t="s">
        <v>53</v>
      </c>
      <c r="AT25">
        <v>78</v>
      </c>
      <c r="AU25">
        <v>77</v>
      </c>
      <c r="AV25">
        <v>47</v>
      </c>
      <c r="AW25">
        <v>35</v>
      </c>
      <c r="AX25" s="2">
        <f t="shared" si="68"/>
        <v>0.14780250957343899</v>
      </c>
      <c r="AY25" s="3">
        <f t="shared" si="69"/>
        <v>181.87678374919389</v>
      </c>
      <c r="AZ25" s="2">
        <f t="shared" si="70"/>
        <v>9.6071631222735349E-2</v>
      </c>
      <c r="BA25" s="3">
        <f t="shared" si="71"/>
        <v>118.21990943697604</v>
      </c>
      <c r="BB25" s="2">
        <f t="shared" si="72"/>
        <v>5.1730878350703655E-2</v>
      </c>
      <c r="BC25" s="3">
        <f t="shared" si="73"/>
        <v>63.656874312217866</v>
      </c>
      <c r="BD25" t="s">
        <v>53</v>
      </c>
      <c r="BE25">
        <v>68</v>
      </c>
      <c r="BF25">
        <v>46</v>
      </c>
      <c r="BG25">
        <v>39</v>
      </c>
      <c r="BH25">
        <v>5</v>
      </c>
      <c r="BI25" s="2">
        <f t="shared" si="74"/>
        <v>6.3874861832787663E-2</v>
      </c>
      <c r="BJ25" s="3">
        <f t="shared" si="75"/>
        <v>101.09530378013086</v>
      </c>
      <c r="BK25" s="2">
        <f t="shared" si="76"/>
        <v>6.0681118741148274E-2</v>
      </c>
      <c r="BL25" s="3">
        <f t="shared" si="77"/>
        <v>96.040538591124317</v>
      </c>
      <c r="BM25" s="2">
        <f t="shared" si="78"/>
        <v>3.1937430916393833E-3</v>
      </c>
      <c r="BN25" s="3">
        <f t="shared" si="79"/>
        <v>5.0547651890065435</v>
      </c>
      <c r="BO25" t="s">
        <v>53</v>
      </c>
      <c r="BP25">
        <v>68</v>
      </c>
      <c r="BQ25">
        <v>46</v>
      </c>
      <c r="BR25">
        <v>39</v>
      </c>
      <c r="BS25">
        <v>5</v>
      </c>
      <c r="BT25" s="2">
        <f t="shared" si="87"/>
        <v>6.3874861832787663E-2</v>
      </c>
      <c r="BU25" s="3">
        <f t="shared" si="80"/>
        <v>101.09530378013086</v>
      </c>
      <c r="BV25" s="2"/>
      <c r="BW25" t="s">
        <v>53</v>
      </c>
      <c r="BX25" s="4">
        <v>67</v>
      </c>
      <c r="BY25" s="4">
        <v>58</v>
      </c>
      <c r="BZ25">
        <v>42</v>
      </c>
      <c r="CA25">
        <v>20</v>
      </c>
      <c r="CB25" s="2">
        <f t="shared" si="81"/>
        <v>8.5457603362949552E-2</v>
      </c>
      <c r="CC25" s="3">
        <f t="shared" si="82"/>
        <v>123.94399669274921</v>
      </c>
      <c r="CD25" s="2">
        <f t="shared" si="83"/>
        <v>6.8366082690359639E-2</v>
      </c>
      <c r="CE25" s="3">
        <f t="shared" si="84"/>
        <v>99.155197354199373</v>
      </c>
      <c r="CF25" s="2">
        <f t="shared" si="85"/>
        <v>1.709152067258991E-2</v>
      </c>
      <c r="CG25" s="3">
        <f t="shared" si="86"/>
        <v>24.788799338549843</v>
      </c>
    </row>
    <row r="26" spans="1:85">
      <c r="A26" t="s">
        <v>54</v>
      </c>
      <c r="B26">
        <v>94</v>
      </c>
      <c r="C26">
        <v>76</v>
      </c>
      <c r="D26">
        <v>44</v>
      </c>
      <c r="E26">
        <v>55</v>
      </c>
      <c r="F26" s="2">
        <f t="shared" si="52"/>
        <v>0.16458594472646684</v>
      </c>
      <c r="G26" s="3">
        <f t="shared" si="53"/>
        <v>196.09879331921766</v>
      </c>
      <c r="H26" s="2">
        <f t="shared" si="54"/>
        <v>7.4063675126910075E-2</v>
      </c>
      <c r="I26" s="3">
        <f t="shared" si="55"/>
        <v>88.244456993647944</v>
      </c>
      <c r="J26" s="2">
        <f t="shared" si="56"/>
        <v>9.0522269599556768E-2</v>
      </c>
      <c r="K26" s="3">
        <f t="shared" si="57"/>
        <v>107.85433632556972</v>
      </c>
      <c r="L26" t="s">
        <v>54</v>
      </c>
      <c r="M26">
        <v>90</v>
      </c>
      <c r="N26">
        <v>69</v>
      </c>
      <c r="O26">
        <v>40</v>
      </c>
      <c r="P26">
        <v>65</v>
      </c>
      <c r="Q26" s="2">
        <f t="shared" si="58"/>
        <v>0.13006193585861742</v>
      </c>
      <c r="R26" s="3">
        <f t="shared" si="59"/>
        <v>166.30493991278905</v>
      </c>
      <c r="S26" s="2">
        <f t="shared" si="60"/>
        <v>4.5521677550516094E-2</v>
      </c>
      <c r="T26" s="3">
        <f t="shared" si="61"/>
        <v>58.206728969476167</v>
      </c>
      <c r="U26" s="2">
        <f t="shared" si="62"/>
        <v>8.4540258308101329E-2</v>
      </c>
      <c r="V26" s="3">
        <f t="shared" si="63"/>
        <v>108.09821094331289</v>
      </c>
      <c r="W26" t="s">
        <v>54</v>
      </c>
      <c r="X26">
        <v>93</v>
      </c>
      <c r="Y26">
        <v>53</v>
      </c>
      <c r="Z26">
        <v>40</v>
      </c>
      <c r="AA26">
        <v>60</v>
      </c>
      <c r="AB26" s="2">
        <f t="shared" si="64"/>
        <v>0.1032327345969606</v>
      </c>
      <c r="AC26" s="3">
        <f t="shared" si="65"/>
        <v>141.47255671968972</v>
      </c>
      <c r="AD26" s="2"/>
      <c r="AE26" s="3"/>
      <c r="AF26" s="2"/>
      <c r="AG26" s="3"/>
      <c r="AH26" t="s">
        <v>54</v>
      </c>
      <c r="AI26">
        <v>89</v>
      </c>
      <c r="AJ26">
        <v>62</v>
      </c>
      <c r="AK26">
        <v>39</v>
      </c>
      <c r="AL26">
        <v>40</v>
      </c>
      <c r="AM26" s="2">
        <f t="shared" si="66"/>
        <v>0.11267950370630508</v>
      </c>
      <c r="AN26" s="3">
        <f t="shared" si="67"/>
        <v>150.41510383236249</v>
      </c>
      <c r="AO26" s="2"/>
      <c r="AP26" s="3"/>
      <c r="AQ26" s="2"/>
      <c r="AR26" s="3"/>
      <c r="AS26" t="s">
        <v>54</v>
      </c>
      <c r="AT26">
        <v>95</v>
      </c>
      <c r="AU26">
        <v>85</v>
      </c>
      <c r="AV26">
        <v>41</v>
      </c>
      <c r="AW26">
        <v>30</v>
      </c>
      <c r="AX26" s="2">
        <f t="shared" si="68"/>
        <v>0.17335046463120676</v>
      </c>
      <c r="AY26" s="3">
        <f t="shared" si="69"/>
        <v>203.35155934653102</v>
      </c>
      <c r="AZ26" s="2">
        <f t="shared" si="70"/>
        <v>0.12134532524184473</v>
      </c>
      <c r="BA26" s="3">
        <f t="shared" si="71"/>
        <v>142.34609154257171</v>
      </c>
      <c r="BB26" s="2">
        <f t="shared" si="72"/>
        <v>5.2005139389362028E-2</v>
      </c>
      <c r="BC26" s="3">
        <f t="shared" si="73"/>
        <v>61.005467803959306</v>
      </c>
      <c r="BD26" t="s">
        <v>54</v>
      </c>
      <c r="BE26">
        <v>98</v>
      </c>
      <c r="BF26">
        <v>57</v>
      </c>
      <c r="BG26">
        <v>41</v>
      </c>
      <c r="BH26">
        <v>15</v>
      </c>
      <c r="BI26" s="2">
        <f t="shared" si="74"/>
        <v>0.11991773318017598</v>
      </c>
      <c r="BJ26" s="3">
        <f t="shared" si="75"/>
        <v>157.11526681502909</v>
      </c>
      <c r="BK26" s="2">
        <f t="shared" si="76"/>
        <v>0.10193007320314959</v>
      </c>
      <c r="BL26" s="3">
        <f t="shared" si="77"/>
        <v>133.54797679277473</v>
      </c>
      <c r="BM26" s="2">
        <f t="shared" si="78"/>
        <v>1.7987659977026397E-2</v>
      </c>
      <c r="BN26" s="3">
        <f t="shared" si="79"/>
        <v>23.567290022254362</v>
      </c>
      <c r="BO26" t="s">
        <v>54</v>
      </c>
      <c r="BP26">
        <v>89</v>
      </c>
      <c r="BQ26">
        <v>49</v>
      </c>
      <c r="BR26">
        <v>41</v>
      </c>
      <c r="BS26">
        <v>15</v>
      </c>
      <c r="BT26" s="2">
        <f t="shared" si="87"/>
        <v>9.3619984675751416E-2</v>
      </c>
      <c r="BU26" s="3">
        <f t="shared" si="80"/>
        <v>132.11678475575781</v>
      </c>
      <c r="BV26" s="2"/>
      <c r="BW26" t="s">
        <v>54</v>
      </c>
      <c r="BX26" s="4">
        <v>88</v>
      </c>
      <c r="BY26" s="4">
        <v>52</v>
      </c>
      <c r="BZ26">
        <v>37</v>
      </c>
      <c r="CA26">
        <v>25</v>
      </c>
      <c r="CB26" s="2">
        <f t="shared" si="81"/>
        <v>8.8651555894099177E-2</v>
      </c>
      <c r="CC26" s="3">
        <f t="shared" si="82"/>
        <v>127.16876495843606</v>
      </c>
      <c r="CD26" s="2">
        <f t="shared" si="83"/>
        <v>6.6488666920574382E-2</v>
      </c>
      <c r="CE26" s="3">
        <f t="shared" si="84"/>
        <v>95.376573718827046</v>
      </c>
      <c r="CF26" s="2">
        <f t="shared" si="85"/>
        <v>2.2162888973524794E-2</v>
      </c>
      <c r="CG26" s="3">
        <f t="shared" si="86"/>
        <v>31.792191239609014</v>
      </c>
    </row>
    <row r="27" spans="1:85" ht="23">
      <c r="A27" t="s">
        <v>42</v>
      </c>
      <c r="B27" s="5">
        <v>62.7</v>
      </c>
      <c r="C27" s="5">
        <v>53.4</v>
      </c>
      <c r="D27" s="5">
        <v>32.9</v>
      </c>
      <c r="E27" s="6">
        <v>59</v>
      </c>
      <c r="F27" s="7">
        <f t="shared" ref="F27:K27" si="88">AVERAGE(F17,F18,F19,F20,F21,F22,F23,F24,F25,F26)</f>
        <v>6.6587522369407334E-2</v>
      </c>
      <c r="G27" s="8">
        <f t="shared" si="88"/>
        <v>99.320511210727688</v>
      </c>
      <c r="H27" s="7">
        <f t="shared" si="88"/>
        <v>2.7785138164260519E-2</v>
      </c>
      <c r="I27" s="8">
        <f t="shared" si="88"/>
        <v>40.905426162645654</v>
      </c>
      <c r="J27" s="7">
        <f t="shared" si="88"/>
        <v>3.8802384205146818E-2</v>
      </c>
      <c r="K27" s="8">
        <f t="shared" si="88"/>
        <v>58.415085048082041</v>
      </c>
      <c r="L27" t="s">
        <v>42</v>
      </c>
      <c r="M27" s="5">
        <v>61.4</v>
      </c>
      <c r="N27" s="5">
        <v>47.8</v>
      </c>
      <c r="O27" s="5">
        <v>32.9</v>
      </c>
      <c r="P27" s="6">
        <v>57.5</v>
      </c>
      <c r="Q27" s="7">
        <f t="shared" ref="Q27:V27" si="89">AVERAGE(Q17,Q18,Q19,Q20,Q21,Q22,Q23,Q24,Q25,Q26)</f>
        <v>5.8202087978200576E-2</v>
      </c>
      <c r="R27" s="8">
        <f t="shared" si="89"/>
        <v>90.590981012232575</v>
      </c>
      <c r="S27" s="7">
        <f t="shared" si="89"/>
        <v>2.2448239834250351E-2</v>
      </c>
      <c r="T27" s="8">
        <f t="shared" si="89"/>
        <v>35.669291198718888</v>
      </c>
      <c r="U27" s="7">
        <f t="shared" si="89"/>
        <v>3.5753848143950231E-2</v>
      </c>
      <c r="V27" s="8">
        <f t="shared" si="89"/>
        <v>54.921689813513694</v>
      </c>
      <c r="W27" t="s">
        <v>42</v>
      </c>
      <c r="X27" s="9">
        <f>AVERAGE(X17,X18,X19,X20,X21,X22,X23,X24,X25,X26)</f>
        <v>46.5</v>
      </c>
      <c r="Y27" s="9">
        <f>AVERAGE(Y17:Y26)</f>
        <v>36</v>
      </c>
      <c r="Z27" s="9">
        <f>AVERAGE(Z17:Z26)</f>
        <v>34.200000000000003</v>
      </c>
      <c r="AA27" s="8">
        <f>AVERAGE(AA17:AA26)</f>
        <v>49</v>
      </c>
      <c r="AB27" s="7">
        <f>AVERAGE(AB17,AB18,AB19,AB20,AB21,AB22,AB23,AB24,AB25,AB26)</f>
        <v>4.3948943908251492E-2</v>
      </c>
      <c r="AC27" s="8">
        <f>AVERAGE(AC17,AC18,AC19,AC20,AC21,AC22,AC23,AC24,AC25,AC26)</f>
        <v>69.784941506668687</v>
      </c>
      <c r="AH27" t="s">
        <v>42</v>
      </c>
      <c r="AI27" s="9">
        <f>AVERAGE(AI17:AI26)</f>
        <v>54.4</v>
      </c>
      <c r="AJ27" s="9">
        <f>AVERAGE(AJ17:AJ26)</f>
        <v>39.5</v>
      </c>
      <c r="AK27" s="9">
        <f>AVERAGE(AK17:AK26)</f>
        <v>32.299999999999997</v>
      </c>
      <c r="AL27" s="8">
        <f>AVERAGE(AL17:AL26)</f>
        <v>45.5</v>
      </c>
      <c r="AM27" s="7">
        <f>AVERAGE(AM17,AM18,AM19,AM20,AM21,AM22,AM23,AM24,AM25,AM26)</f>
        <v>4.8911141864474122E-2</v>
      </c>
      <c r="AN27" s="8">
        <f>AVERAGE(AN17,AN18,AN19,AN20,AN21,AN22,AN23,AN24,AN25,AN26)</f>
        <v>77.220686809666816</v>
      </c>
      <c r="AS27" t="s">
        <v>42</v>
      </c>
      <c r="AT27" s="9">
        <f>AVERAGE(AT17:AT26)</f>
        <v>67.400000000000006</v>
      </c>
      <c r="AU27" s="9">
        <f>AVERAGE(AU17:AU26)</f>
        <v>57.7</v>
      </c>
      <c r="AV27" s="9">
        <f>AVERAGE(AV17:AV26)</f>
        <v>37.6</v>
      </c>
      <c r="AW27" s="8">
        <f>AVERAGE(AW17:AW26)</f>
        <v>47</v>
      </c>
      <c r="AX27" s="7">
        <f t="shared" ref="AX27:BC27" si="90">AVERAGE(AX17,AX18,AX19,AX20,AX21,AX22,AX23,AX24,AX25,AX26)</f>
        <v>8.8715225505211909E-2</v>
      </c>
      <c r="AY27" s="8">
        <f t="shared" si="90"/>
        <v>121.34965752997998</v>
      </c>
      <c r="AZ27" s="7">
        <f t="shared" si="90"/>
        <v>5.5210888600925892E-2</v>
      </c>
      <c r="BA27" s="8">
        <f t="shared" si="90"/>
        <v>72.518119937149564</v>
      </c>
      <c r="BB27" s="7">
        <f t="shared" si="90"/>
        <v>3.3504336904286038E-2</v>
      </c>
      <c r="BC27" s="8">
        <f t="shared" si="90"/>
        <v>48.831537592830429</v>
      </c>
      <c r="BD27" t="s">
        <v>42</v>
      </c>
      <c r="BE27" s="9">
        <f>AVERAGE(BE17:BE26)</f>
        <v>65.5</v>
      </c>
      <c r="BF27" s="9">
        <f>AVERAGE(BF17:BF26)</f>
        <v>48.7</v>
      </c>
      <c r="BG27" s="9">
        <f>AVERAGE(BG17:BG26)</f>
        <v>32.799999999999997</v>
      </c>
      <c r="BH27" s="8">
        <f>AVERAGE(BH17:BH26)</f>
        <v>39.5</v>
      </c>
      <c r="BI27" s="7">
        <f t="shared" ref="BI27:BN27" si="91">AVERAGE(BI17,BI18,BI19,BI20,BI21,BI22,BI23,BI24,BI25,BI26)</f>
        <v>6.2003624528554471E-2</v>
      </c>
      <c r="BJ27" s="8">
        <f t="shared" si="91"/>
        <v>95.01456260484683</v>
      </c>
      <c r="BK27" s="7">
        <f t="shared" si="91"/>
        <v>4.45561666443006E-2</v>
      </c>
      <c r="BL27" s="8">
        <f t="shared" si="91"/>
        <v>65.501441689644466</v>
      </c>
      <c r="BM27" s="7">
        <f t="shared" si="91"/>
        <v>1.7447457884253878E-2</v>
      </c>
      <c r="BN27" s="8">
        <f t="shared" si="91"/>
        <v>29.513120915202375</v>
      </c>
      <c r="BO27" t="s">
        <v>42</v>
      </c>
      <c r="BP27" s="9">
        <f>AVERAGE(BP17:BP26)</f>
        <v>56.555555555555557</v>
      </c>
      <c r="BQ27" s="9">
        <f>AVERAGE(BQ17:BQ26)</f>
        <v>41.666666666666664</v>
      </c>
      <c r="BR27" s="9">
        <f>AVERAGE(BR17:BR26)</f>
        <v>31.333333333333332</v>
      </c>
      <c r="BS27" s="8">
        <f>AVERAGE(BS17:BS26)</f>
        <v>32.777777777777779</v>
      </c>
      <c r="BT27" s="7">
        <f>AVERAGE(BT18,BT19,BT20,BT21,BT22,BT23,BT24,BT25,BT26)</f>
        <v>5.1818418248219505E-2</v>
      </c>
      <c r="BU27" s="8">
        <f>AVERAGE(BU18,BU19,BU20,BU21,BU22,BU23,BU24,BU25,BU26)</f>
        <v>80.306467900979271</v>
      </c>
      <c r="BW27" t="s">
        <v>42</v>
      </c>
      <c r="BX27" s="9">
        <f>AVERAGE(BX17:BX26)</f>
        <v>61</v>
      </c>
      <c r="BY27" s="9">
        <f>AVERAGE(BY17:BY26)</f>
        <v>46</v>
      </c>
      <c r="BZ27" s="9">
        <f>AVERAGE(BZ17:BZ26)</f>
        <v>34.700000000000003</v>
      </c>
      <c r="CA27" s="8">
        <f>AVERAGE(CA17:CA26)</f>
        <v>52</v>
      </c>
      <c r="CB27" s="7">
        <f t="shared" ref="CB27:CG27" si="92">AVERAGE(CB17,CB18,CB19,CB20,CB21,CB22,CB23,CB24,CB25,CB26)</f>
        <v>5.8112290788185472E-2</v>
      </c>
      <c r="CC27" s="8">
        <f t="shared" si="92"/>
        <v>90.803661344822856</v>
      </c>
      <c r="CD27" s="7">
        <f t="shared" si="92"/>
        <v>3.4231670581463508E-2</v>
      </c>
      <c r="CE27" s="8">
        <f t="shared" si="92"/>
        <v>51.284447983299266</v>
      </c>
      <c r="CF27" s="7">
        <f t="shared" si="92"/>
        <v>2.3880620206721957E-2</v>
      </c>
      <c r="CG27" s="8">
        <f t="shared" si="92"/>
        <v>39.519213361523576</v>
      </c>
    </row>
    <row r="28" spans="1:85" ht="18">
      <c r="A28" t="s">
        <v>43</v>
      </c>
      <c r="B28" s="9">
        <v>17.559999999999999</v>
      </c>
      <c r="C28" s="9">
        <v>15.26</v>
      </c>
      <c r="D28" s="9">
        <v>7.22</v>
      </c>
      <c r="E28" s="9">
        <v>20.66</v>
      </c>
      <c r="F28" s="7">
        <f t="shared" ref="F28:K28" si="93">STDEV(F17,F18,F19,F20,F21,F22,F23,F24,F25,F26)</f>
        <v>4.6221091857280676E-2</v>
      </c>
      <c r="G28" s="9">
        <f t="shared" si="93"/>
        <v>49.952133574881344</v>
      </c>
      <c r="H28" s="7">
        <f t="shared" si="93"/>
        <v>2.5122782799923717E-2</v>
      </c>
      <c r="I28" s="9">
        <f t="shared" si="93"/>
        <v>30.126761270246867</v>
      </c>
      <c r="J28" s="7">
        <f t="shared" si="93"/>
        <v>2.6135222520681942E-2</v>
      </c>
      <c r="K28" s="9">
        <f t="shared" si="93"/>
        <v>31.079847069528711</v>
      </c>
      <c r="L28" t="s">
        <v>43</v>
      </c>
      <c r="M28" s="9">
        <v>16.989999999999998</v>
      </c>
      <c r="N28" s="9">
        <v>14.33</v>
      </c>
      <c r="O28" s="9">
        <v>6.89</v>
      </c>
      <c r="P28" s="9">
        <v>22.27</v>
      </c>
      <c r="Q28" s="7">
        <f t="shared" ref="Q28:V28" si="94">STDEV(Q17,Q18,Q19,Q20,Q21,Q22,Q23,Q24,Q25,Q26)</f>
        <v>3.7711794919198238E-2</v>
      </c>
      <c r="R28" s="9">
        <f t="shared" si="94"/>
        <v>43.84378784300651</v>
      </c>
      <c r="S28" s="7">
        <f t="shared" si="94"/>
        <v>1.6373852084586325E-2</v>
      </c>
      <c r="T28" s="9">
        <f t="shared" si="94"/>
        <v>21.289368877497612</v>
      </c>
      <c r="U28" s="7">
        <f t="shared" si="94"/>
        <v>2.6916382761397132E-2</v>
      </c>
      <c r="V28" s="9">
        <f t="shared" si="94"/>
        <v>34.555224793243227</v>
      </c>
      <c r="W28" t="s">
        <v>43</v>
      </c>
      <c r="X28" s="9">
        <f>STDEV(X17,X18,X19,X20,X21,X22,X23,X24,X25,X26)</f>
        <v>29.3759160613664</v>
      </c>
      <c r="Y28" s="9">
        <f>STDEV(Y17:Y26)</f>
        <v>20.292308340299233</v>
      </c>
      <c r="Z28" s="9">
        <f>STDEV(Z17:Z26)</f>
        <v>9.1018923551338755</v>
      </c>
      <c r="AA28" s="9">
        <f>STDEV(AA17:AA26)</f>
        <v>26.119384032212977</v>
      </c>
      <c r="AB28" s="7">
        <f>STDEV(AB17,AB18,AB19,AB20,AB21,AB22,AB23,AB24,AB25,AB26)</f>
        <v>3.8295514095630645E-2</v>
      </c>
      <c r="AC28" s="9">
        <f>STDEV(AC17,AC18,AC19,AC20,AC21,AC22,AC23,AC24,AC25,AC26)</f>
        <v>52.084925593518051</v>
      </c>
      <c r="AH28" t="s">
        <v>43</v>
      </c>
      <c r="AI28" s="9">
        <f>STDEV(AI17:AI26)</f>
        <v>25.51339517456141</v>
      </c>
      <c r="AJ28" s="9">
        <f>STDEV(AJ17:AJ26)</f>
        <v>17.68395380626805</v>
      </c>
      <c r="AK28" s="9">
        <f>STDEV(AK17:AK26)</f>
        <v>10.667187487284965</v>
      </c>
      <c r="AL28" s="9">
        <f>STDEV(AL17:AL26)</f>
        <v>22.662989897873384</v>
      </c>
      <c r="AM28" s="7">
        <f>STDEV(AM17,AM18,AM19,AM20,AM21,AM22,AM23,AM24,AM25,AM26)</f>
        <v>4.0537796575481955E-2</v>
      </c>
      <c r="AN28" s="9">
        <f>STDEV(AN17,AN18,AN19,AN20,AN21,AN22,AN23,AN24,AN25,AN26)</f>
        <v>50.702227176254311</v>
      </c>
      <c r="AS28" t="s">
        <v>43</v>
      </c>
      <c r="AT28" s="9">
        <f>STDEV(AT17:AT26)</f>
        <v>19.033304144752872</v>
      </c>
      <c r="AU28" s="9">
        <f>STDEV(AU17:AU26)</f>
        <v>17.120812545618914</v>
      </c>
      <c r="AV28" s="9">
        <f>STDEV(AV17:AV26)</f>
        <v>8.2489056513239625</v>
      </c>
      <c r="AW28" s="9">
        <f>STDEV(AW17:AW26)</f>
        <v>25.516878945339517</v>
      </c>
      <c r="AX28" s="7">
        <f t="shared" ref="AX28:BC28" si="95">STDEV(AX17,AX18,AX19,AX20,AX21,AX22,AX23,AX24,AX25,AX26)</f>
        <v>6.0125031946945004E-2</v>
      </c>
      <c r="AY28" s="9">
        <f t="shared" si="95"/>
        <v>60.980094881829793</v>
      </c>
      <c r="AZ28" s="7">
        <f t="shared" si="95"/>
        <v>5.059776793256434E-2</v>
      </c>
      <c r="BA28" s="9">
        <f t="shared" si="95"/>
        <v>57.233832644257461</v>
      </c>
      <c r="BB28" s="7">
        <f t="shared" si="95"/>
        <v>1.7357328719937764E-2</v>
      </c>
      <c r="BC28" s="9">
        <f t="shared" si="95"/>
        <v>21.716640143116553</v>
      </c>
      <c r="BD28" t="s">
        <v>43</v>
      </c>
      <c r="BE28" s="9">
        <f>STDEV(BE17:BE26)</f>
        <v>17.908719167551382</v>
      </c>
      <c r="BF28" s="9">
        <f>STDEV(BF17:BF26)</f>
        <v>11.842015594202415</v>
      </c>
      <c r="BG28" s="9">
        <f>STDEV(BG17:BG26)</f>
        <v>8.5348956903083764</v>
      </c>
      <c r="BH28" s="9">
        <f>STDEV(BH17:BH26)</f>
        <v>33.203915431767982</v>
      </c>
      <c r="BI28" s="7">
        <f t="shared" ref="BI28:BN28" si="96">STDEV(BI17,BI18,BI19,BI20,BI21,BI22,BI23,BI24,BI25,BI26)</f>
        <v>3.97342866877919E-2</v>
      </c>
      <c r="BJ28" s="9">
        <f t="shared" si="96"/>
        <v>44.475179146141379</v>
      </c>
      <c r="BK28" s="7">
        <f t="shared" si="96"/>
        <v>4.1522105339227997E-2</v>
      </c>
      <c r="BL28" s="9">
        <f t="shared" si="96"/>
        <v>53.202260829355083</v>
      </c>
      <c r="BM28" s="7">
        <f t="shared" si="96"/>
        <v>1.5011471226652511E-2</v>
      </c>
      <c r="BN28" s="9">
        <f t="shared" si="96"/>
        <v>24.546450663874879</v>
      </c>
      <c r="BO28" t="s">
        <v>43</v>
      </c>
      <c r="BP28" s="9">
        <f>STDEV(BP17:BP26)</f>
        <v>24.875244275740847</v>
      </c>
      <c r="BQ28" s="9">
        <f>STDEV(BQ17:BQ26)</f>
        <v>17.095320997278758</v>
      </c>
      <c r="BR28" s="9">
        <f>STDEV(BR17:BR26)</f>
        <v>10.344080432788601</v>
      </c>
      <c r="BS28" s="9">
        <f>STDEV(BS17:BS26)</f>
        <v>27.054471801246542</v>
      </c>
      <c r="BT28" s="7">
        <f>STDEV(BT17,BT18,BT19,BT20,BT21,BT22,BT23,BT24,BT25,BT26)</f>
        <v>4.2852260818314239E-2</v>
      </c>
      <c r="BU28" s="9">
        <f>STDEV(BU18,BU19,BU20,BU21,BU22,BU23,BU24,BU25,BU26)</f>
        <v>53.362811851531035</v>
      </c>
      <c r="BW28" t="s">
        <v>43</v>
      </c>
      <c r="BX28" s="9">
        <f>STDEV(BX17:BX26)</f>
        <v>17.211107524567449</v>
      </c>
      <c r="BY28" s="9">
        <f>STDEV(BY17:BY26)</f>
        <v>13.19090595827292</v>
      </c>
      <c r="BZ28" s="9">
        <f>STDEV(BZ17:BZ26)</f>
        <v>8.0835910611834194</v>
      </c>
      <c r="CA28" s="9">
        <f>STDEV(CA17:CA26)</f>
        <v>32.591750830880841</v>
      </c>
      <c r="CB28" s="7">
        <f t="shared" ref="CB28:CG28" si="97">STDEV(CB17,CB18,CB19,CB20,CB21,CB22,CB23,CB24,CB25,CB26)</f>
        <v>3.4132047977213809E-2</v>
      </c>
      <c r="CC28" s="9">
        <f t="shared" si="97"/>
        <v>41.426725086918424</v>
      </c>
      <c r="CD28" s="7">
        <f t="shared" si="97"/>
        <v>3.0895572641129781E-2</v>
      </c>
      <c r="CE28" s="9">
        <f t="shared" si="97"/>
        <v>42.969576411472062</v>
      </c>
      <c r="CF28" s="7">
        <f t="shared" si="97"/>
        <v>1.6099250648882873E-2</v>
      </c>
      <c r="CG28" s="9">
        <f t="shared" si="97"/>
        <v>23.83602044772822</v>
      </c>
    </row>
    <row r="29" spans="1:85" ht="18">
      <c r="A29" t="s">
        <v>44</v>
      </c>
      <c r="B29" s="9">
        <v>10.89</v>
      </c>
      <c r="C29" s="9">
        <v>9.4600000000000009</v>
      </c>
      <c r="D29" s="9">
        <v>4.47</v>
      </c>
      <c r="E29" s="9">
        <v>12.8</v>
      </c>
      <c r="F29" s="7">
        <f t="shared" ref="F29:K29" si="98">CONFIDENCE(0.05,F28,10)</f>
        <v>2.8647603120835377E-2</v>
      </c>
      <c r="G29" s="9">
        <f t="shared" si="98"/>
        <v>30.960084242725348</v>
      </c>
      <c r="H29" s="7">
        <f t="shared" si="98"/>
        <v>1.55709759770592E-2</v>
      </c>
      <c r="I29" s="9">
        <f t="shared" si="98"/>
        <v>18.672416974724467</v>
      </c>
      <c r="J29" s="7">
        <f t="shared" si="98"/>
        <v>1.6198481086492966E-2</v>
      </c>
      <c r="K29" s="9">
        <f t="shared" si="98"/>
        <v>19.263134818479376</v>
      </c>
      <c r="L29" t="s">
        <v>44</v>
      </c>
      <c r="M29" s="9">
        <v>10.53</v>
      </c>
      <c r="N29" s="9">
        <v>8.8800000000000008</v>
      </c>
      <c r="O29" s="9">
        <v>4.2699999999999996</v>
      </c>
      <c r="P29" s="9">
        <v>13.8</v>
      </c>
      <c r="Q29" s="7">
        <f t="shared" ref="Q29:V29" si="99">CONFIDENCE(0.05,Q28,10)</f>
        <v>2.3373583150207468E-2</v>
      </c>
      <c r="R29" s="9">
        <f t="shared" si="99"/>
        <v>27.174161902510555</v>
      </c>
      <c r="S29" s="7">
        <f t="shared" si="99"/>
        <v>1.0148432181716292E-2</v>
      </c>
      <c r="T29" s="9">
        <f t="shared" si="99"/>
        <v>13.195045071172357</v>
      </c>
      <c r="U29" s="7">
        <f t="shared" si="99"/>
        <v>1.6682640323122076E-2</v>
      </c>
      <c r="V29" s="9">
        <f t="shared" si="99"/>
        <v>21.417156667019565</v>
      </c>
      <c r="W29" t="s">
        <v>44</v>
      </c>
      <c r="X29" s="9">
        <f t="shared" ref="X29:AC29" si="100">CONFIDENCE(0.05,X28,10)</f>
        <v>18.207046844230671</v>
      </c>
      <c r="Y29" s="9">
        <f t="shared" si="100"/>
        <v>12.577071903309884</v>
      </c>
      <c r="Z29" s="9">
        <f t="shared" si="100"/>
        <v>5.6413076662828407</v>
      </c>
      <c r="AA29" s="9">
        <f t="shared" si="100"/>
        <v>16.188664470020687</v>
      </c>
      <c r="AB29" s="7">
        <f t="shared" si="100"/>
        <v>2.3735369396021184E-2</v>
      </c>
      <c r="AC29" s="9">
        <f t="shared" si="100"/>
        <v>32.281978140815198</v>
      </c>
      <c r="AH29" t="s">
        <v>44</v>
      </c>
      <c r="AI29" s="9">
        <f>CONFIDENCE(0.05,AI28,7)</f>
        <v>18.900240342452044</v>
      </c>
      <c r="AJ29" s="9">
        <f>CONFIDENCE(0.05,AJ28,7)</f>
        <v>13.100215587008064</v>
      </c>
      <c r="AK29" s="9">
        <f>CONFIDENCE(0.05,AK28,7)</f>
        <v>7.9022178705836925</v>
      </c>
      <c r="AL29" s="9">
        <f>CONFIDENCE(0.05,AL28,7)</f>
        <v>16.788669364375686</v>
      </c>
      <c r="AM29" s="7">
        <f>CONFIDENCE(0.05,AM28,10)</f>
        <v>2.5125124938056576E-2</v>
      </c>
      <c r="AN29" s="9">
        <f>CONFIDENCE(0.05,AN28,10)</f>
        <v>31.424988530619753</v>
      </c>
      <c r="AS29" t="s">
        <v>44</v>
      </c>
      <c r="AT29" s="9">
        <f>CONFIDENCE(0.05,AT28,7)</f>
        <v>14.099809938486633</v>
      </c>
      <c r="AU29" s="9">
        <f>CONFIDENCE(0.05,AU28,7)</f>
        <v>12.683042368775142</v>
      </c>
      <c r="AV29" s="9">
        <f>CONFIDENCE(0.05,AV28,7)</f>
        <v>6.1107625349558718</v>
      </c>
      <c r="AW29" s="9">
        <f>CONFIDENCE(0.05,AW28,7)</f>
        <v>18.902821108538003</v>
      </c>
      <c r="AX29" s="7">
        <f t="shared" ref="AX29:BC29" si="101">CONFIDENCE(0.05,AX28,10)</f>
        <v>3.7265196117869569E-2</v>
      </c>
      <c r="AY29" s="9">
        <f t="shared" si="101"/>
        <v>37.795159877218914</v>
      </c>
      <c r="AZ29" s="7">
        <f t="shared" si="101"/>
        <v>3.1360245210302416E-2</v>
      </c>
      <c r="BA29" s="9">
        <f t="shared" si="101"/>
        <v>35.473245152661413</v>
      </c>
      <c r="BB29" s="7">
        <f t="shared" si="101"/>
        <v>1.0757986114694718E-2</v>
      </c>
      <c r="BC29" s="9">
        <f t="shared" si="101"/>
        <v>13.459865679049459</v>
      </c>
      <c r="BD29" t="s">
        <v>44</v>
      </c>
      <c r="BE29" s="9">
        <f>CONFIDENCE(0.05,BE28,7)</f>
        <v>13.266721037178362</v>
      </c>
      <c r="BF29" s="9">
        <f>CONFIDENCE(0.05,BF28,7)</f>
        <v>8.7725267193231655</v>
      </c>
      <c r="BG29" s="9">
        <f>CONFIDENCE(0.05,BG28,7)</f>
        <v>6.3226230276645046</v>
      </c>
      <c r="BH29" s="9">
        <f>CONFIDENCE(0.05,BH28,7)</f>
        <v>24.597352789666704</v>
      </c>
      <c r="BI29" s="7">
        <f t="shared" ref="BI29:BN29" si="102">CONFIDENCE(0.05,BI28,10)</f>
        <v>2.4627113501258683E-2</v>
      </c>
      <c r="BJ29" s="9">
        <f t="shared" si="102"/>
        <v>27.56549509563385</v>
      </c>
      <c r="BK29" s="7">
        <f t="shared" si="102"/>
        <v>2.5735194620080216E-2</v>
      </c>
      <c r="BL29" s="9">
        <f t="shared" si="102"/>
        <v>32.974496969405834</v>
      </c>
      <c r="BM29" s="7">
        <f t="shared" si="102"/>
        <v>9.3040352938620879E-3</v>
      </c>
      <c r="BN29" s="9">
        <f t="shared" si="102"/>
        <v>15.213768182178653</v>
      </c>
      <c r="BO29" t="s">
        <v>44</v>
      </c>
      <c r="BP29" s="9">
        <f t="shared" ref="BP29:BU29" si="103">CONFIDENCE(0.05,BP28,9)</f>
        <v>16.251527629029397</v>
      </c>
      <c r="BQ29" s="9">
        <f t="shared" si="103"/>
        <v>11.168737819605905</v>
      </c>
      <c r="BR29" s="9">
        <f t="shared" si="103"/>
        <v>6.7580083671503832</v>
      </c>
      <c r="BS29" s="9">
        <f t="shared" si="103"/>
        <v>17.675263450399232</v>
      </c>
      <c r="BT29" s="7">
        <f t="shared" si="103"/>
        <v>2.7996295953337597E-2</v>
      </c>
      <c r="BU29" s="9">
        <f t="shared" si="103"/>
        <v>34.863063114262651</v>
      </c>
      <c r="BW29" t="s">
        <v>44</v>
      </c>
      <c r="BX29" s="9">
        <f>CONFIDENCE(0.05,BX28,7)</f>
        <v>12.749932596130909</v>
      </c>
      <c r="BY29" s="9">
        <f>CONFIDENCE(0.05,BY28,7)</f>
        <v>9.7717803232484393</v>
      </c>
      <c r="BZ29" s="9">
        <f>CONFIDENCE(0.05,BZ28,7)</f>
        <v>5.988298023102681</v>
      </c>
      <c r="CA29" s="9">
        <f>CONFIDENCE(0.05,CA28,7)</f>
        <v>24.143863240089061</v>
      </c>
      <c r="CB29" s="7">
        <f t="shared" ref="CB29:CG29" si="104">CONFIDENCE(0.05,CB28,10)</f>
        <v>2.1154873778658073E-2</v>
      </c>
      <c r="CC29" s="9">
        <f t="shared" si="104"/>
        <v>25.676078413518788</v>
      </c>
      <c r="CD29" s="7">
        <f t="shared" si="104"/>
        <v>1.9148922443176956E-2</v>
      </c>
      <c r="CE29" s="9">
        <f t="shared" si="104"/>
        <v>26.632330000061643</v>
      </c>
      <c r="CF29" s="7">
        <f t="shared" si="104"/>
        <v>9.9782355760035905E-3</v>
      </c>
      <c r="CG29" s="9">
        <f t="shared" si="104"/>
        <v>14.773447063411899</v>
      </c>
    </row>
    <row r="31" spans="1:85">
      <c r="A31" t="s">
        <v>55</v>
      </c>
      <c r="B31">
        <v>45</v>
      </c>
      <c r="C31">
        <v>71</v>
      </c>
      <c r="D31">
        <v>31</v>
      </c>
      <c r="E31">
        <v>15</v>
      </c>
      <c r="F31" s="2">
        <f t="shared" ref="F31:F40" si="105">((2/3)*PI()*(B31/2)*(C31/2)*D31)/1000000</f>
        <v>5.1859840729133508E-2</v>
      </c>
      <c r="G31" s="3">
        <f t="shared" ref="G31:G40" si="106">10^(2.841+0.7*LOG(F31))</f>
        <v>87.373920891320637</v>
      </c>
      <c r="H31" s="2">
        <f t="shared" ref="H31:H40" si="107">F31*(1-(E31)*1/100)</f>
        <v>4.4080864619763481E-2</v>
      </c>
      <c r="I31" s="3">
        <f t="shared" ref="I31:I40" si="108">G31*(1-(E31)*1/100)</f>
        <v>74.267832757622543</v>
      </c>
      <c r="J31" s="2">
        <f t="shared" ref="J31:J40" si="109">F31*(E31*(1/100))</f>
        <v>7.778976109370026E-3</v>
      </c>
      <c r="K31" s="3">
        <f t="shared" ref="K31:K40" si="110">G31*(E31*(1/100))</f>
        <v>13.106088133698096</v>
      </c>
      <c r="L31" t="s">
        <v>55</v>
      </c>
      <c r="M31">
        <v>77</v>
      </c>
      <c r="N31">
        <v>67</v>
      </c>
      <c r="O31">
        <v>31</v>
      </c>
      <c r="P31">
        <v>15</v>
      </c>
      <c r="Q31" s="2">
        <f t="shared" ref="Q31:Q40" si="111">((2/3)*PI()*(M31/2)*(N31/2)*O31)/1000000</f>
        <v>8.3738628582660346E-2</v>
      </c>
      <c r="R31" s="3">
        <f t="shared" ref="R31:R40" si="112">10^(2.841+0.7*LOG(Q31))</f>
        <v>122.19349614277601</v>
      </c>
      <c r="S31" s="2">
        <f t="shared" ref="S31:S40" si="113">Q31*(1-(P31)*1/100)</f>
        <v>7.1177834295261297E-2</v>
      </c>
      <c r="T31" s="3">
        <f t="shared" ref="T31:T40" si="114">R31*(1-(P31)*1/100)</f>
        <v>103.86447172135961</v>
      </c>
      <c r="U31" s="2">
        <f t="shared" ref="U31:U40" si="115">Q31*(P31*(1/100))</f>
        <v>1.2560794287399051E-2</v>
      </c>
      <c r="V31" s="3">
        <f t="shared" ref="V31:V40" si="116">R31*(P31*(1/100))</f>
        <v>18.329024421416403</v>
      </c>
      <c r="W31" t="s">
        <v>55</v>
      </c>
      <c r="X31">
        <v>63</v>
      </c>
      <c r="Y31">
        <v>63</v>
      </c>
      <c r="Z31">
        <v>39</v>
      </c>
      <c r="AA31">
        <v>15</v>
      </c>
      <c r="AB31" s="2">
        <f t="shared" ref="AB31:AB40" si="117">((2/3)*PI()*(X31/2)*(Y31/2)*Z31)/1000000</f>
        <v>8.1048378073636268E-2</v>
      </c>
      <c r="AC31" s="3">
        <f t="shared" ref="AC31:AC37" si="118">10^(2.841+0.7*LOG(AB31))</f>
        <v>119.43208930455219</v>
      </c>
      <c r="AD31" s="2">
        <v>0.16209675614727254</v>
      </c>
      <c r="AE31" s="3">
        <v>194.0180014789089</v>
      </c>
      <c r="AF31" s="2"/>
      <c r="AG31" s="3"/>
      <c r="AH31" t="s">
        <v>55</v>
      </c>
      <c r="AI31">
        <v>73</v>
      </c>
      <c r="AJ31">
        <v>60</v>
      </c>
      <c r="AK31">
        <v>40</v>
      </c>
      <c r="AL31">
        <v>20</v>
      </c>
      <c r="AM31" s="2">
        <f t="shared" ref="AM31:AM40" si="119">((2/3)*PI()*(AI31/2)*(AJ31/2)*AK31)/1000000</f>
        <v>9.173450548482194E-2</v>
      </c>
      <c r="AN31" s="3">
        <f t="shared" ref="AN31:AN40" si="120">10^(2.841+0.7*LOG(AM31))</f>
        <v>130.24855291251964</v>
      </c>
      <c r="AO31" s="2"/>
      <c r="AP31" s="3"/>
      <c r="AQ31" s="2"/>
      <c r="AR31" s="3"/>
      <c r="AS31" t="s">
        <v>55</v>
      </c>
      <c r="AT31">
        <v>68</v>
      </c>
      <c r="AU31">
        <v>70</v>
      </c>
      <c r="AV31">
        <v>39</v>
      </c>
      <c r="AW31">
        <v>20</v>
      </c>
      <c r="AX31" s="2">
        <f t="shared" ref="AX31:AX40" si="121">((2/3)*PI()*(AT31/2)*(AU31/2)*AV31)/1000000</f>
        <v>9.7200876702068201E-2</v>
      </c>
      <c r="AY31" s="3">
        <f t="shared" ref="AY31:AY40" si="122">10^(2.841+0.7*LOG(AX31))</f>
        <v>135.63417416292643</v>
      </c>
      <c r="AZ31" s="2">
        <f t="shared" ref="AZ31:AZ40" si="123">AX31*(1-(AW31)*1/100)</f>
        <v>7.7760701361654569E-2</v>
      </c>
      <c r="BA31" s="3">
        <f t="shared" ref="BA31:BA40" si="124">AY31*(1-(AW31)*1/100)</f>
        <v>108.50733933034115</v>
      </c>
      <c r="BB31" s="2">
        <f t="shared" ref="BB31:BB40" si="125">AX31*(AW31*(1/100))</f>
        <v>1.9440175340413642E-2</v>
      </c>
      <c r="BC31" s="3">
        <f t="shared" ref="BC31:BC40" si="126">AY31*(AW31*(1/100))</f>
        <v>27.126834832585288</v>
      </c>
      <c r="BD31" t="s">
        <v>55</v>
      </c>
      <c r="BE31">
        <v>74</v>
      </c>
      <c r="BF31">
        <v>69</v>
      </c>
      <c r="BG31">
        <v>40</v>
      </c>
      <c r="BH31">
        <v>10</v>
      </c>
      <c r="BI31" s="2">
        <f t="shared" ref="BI31:BI40" si="127">((2/3)*PI()*(BE31/2)*(BF31/2)*BG31)/1000000</f>
        <v>0.10693981392819656</v>
      </c>
      <c r="BJ31" s="3">
        <f t="shared" ref="BJ31:BJ40" si="128">10^(2.841+0.7*LOG(BI31))</f>
        <v>145.00988124222195</v>
      </c>
      <c r="BK31" s="2">
        <f t="shared" ref="BK31:BK40" si="129">BI31*(1-(BH31)*1/100)</f>
        <v>9.6245832535376899E-2</v>
      </c>
      <c r="BL31" s="3">
        <f t="shared" ref="BL31:BL40" si="130">BJ31*(1-(BH31)*1/100)</f>
        <v>130.50889311799975</v>
      </c>
      <c r="BM31" s="2">
        <f t="shared" ref="BM31:BM40" si="131">BI31*(BH31*(1/100))</f>
        <v>1.0693981392819657E-2</v>
      </c>
      <c r="BN31" s="3">
        <f t="shared" ref="BN31:BN40" si="132">BJ31*(BH31*(1/100))</f>
        <v>14.500988124222197</v>
      </c>
      <c r="BO31" t="s">
        <v>55</v>
      </c>
      <c r="BP31">
        <v>74</v>
      </c>
      <c r="BQ31">
        <v>69</v>
      </c>
      <c r="BR31">
        <v>40</v>
      </c>
      <c r="BS31">
        <v>10</v>
      </c>
      <c r="BT31" s="2">
        <f t="shared" ref="BT31:BT40" si="133">((2/3)*PI()*(BP31/2)*(BQ31/2)*BR31)/1000000</f>
        <v>0.10693981392819656</v>
      </c>
      <c r="BU31" s="3">
        <f t="shared" ref="BU31:BU40" si="134">10^(2.841+0.7*LOG(BT31))</f>
        <v>145.00988124222195</v>
      </c>
      <c r="BV31" s="2"/>
      <c r="BW31" t="s">
        <v>55</v>
      </c>
      <c r="BX31" s="4">
        <v>76</v>
      </c>
      <c r="BY31" s="4">
        <v>68</v>
      </c>
      <c r="BZ31">
        <v>36</v>
      </c>
      <c r="CA31">
        <v>10</v>
      </c>
      <c r="CB31" s="2">
        <f t="shared" ref="CB31:CB40" si="135">((2/3)*PI()*(BX31/2)*(BY31/2)*BZ31)/1000000</f>
        <v>9.7414505002512294E-2</v>
      </c>
      <c r="CC31" s="3">
        <f t="shared" ref="CC31:CC40" si="136">10^(2.841+0.7*LOG(CB31))</f>
        <v>135.84277339697491</v>
      </c>
      <c r="CD31" s="2">
        <f t="shared" ref="CD31:CD40" si="137">CB31*(1-(CA31)*1/100)</f>
        <v>8.7673054502261066E-2</v>
      </c>
      <c r="CE31" s="3">
        <f t="shared" ref="CE31:CE40" si="138">CC31*(1-(CA31)*1/100)</f>
        <v>122.25849605727741</v>
      </c>
      <c r="CF31" s="2">
        <f t="shared" ref="CF31:CF40" si="139">CB31*(CA31*(1/100))</f>
        <v>9.7414505002512298E-3</v>
      </c>
      <c r="CG31" s="3">
        <f t="shared" ref="CG31:CG40" si="140">CC31*(CA31*(1/100))</f>
        <v>13.584277339697492</v>
      </c>
    </row>
    <row r="32" spans="1:85">
      <c r="A32" t="s">
        <v>56</v>
      </c>
      <c r="B32">
        <v>75</v>
      </c>
      <c r="C32">
        <v>71</v>
      </c>
      <c r="D32">
        <v>34</v>
      </c>
      <c r="E32">
        <v>35</v>
      </c>
      <c r="F32" s="2">
        <f t="shared" si="105"/>
        <v>9.4797558322071984E-2</v>
      </c>
      <c r="G32" s="3">
        <f t="shared" si="106"/>
        <v>133.27785853722582</v>
      </c>
      <c r="H32" s="2">
        <f t="shared" si="107"/>
        <v>6.161841290934679E-2</v>
      </c>
      <c r="I32" s="3">
        <f t="shared" si="108"/>
        <v>86.630608049196795</v>
      </c>
      <c r="J32" s="2">
        <f t="shared" si="109"/>
        <v>3.3179145412725194E-2</v>
      </c>
      <c r="K32" s="3">
        <f t="shared" si="110"/>
        <v>46.647250488029044</v>
      </c>
      <c r="L32" t="s">
        <v>56</v>
      </c>
      <c r="M32">
        <v>78</v>
      </c>
      <c r="N32">
        <v>69</v>
      </c>
      <c r="O32">
        <v>33</v>
      </c>
      <c r="P32">
        <v>30</v>
      </c>
      <c r="Q32" s="2">
        <f t="shared" si="111"/>
        <v>9.2994284138911462E-2</v>
      </c>
      <c r="R32" s="3">
        <f t="shared" si="112"/>
        <v>131.49807006303183</v>
      </c>
      <c r="S32" s="2">
        <f t="shared" si="113"/>
        <v>6.5095998897238022E-2</v>
      </c>
      <c r="T32" s="3">
        <f t="shared" si="114"/>
        <v>92.048649044122271</v>
      </c>
      <c r="U32" s="2">
        <f t="shared" si="115"/>
        <v>2.7898285241673437E-2</v>
      </c>
      <c r="V32" s="3">
        <f t="shared" si="116"/>
        <v>39.449421018909547</v>
      </c>
      <c r="W32" t="s">
        <v>56</v>
      </c>
      <c r="X32">
        <v>73</v>
      </c>
      <c r="Y32">
        <v>60</v>
      </c>
      <c r="Z32">
        <v>41</v>
      </c>
      <c r="AA32">
        <v>15</v>
      </c>
      <c r="AB32" s="2">
        <f t="shared" si="117"/>
        <v>9.4027868121942484E-2</v>
      </c>
      <c r="AC32" s="3">
        <f t="shared" si="118"/>
        <v>132.51944631625685</v>
      </c>
      <c r="AD32" s="2">
        <v>0.18805573624388497</v>
      </c>
      <c r="AE32" s="3">
        <v>215.27847566836229</v>
      </c>
      <c r="AF32" s="2"/>
      <c r="AG32" s="3"/>
      <c r="AH32" t="s">
        <v>56</v>
      </c>
      <c r="AI32">
        <v>169</v>
      </c>
      <c r="AJ32">
        <v>54</v>
      </c>
      <c r="AK32">
        <v>40</v>
      </c>
      <c r="AL32">
        <v>15</v>
      </c>
      <c r="AM32" s="2">
        <f t="shared" si="119"/>
        <v>0.191134497044403</v>
      </c>
      <c r="AN32" s="3">
        <f t="shared" si="120"/>
        <v>217.73956685545269</v>
      </c>
      <c r="AO32" s="2"/>
      <c r="AP32" s="3"/>
      <c r="AQ32" s="2"/>
      <c r="AR32" s="3"/>
      <c r="AS32" t="s">
        <v>56</v>
      </c>
      <c r="AT32">
        <v>73</v>
      </c>
      <c r="AU32">
        <v>61</v>
      </c>
      <c r="AV32">
        <v>48</v>
      </c>
      <c r="AW32">
        <v>15</v>
      </c>
      <c r="AX32" s="2">
        <f t="shared" si="121"/>
        <v>0.11191609669148279</v>
      </c>
      <c r="AY32" s="3">
        <f t="shared" si="122"/>
        <v>149.70102996816107</v>
      </c>
      <c r="AZ32" s="2">
        <f t="shared" si="123"/>
        <v>9.5128682187760369E-2</v>
      </c>
      <c r="BA32" s="3">
        <f t="shared" si="124"/>
        <v>127.2458754729369</v>
      </c>
      <c r="BB32" s="2">
        <f t="shared" si="125"/>
        <v>1.6787414503722418E-2</v>
      </c>
      <c r="BC32" s="3">
        <f t="shared" si="126"/>
        <v>22.455154495224161</v>
      </c>
      <c r="BD32" t="s">
        <v>56</v>
      </c>
      <c r="BE32">
        <v>76</v>
      </c>
      <c r="BF32">
        <v>71</v>
      </c>
      <c r="BG32">
        <v>50</v>
      </c>
      <c r="BH32">
        <v>15</v>
      </c>
      <c r="BI32" s="2">
        <f t="shared" si="127"/>
        <v>0.14126694965642103</v>
      </c>
      <c r="BJ32" s="3">
        <f t="shared" si="128"/>
        <v>176.20912610707714</v>
      </c>
      <c r="BK32" s="2">
        <f t="shared" si="129"/>
        <v>0.12007690720795787</v>
      </c>
      <c r="BL32" s="3">
        <f t="shared" si="130"/>
        <v>149.77775719101555</v>
      </c>
      <c r="BM32" s="2">
        <f t="shared" si="131"/>
        <v>2.1190042448463155E-2</v>
      </c>
      <c r="BN32" s="3">
        <f t="shared" si="132"/>
        <v>26.431368916061569</v>
      </c>
      <c r="BO32" t="s">
        <v>56</v>
      </c>
      <c r="BP32">
        <v>76</v>
      </c>
      <c r="BQ32">
        <v>66</v>
      </c>
      <c r="BR32">
        <v>50</v>
      </c>
      <c r="BS32">
        <v>15</v>
      </c>
      <c r="BT32" s="2">
        <f t="shared" si="133"/>
        <v>0.13131857292005333</v>
      </c>
      <c r="BU32" s="3">
        <f t="shared" si="134"/>
        <v>167.42808431142601</v>
      </c>
      <c r="BV32" s="2"/>
      <c r="BW32" t="s">
        <v>56</v>
      </c>
      <c r="BX32" s="4">
        <v>75</v>
      </c>
      <c r="BY32" s="4">
        <v>66</v>
      </c>
      <c r="BZ32">
        <v>50</v>
      </c>
      <c r="CA32">
        <v>35</v>
      </c>
      <c r="CB32" s="2">
        <f t="shared" si="135"/>
        <v>0.12959069696057895</v>
      </c>
      <c r="CC32" s="3">
        <f t="shared" si="136"/>
        <v>165.88292242849872</v>
      </c>
      <c r="CD32" s="2">
        <f t="shared" si="137"/>
        <v>8.4233953024376321E-2</v>
      </c>
      <c r="CE32" s="3">
        <f t="shared" si="138"/>
        <v>107.82389957852416</v>
      </c>
      <c r="CF32" s="2">
        <f t="shared" si="139"/>
        <v>4.5356743936202641E-2</v>
      </c>
      <c r="CG32" s="3">
        <f t="shared" si="140"/>
        <v>58.059022849974554</v>
      </c>
    </row>
    <row r="33" spans="1:85">
      <c r="A33" t="s">
        <v>57</v>
      </c>
      <c r="B33">
        <v>90</v>
      </c>
      <c r="C33">
        <v>68</v>
      </c>
      <c r="D33">
        <v>40</v>
      </c>
      <c r="E33">
        <v>75</v>
      </c>
      <c r="F33" s="2">
        <f t="shared" si="105"/>
        <v>0.12817698026646354</v>
      </c>
      <c r="G33" s="3">
        <f t="shared" si="106"/>
        <v>164.61409739986377</v>
      </c>
      <c r="H33" s="2">
        <f t="shared" si="107"/>
        <v>3.2044245066615885E-2</v>
      </c>
      <c r="I33" s="3">
        <f t="shared" si="108"/>
        <v>41.153524349965942</v>
      </c>
      <c r="J33" s="2">
        <f t="shared" si="109"/>
        <v>9.6132735199847663E-2</v>
      </c>
      <c r="K33" s="3">
        <f t="shared" si="110"/>
        <v>123.46057304989782</v>
      </c>
      <c r="L33" t="s">
        <v>57</v>
      </c>
      <c r="M33">
        <v>80</v>
      </c>
      <c r="N33">
        <v>66</v>
      </c>
      <c r="O33">
        <v>35</v>
      </c>
      <c r="P33">
        <v>80</v>
      </c>
      <c r="Q33" s="2">
        <f t="shared" si="111"/>
        <v>9.6761053730565622E-2</v>
      </c>
      <c r="R33" s="3">
        <f t="shared" si="112"/>
        <v>135.20427149244776</v>
      </c>
      <c r="S33" s="2">
        <f t="shared" si="113"/>
        <v>1.9352210746113121E-2</v>
      </c>
      <c r="T33" s="3">
        <f t="shared" si="114"/>
        <v>27.040854298489545</v>
      </c>
      <c r="U33" s="2">
        <f t="shared" si="115"/>
        <v>7.7408842984452497E-2</v>
      </c>
      <c r="V33" s="3">
        <f t="shared" si="116"/>
        <v>108.16341719395821</v>
      </c>
      <c r="W33" t="s">
        <v>57</v>
      </c>
      <c r="X33">
        <v>36</v>
      </c>
      <c r="Y33">
        <v>26</v>
      </c>
      <c r="Z33">
        <v>41</v>
      </c>
      <c r="AA33">
        <v>65</v>
      </c>
      <c r="AB33" s="2">
        <f t="shared" si="117"/>
        <v>2.0093626612360315E-2</v>
      </c>
      <c r="AC33" s="3">
        <f t="shared" si="118"/>
        <v>44.992572945056082</v>
      </c>
      <c r="AD33" s="2">
        <v>4.018725322472063E-2</v>
      </c>
      <c r="AE33" s="3">
        <v>73.090650385709068</v>
      </c>
      <c r="AF33" s="2"/>
      <c r="AG33" s="3"/>
      <c r="AH33" t="s">
        <v>57</v>
      </c>
      <c r="AI33">
        <v>33</v>
      </c>
      <c r="AJ33">
        <v>42</v>
      </c>
      <c r="AK33">
        <v>44</v>
      </c>
      <c r="AL33">
        <v>75</v>
      </c>
      <c r="AM33" s="2">
        <f t="shared" si="119"/>
        <v>3.1931147731086656E-2</v>
      </c>
      <c r="AN33" s="3">
        <f t="shared" si="120"/>
        <v>62.222888839261074</v>
      </c>
      <c r="AO33" s="2"/>
      <c r="AP33" s="3"/>
      <c r="AQ33" s="2"/>
      <c r="AR33" s="3"/>
      <c r="AS33" t="s">
        <v>57</v>
      </c>
      <c r="AT33">
        <v>77</v>
      </c>
      <c r="AU33">
        <v>70</v>
      </c>
      <c r="AV33">
        <v>51</v>
      </c>
      <c r="AW33">
        <v>80</v>
      </c>
      <c r="AX33" s="2">
        <f t="shared" si="121"/>
        <v>0.14393206742421635</v>
      </c>
      <c r="AY33" s="3">
        <f t="shared" si="122"/>
        <v>178.52962572480186</v>
      </c>
      <c r="AZ33" s="2">
        <f t="shared" si="123"/>
        <v>2.8786413484843263E-2</v>
      </c>
      <c r="BA33" s="3">
        <f t="shared" si="124"/>
        <v>35.705925144960361</v>
      </c>
      <c r="BB33" s="2">
        <f t="shared" si="125"/>
        <v>0.11514565393937309</v>
      </c>
      <c r="BC33" s="3">
        <f t="shared" si="126"/>
        <v>142.8237005798415</v>
      </c>
      <c r="BD33" t="s">
        <v>57</v>
      </c>
      <c r="BE33">
        <v>77</v>
      </c>
      <c r="BF33">
        <v>66</v>
      </c>
      <c r="BG33">
        <v>40</v>
      </c>
      <c r="BH33">
        <v>70</v>
      </c>
      <c r="BI33" s="2">
        <f t="shared" si="127"/>
        <v>0.1064371591036222</v>
      </c>
      <c r="BJ33" s="3">
        <f t="shared" si="128"/>
        <v>144.53242586840625</v>
      </c>
      <c r="BK33" s="2">
        <f t="shared" si="129"/>
        <v>3.1931147731086663E-2</v>
      </c>
      <c r="BL33" s="3">
        <f t="shared" si="130"/>
        <v>43.359727760521885</v>
      </c>
      <c r="BM33" s="2">
        <f t="shared" si="131"/>
        <v>7.4506011372535541E-2</v>
      </c>
      <c r="BN33" s="3">
        <f t="shared" si="132"/>
        <v>101.17269810788439</v>
      </c>
      <c r="BO33" t="s">
        <v>57</v>
      </c>
      <c r="BP33">
        <v>35</v>
      </c>
      <c r="BQ33">
        <v>30</v>
      </c>
      <c r="BR33">
        <v>29</v>
      </c>
      <c r="BS33">
        <v>70</v>
      </c>
      <c r="BT33" s="2">
        <f t="shared" si="133"/>
        <v>1.5943582716968198E-2</v>
      </c>
      <c r="BU33" s="3">
        <f t="shared" si="134"/>
        <v>38.265742393766836</v>
      </c>
      <c r="BV33" s="2"/>
      <c r="BW33" t="s">
        <v>57</v>
      </c>
      <c r="BX33" s="4">
        <v>70</v>
      </c>
      <c r="BY33" s="4">
        <v>60</v>
      </c>
      <c r="BZ33">
        <v>41</v>
      </c>
      <c r="CA33">
        <v>80</v>
      </c>
      <c r="CB33" s="2">
        <f t="shared" si="135"/>
        <v>9.0163709158027044E-2</v>
      </c>
      <c r="CC33" s="3">
        <f t="shared" si="136"/>
        <v>128.68331452656878</v>
      </c>
      <c r="CD33" s="2">
        <f t="shared" si="137"/>
        <v>1.8032741831605404E-2</v>
      </c>
      <c r="CE33" s="3">
        <f t="shared" si="138"/>
        <v>25.73666290531375</v>
      </c>
      <c r="CF33" s="2">
        <f t="shared" si="139"/>
        <v>7.2130967326421644E-2</v>
      </c>
      <c r="CG33" s="3">
        <f t="shared" si="140"/>
        <v>102.94665162125503</v>
      </c>
    </row>
    <row r="34" spans="1:85">
      <c r="A34" t="s">
        <v>58</v>
      </c>
      <c r="B34">
        <v>78</v>
      </c>
      <c r="C34">
        <v>87</v>
      </c>
      <c r="D34">
        <v>40</v>
      </c>
      <c r="E34">
        <v>60</v>
      </c>
      <c r="F34" s="2">
        <f t="shared" si="105"/>
        <v>0.14212565164840224</v>
      </c>
      <c r="G34" s="3">
        <f t="shared" si="106"/>
        <v>176.95821475560899</v>
      </c>
      <c r="H34" s="2">
        <f t="shared" si="107"/>
        <v>5.6850260659360899E-2</v>
      </c>
      <c r="I34" s="3">
        <f t="shared" si="108"/>
        <v>70.783285902243605</v>
      </c>
      <c r="J34" s="2">
        <f t="shared" si="109"/>
        <v>8.5275390989041341E-2</v>
      </c>
      <c r="K34" s="3">
        <f t="shared" si="110"/>
        <v>106.17492885336539</v>
      </c>
      <c r="L34" t="s">
        <v>58</v>
      </c>
      <c r="M34">
        <v>87</v>
      </c>
      <c r="N34">
        <v>78</v>
      </c>
      <c r="O34">
        <v>32</v>
      </c>
      <c r="P34">
        <v>70</v>
      </c>
      <c r="Q34" s="2">
        <f t="shared" si="111"/>
        <v>0.11370052131872177</v>
      </c>
      <c r="R34" s="3">
        <f t="shared" si="112"/>
        <v>151.36787677549464</v>
      </c>
      <c r="S34" s="2">
        <f t="shared" si="113"/>
        <v>3.4110156395616535E-2</v>
      </c>
      <c r="T34" s="3">
        <f t="shared" si="114"/>
        <v>45.410363032648398</v>
      </c>
      <c r="U34" s="2">
        <f t="shared" si="115"/>
        <v>7.9590364923105242E-2</v>
      </c>
      <c r="V34" s="3">
        <f t="shared" si="116"/>
        <v>105.95751374284626</v>
      </c>
      <c r="W34" t="s">
        <v>58</v>
      </c>
      <c r="X34">
        <v>102</v>
      </c>
      <c r="Y34">
        <v>62</v>
      </c>
      <c r="Z34">
        <v>43</v>
      </c>
      <c r="AA34">
        <v>35</v>
      </c>
      <c r="AB34" s="2">
        <f t="shared" si="117"/>
        <v>0.14238326224599659</v>
      </c>
      <c r="AC34" s="3">
        <f t="shared" si="118"/>
        <v>177.18267633973966</v>
      </c>
      <c r="AD34" s="2">
        <v>0.28476652449199319</v>
      </c>
      <c r="AE34" s="3">
        <v>287.83410689952939</v>
      </c>
      <c r="AF34" s="2"/>
      <c r="AG34" s="3"/>
      <c r="AH34" t="s">
        <v>58</v>
      </c>
      <c r="AI34">
        <v>94</v>
      </c>
      <c r="AJ34">
        <v>69</v>
      </c>
      <c r="AK34">
        <v>45</v>
      </c>
      <c r="AL34">
        <v>40</v>
      </c>
      <c r="AM34" s="2">
        <f t="shared" si="119"/>
        <v>0.15282277463387547</v>
      </c>
      <c r="AN34" s="3">
        <f t="shared" si="120"/>
        <v>186.17941282904806</v>
      </c>
      <c r="AO34" s="2"/>
      <c r="AP34" s="3"/>
      <c r="AQ34" s="2"/>
      <c r="AR34" s="3"/>
      <c r="AS34" t="s">
        <v>58</v>
      </c>
      <c r="AT34">
        <v>109</v>
      </c>
      <c r="AU34">
        <v>77</v>
      </c>
      <c r="AV34">
        <v>47</v>
      </c>
      <c r="AW34">
        <v>70</v>
      </c>
      <c r="AX34" s="2">
        <f t="shared" si="121"/>
        <v>0.20654453260903655</v>
      </c>
      <c r="AY34" s="3">
        <f t="shared" si="122"/>
        <v>229.88444837540712</v>
      </c>
      <c r="AZ34" s="2">
        <f t="shared" si="123"/>
        <v>6.1963359782710975E-2</v>
      </c>
      <c r="BA34" s="3">
        <f t="shared" si="124"/>
        <v>68.96533451262215</v>
      </c>
      <c r="BB34" s="2">
        <f t="shared" si="125"/>
        <v>0.1445811728263256</v>
      </c>
      <c r="BC34" s="3">
        <f t="shared" si="126"/>
        <v>160.919113862785</v>
      </c>
      <c r="BD34" t="s">
        <v>58</v>
      </c>
      <c r="BE34">
        <v>88</v>
      </c>
      <c r="BF34">
        <v>80</v>
      </c>
      <c r="BG34">
        <v>38</v>
      </c>
      <c r="BH34">
        <v>60</v>
      </c>
      <c r="BI34" s="2">
        <f t="shared" si="127"/>
        <v>0.14007314444805691</v>
      </c>
      <c r="BJ34" s="3">
        <f t="shared" si="128"/>
        <v>175.16543609398855</v>
      </c>
      <c r="BK34" s="2">
        <f t="shared" si="129"/>
        <v>5.6029257779222769E-2</v>
      </c>
      <c r="BL34" s="3">
        <f t="shared" si="130"/>
        <v>70.066174437595421</v>
      </c>
      <c r="BM34" s="2">
        <f t="shared" si="131"/>
        <v>8.4043886668834139E-2</v>
      </c>
      <c r="BN34" s="3">
        <f t="shared" si="132"/>
        <v>105.09926165639313</v>
      </c>
      <c r="BO34" t="s">
        <v>58</v>
      </c>
      <c r="BP34">
        <v>66</v>
      </c>
      <c r="BQ34">
        <v>39</v>
      </c>
      <c r="BR34">
        <v>36</v>
      </c>
      <c r="BS34">
        <v>60</v>
      </c>
      <c r="BT34" s="2">
        <f t="shared" si="133"/>
        <v>4.8518756942040761E-2</v>
      </c>
      <c r="BU34" s="3">
        <f t="shared" si="134"/>
        <v>83.39437648755667</v>
      </c>
      <c r="BV34" s="2"/>
      <c r="BW34" t="s">
        <v>58</v>
      </c>
      <c r="BX34" s="4">
        <v>86</v>
      </c>
      <c r="BY34" s="4">
        <v>73</v>
      </c>
      <c r="BZ34">
        <v>43</v>
      </c>
      <c r="CA34">
        <v>60</v>
      </c>
      <c r="CB34" s="2">
        <f t="shared" si="135"/>
        <v>0.14134758386786317</v>
      </c>
      <c r="CC34" s="3">
        <f t="shared" si="136"/>
        <v>176.27952535776123</v>
      </c>
      <c r="CD34" s="2">
        <f t="shared" si="137"/>
        <v>5.6539033547145269E-2</v>
      </c>
      <c r="CE34" s="3">
        <f t="shared" si="138"/>
        <v>70.511810143104498</v>
      </c>
      <c r="CF34" s="2">
        <f t="shared" si="139"/>
        <v>8.4808550320717893E-2</v>
      </c>
      <c r="CG34" s="3">
        <f t="shared" si="140"/>
        <v>105.76771521465673</v>
      </c>
    </row>
    <row r="35" spans="1:85">
      <c r="A35" t="s">
        <v>59</v>
      </c>
      <c r="B35">
        <v>79</v>
      </c>
      <c r="C35">
        <v>63</v>
      </c>
      <c r="D35">
        <v>30</v>
      </c>
      <c r="E35">
        <v>65</v>
      </c>
      <c r="F35" s="2">
        <f t="shared" si="105"/>
        <v>7.8178533184581997E-2</v>
      </c>
      <c r="G35" s="3">
        <f t="shared" si="106"/>
        <v>116.45583735279286</v>
      </c>
      <c r="H35" s="2">
        <f t="shared" si="107"/>
        <v>2.7362486614603696E-2</v>
      </c>
      <c r="I35" s="3">
        <f t="shared" si="108"/>
        <v>40.759543073477495</v>
      </c>
      <c r="J35" s="2">
        <f t="shared" si="109"/>
        <v>5.0816046569978297E-2</v>
      </c>
      <c r="K35" s="3">
        <f t="shared" si="110"/>
        <v>75.696294279315353</v>
      </c>
      <c r="L35" t="s">
        <v>59</v>
      </c>
      <c r="M35">
        <v>70</v>
      </c>
      <c r="N35">
        <v>55</v>
      </c>
      <c r="O35">
        <v>27</v>
      </c>
      <c r="P35">
        <v>60</v>
      </c>
      <c r="Q35" s="2">
        <f t="shared" si="111"/>
        <v>5.4428092723443157E-2</v>
      </c>
      <c r="R35" s="3">
        <f t="shared" si="112"/>
        <v>90.380800008727604</v>
      </c>
      <c r="S35" s="2">
        <f t="shared" si="113"/>
        <v>2.1771237089377265E-2</v>
      </c>
      <c r="T35" s="3">
        <f t="shared" si="114"/>
        <v>36.152320003491042</v>
      </c>
      <c r="U35" s="2">
        <f t="shared" si="115"/>
        <v>3.2656855634065896E-2</v>
      </c>
      <c r="V35" s="3">
        <f t="shared" si="116"/>
        <v>54.228480005236563</v>
      </c>
      <c r="W35" t="s">
        <v>59</v>
      </c>
      <c r="X35">
        <v>70</v>
      </c>
      <c r="Y35">
        <v>57</v>
      </c>
      <c r="Z35">
        <v>33</v>
      </c>
      <c r="AA35">
        <v>50</v>
      </c>
      <c r="AB35" s="2">
        <f t="shared" si="117"/>
        <v>6.8942250783028E-2</v>
      </c>
      <c r="AC35" s="3">
        <f t="shared" si="118"/>
        <v>106.64483349617893</v>
      </c>
      <c r="AD35" s="2">
        <v>0.137884501566056</v>
      </c>
      <c r="AE35" s="3">
        <v>173.24504313256602</v>
      </c>
      <c r="AF35" s="2"/>
      <c r="AG35" s="3"/>
      <c r="AH35" t="s">
        <v>59</v>
      </c>
      <c r="AI35">
        <v>69</v>
      </c>
      <c r="AJ35">
        <v>60</v>
      </c>
      <c r="AK35">
        <v>35</v>
      </c>
      <c r="AL35">
        <v>40</v>
      </c>
      <c r="AM35" s="2">
        <f t="shared" si="119"/>
        <v>7.5869462584193484E-2</v>
      </c>
      <c r="AN35" s="3">
        <f t="shared" si="120"/>
        <v>114.03729455029155</v>
      </c>
      <c r="AO35" s="2"/>
      <c r="AP35" s="3"/>
      <c r="AQ35" s="2"/>
      <c r="AR35" s="3"/>
      <c r="AS35" t="s">
        <v>59</v>
      </c>
      <c r="AT35">
        <v>71</v>
      </c>
      <c r="AU35">
        <v>73</v>
      </c>
      <c r="AV35">
        <v>35</v>
      </c>
      <c r="AW35">
        <v>45</v>
      </c>
      <c r="AX35" s="2">
        <f t="shared" si="121"/>
        <v>9.4983435887409401E-2</v>
      </c>
      <c r="AY35" s="3">
        <f t="shared" si="122"/>
        <v>133.46073517390303</v>
      </c>
      <c r="AZ35" s="2">
        <f t="shared" si="123"/>
        <v>5.2240889738075176E-2</v>
      </c>
      <c r="BA35" s="3">
        <f t="shared" si="124"/>
        <v>73.403404345646678</v>
      </c>
      <c r="BB35" s="2">
        <f t="shared" si="125"/>
        <v>4.2742546149334232E-2</v>
      </c>
      <c r="BC35" s="3">
        <f t="shared" si="126"/>
        <v>60.057330828256369</v>
      </c>
      <c r="BD35" t="s">
        <v>59</v>
      </c>
      <c r="BE35">
        <v>69</v>
      </c>
      <c r="BF35">
        <v>66</v>
      </c>
      <c r="BG35">
        <v>33</v>
      </c>
      <c r="BH35">
        <v>15</v>
      </c>
      <c r="BI35" s="2">
        <f t="shared" si="127"/>
        <v>7.8687471194463537E-2</v>
      </c>
      <c r="BJ35" s="3">
        <f t="shared" si="128"/>
        <v>116.98600542822732</v>
      </c>
      <c r="BK35" s="2">
        <f t="shared" si="129"/>
        <v>6.6884350515294011E-2</v>
      </c>
      <c r="BL35" s="3">
        <f t="shared" si="130"/>
        <v>99.438104613993218</v>
      </c>
      <c r="BM35" s="2">
        <f t="shared" si="131"/>
        <v>1.180312067916953E-2</v>
      </c>
      <c r="BN35" s="3">
        <f t="shared" si="132"/>
        <v>17.547900814234097</v>
      </c>
      <c r="BO35" t="s">
        <v>59</v>
      </c>
      <c r="BP35">
        <v>69</v>
      </c>
      <c r="BQ35">
        <v>63</v>
      </c>
      <c r="BR35">
        <v>33</v>
      </c>
      <c r="BS35">
        <v>15</v>
      </c>
      <c r="BT35" s="2">
        <f t="shared" si="133"/>
        <v>7.511076795835156E-2</v>
      </c>
      <c r="BU35" s="3">
        <f t="shared" si="134"/>
        <v>113.2378308781166</v>
      </c>
      <c r="BV35" s="2"/>
      <c r="BW35" t="s">
        <v>59</v>
      </c>
      <c r="BX35" s="4">
        <v>64</v>
      </c>
      <c r="BY35" s="4">
        <v>62</v>
      </c>
      <c r="BZ35">
        <v>31</v>
      </c>
      <c r="CA35">
        <v>20</v>
      </c>
      <c r="CB35" s="2">
        <f t="shared" si="135"/>
        <v>6.4406838188795543E-2</v>
      </c>
      <c r="CC35" s="3">
        <f t="shared" si="136"/>
        <v>101.68394469088105</v>
      </c>
      <c r="CD35" s="2">
        <f t="shared" si="137"/>
        <v>5.1525470551036436E-2</v>
      </c>
      <c r="CE35" s="3">
        <f t="shared" si="138"/>
        <v>81.34715575270485</v>
      </c>
      <c r="CF35" s="2">
        <f t="shared" si="139"/>
        <v>1.2881367637759109E-2</v>
      </c>
      <c r="CG35" s="3">
        <f t="shared" si="140"/>
        <v>20.336788938176213</v>
      </c>
    </row>
    <row r="36" spans="1:85">
      <c r="A36" t="s">
        <v>60</v>
      </c>
      <c r="B36">
        <v>97</v>
      </c>
      <c r="C36">
        <v>90</v>
      </c>
      <c r="D36">
        <v>45</v>
      </c>
      <c r="E36">
        <v>95</v>
      </c>
      <c r="F36" s="2">
        <f t="shared" si="105"/>
        <v>0.20569577899379168</v>
      </c>
      <c r="G36" s="3">
        <f t="shared" si="106"/>
        <v>229.22277500231274</v>
      </c>
      <c r="H36" s="2">
        <f t="shared" si="107"/>
        <v>1.0284788949689594E-2</v>
      </c>
      <c r="I36" s="3">
        <f t="shared" si="108"/>
        <v>11.461138750115648</v>
      </c>
      <c r="J36" s="2">
        <f t="shared" si="109"/>
        <v>0.19541099004410212</v>
      </c>
      <c r="K36" s="3">
        <f t="shared" si="110"/>
        <v>217.76163625219712</v>
      </c>
      <c r="L36" t="s">
        <v>60</v>
      </c>
      <c r="M36">
        <v>97</v>
      </c>
      <c r="N36">
        <v>80</v>
      </c>
      <c r="O36">
        <v>40</v>
      </c>
      <c r="P36">
        <v>90</v>
      </c>
      <c r="Q36" s="2">
        <f t="shared" si="111"/>
        <v>0.16252505994571195</v>
      </c>
      <c r="R36" s="3">
        <f t="shared" si="112"/>
        <v>194.37671331167792</v>
      </c>
      <c r="S36" s="2">
        <f t="shared" si="113"/>
        <v>1.6252505994571193E-2</v>
      </c>
      <c r="T36" s="3">
        <f t="shared" si="114"/>
        <v>19.437671331167788</v>
      </c>
      <c r="U36" s="2">
        <f t="shared" si="115"/>
        <v>0.14627255395114075</v>
      </c>
      <c r="V36" s="3">
        <f t="shared" si="116"/>
        <v>174.93904198051013</v>
      </c>
      <c r="W36" t="s">
        <v>60</v>
      </c>
      <c r="X36">
        <v>74</v>
      </c>
      <c r="Y36">
        <v>58</v>
      </c>
      <c r="Z36">
        <v>45</v>
      </c>
      <c r="AA36">
        <v>50</v>
      </c>
      <c r="AB36" s="2">
        <f t="shared" si="117"/>
        <v>0.10112786751905543</v>
      </c>
      <c r="AC36" s="3">
        <f t="shared" si="118"/>
        <v>139.44713456163831</v>
      </c>
      <c r="AD36" s="2">
        <v>0.20225573503811087</v>
      </c>
      <c r="AE36" s="3">
        <v>226.53253842540232</v>
      </c>
      <c r="AF36" s="2"/>
      <c r="AG36" s="3"/>
      <c r="AH36" t="s">
        <v>60</v>
      </c>
      <c r="AI36">
        <v>75</v>
      </c>
      <c r="AJ36">
        <v>62</v>
      </c>
      <c r="AK36">
        <v>36</v>
      </c>
      <c r="AL36">
        <v>40</v>
      </c>
      <c r="AM36" s="2">
        <f t="shared" si="119"/>
        <v>8.7650435035155211E-2</v>
      </c>
      <c r="AN36" s="3">
        <f t="shared" si="120"/>
        <v>126.16179319137449</v>
      </c>
      <c r="AO36" s="2"/>
      <c r="AP36" s="3"/>
      <c r="AQ36" s="2"/>
      <c r="AR36" s="3"/>
      <c r="AS36" t="s">
        <v>60</v>
      </c>
      <c r="AT36">
        <v>81</v>
      </c>
      <c r="AU36">
        <v>83</v>
      </c>
      <c r="AV36">
        <v>48</v>
      </c>
      <c r="AW36">
        <v>30</v>
      </c>
      <c r="AX36" s="2">
        <f t="shared" si="121"/>
        <v>0.16896741928067344</v>
      </c>
      <c r="AY36" s="3">
        <f t="shared" si="122"/>
        <v>199.73863594122756</v>
      </c>
      <c r="AZ36" s="2">
        <f t="shared" si="123"/>
        <v>0.11827719349647139</v>
      </c>
      <c r="BA36" s="3">
        <f t="shared" si="124"/>
        <v>139.81704515885929</v>
      </c>
      <c r="BB36" s="2">
        <f t="shared" si="125"/>
        <v>5.0690225784202028E-2</v>
      </c>
      <c r="BC36" s="3">
        <f t="shared" si="126"/>
        <v>59.921590782368263</v>
      </c>
      <c r="BD36" t="s">
        <v>60</v>
      </c>
      <c r="BE36">
        <v>92</v>
      </c>
      <c r="BF36">
        <v>83</v>
      </c>
      <c r="BG36">
        <v>42</v>
      </c>
      <c r="BH36">
        <v>15</v>
      </c>
      <c r="BI36" s="2">
        <f t="shared" si="127"/>
        <v>0.1679244105196816</v>
      </c>
      <c r="BJ36" s="3">
        <f t="shared" si="128"/>
        <v>198.8747664788028</v>
      </c>
      <c r="BK36" s="2">
        <f t="shared" si="129"/>
        <v>0.14273574894172936</v>
      </c>
      <c r="BL36" s="3">
        <f t="shared" si="130"/>
        <v>169.04355150698237</v>
      </c>
      <c r="BM36" s="2">
        <f t="shared" si="131"/>
        <v>2.5188661577952239E-2</v>
      </c>
      <c r="BN36" s="3">
        <f t="shared" si="132"/>
        <v>29.831214971820419</v>
      </c>
      <c r="BO36" t="s">
        <v>60</v>
      </c>
      <c r="BP36">
        <v>84</v>
      </c>
      <c r="BQ36">
        <v>83</v>
      </c>
      <c r="BR36">
        <v>42</v>
      </c>
      <c r="BS36">
        <v>15</v>
      </c>
      <c r="BT36" s="2">
        <f t="shared" si="133"/>
        <v>0.15332228786579627</v>
      </c>
      <c r="BU36" s="3">
        <f t="shared" si="134"/>
        <v>186.60518368734301</v>
      </c>
      <c r="BV36" s="2"/>
      <c r="BW36" t="s">
        <v>60</v>
      </c>
      <c r="BX36" s="4">
        <v>83</v>
      </c>
      <c r="BY36" s="4">
        <v>80</v>
      </c>
      <c r="BZ36">
        <v>41</v>
      </c>
      <c r="CA36">
        <v>20</v>
      </c>
      <c r="CB36" s="2">
        <f t="shared" si="135"/>
        <v>0.14254453066888087</v>
      </c>
      <c r="CC36" s="3">
        <f t="shared" si="136"/>
        <v>177.32313093168875</v>
      </c>
      <c r="CD36" s="2">
        <f t="shared" si="137"/>
        <v>0.1140356245351047</v>
      </c>
      <c r="CE36" s="3">
        <f t="shared" si="138"/>
        <v>141.85850474535101</v>
      </c>
      <c r="CF36" s="2">
        <f t="shared" si="139"/>
        <v>2.8508906133776175E-2</v>
      </c>
      <c r="CG36" s="3">
        <f t="shared" si="140"/>
        <v>35.464626186337753</v>
      </c>
    </row>
    <row r="37" spans="1:85">
      <c r="A37" t="s">
        <v>61</v>
      </c>
      <c r="B37">
        <v>79</v>
      </c>
      <c r="C37">
        <v>81</v>
      </c>
      <c r="D37">
        <v>42</v>
      </c>
      <c r="E37">
        <v>60</v>
      </c>
      <c r="F37" s="2">
        <f t="shared" si="105"/>
        <v>0.14072135973224759</v>
      </c>
      <c r="G37" s="3">
        <f t="shared" si="106"/>
        <v>175.73247110544173</v>
      </c>
      <c r="H37" s="2">
        <f t="shared" si="107"/>
        <v>5.6288543892899036E-2</v>
      </c>
      <c r="I37" s="3">
        <f t="shared" si="108"/>
        <v>70.292988442176693</v>
      </c>
      <c r="J37" s="2">
        <f t="shared" si="109"/>
        <v>8.4432815839348543E-2</v>
      </c>
      <c r="K37" s="3">
        <f t="shared" si="110"/>
        <v>105.43948266326504</v>
      </c>
      <c r="L37" t="s">
        <v>61</v>
      </c>
      <c r="M37">
        <v>74</v>
      </c>
      <c r="N37">
        <v>76</v>
      </c>
      <c r="O37">
        <v>42</v>
      </c>
      <c r="P37">
        <v>40</v>
      </c>
      <c r="Q37" s="2">
        <f t="shared" si="111"/>
        <v>0.12367821958652296</v>
      </c>
      <c r="R37" s="3">
        <f t="shared" si="112"/>
        <v>160.54813216609955</v>
      </c>
      <c r="S37" s="2">
        <f t="shared" si="113"/>
        <v>7.4206931751913771E-2</v>
      </c>
      <c r="T37" s="3">
        <f t="shared" si="114"/>
        <v>96.328879299659732</v>
      </c>
      <c r="U37" s="2">
        <f t="shared" si="115"/>
        <v>4.947128783460919E-2</v>
      </c>
      <c r="V37" s="3">
        <f t="shared" si="116"/>
        <v>64.219252866439817</v>
      </c>
      <c r="W37" t="s">
        <v>61</v>
      </c>
      <c r="X37">
        <v>84</v>
      </c>
      <c r="Y37">
        <v>52</v>
      </c>
      <c r="Z37">
        <v>51</v>
      </c>
      <c r="AA37">
        <v>45</v>
      </c>
      <c r="AB37" s="2">
        <f t="shared" si="117"/>
        <v>0.11664105204248183</v>
      </c>
      <c r="AC37" s="3">
        <f t="shared" si="118"/>
        <v>154.09764429659322</v>
      </c>
      <c r="AD37" s="2">
        <v>0.23328210408496367</v>
      </c>
      <c r="AE37" s="3">
        <v>250.33236170551706</v>
      </c>
      <c r="AF37" s="2"/>
      <c r="AG37" s="3"/>
      <c r="AH37" t="s">
        <v>61</v>
      </c>
      <c r="AI37">
        <v>65</v>
      </c>
      <c r="AJ37">
        <v>77</v>
      </c>
      <c r="AK37">
        <v>51</v>
      </c>
      <c r="AL37">
        <v>20</v>
      </c>
      <c r="AM37" s="2">
        <f t="shared" si="119"/>
        <v>0.13365120546534379</v>
      </c>
      <c r="AN37" s="3">
        <f t="shared" si="120"/>
        <v>169.50441562863506</v>
      </c>
      <c r="AO37" s="2"/>
      <c r="AP37" s="3"/>
      <c r="AQ37" s="2"/>
      <c r="AR37" s="3"/>
      <c r="AS37" t="s">
        <v>61</v>
      </c>
      <c r="AT37">
        <v>96</v>
      </c>
      <c r="AU37">
        <v>81</v>
      </c>
      <c r="AV37">
        <v>51</v>
      </c>
      <c r="AW37">
        <v>50</v>
      </c>
      <c r="AX37" s="2">
        <f t="shared" si="121"/>
        <v>0.20764670803167096</v>
      </c>
      <c r="AY37" s="3">
        <f t="shared" si="122"/>
        <v>230.74246892246629</v>
      </c>
      <c r="AZ37" s="2">
        <f t="shared" si="123"/>
        <v>0.10382335401583548</v>
      </c>
      <c r="BA37" s="3">
        <f t="shared" si="124"/>
        <v>115.37123446123314</v>
      </c>
      <c r="BB37" s="2">
        <f t="shared" si="125"/>
        <v>0.10382335401583548</v>
      </c>
      <c r="BC37" s="3">
        <f t="shared" si="126"/>
        <v>115.37123446123314</v>
      </c>
      <c r="BD37" t="s">
        <v>61</v>
      </c>
      <c r="BE37">
        <v>96</v>
      </c>
      <c r="BF37">
        <v>70</v>
      </c>
      <c r="BG37">
        <v>47</v>
      </c>
      <c r="BH37">
        <v>25</v>
      </c>
      <c r="BI37" s="2">
        <f t="shared" si="127"/>
        <v>0.1653734372849667</v>
      </c>
      <c r="BJ37" s="3">
        <f t="shared" si="128"/>
        <v>196.75511313020152</v>
      </c>
      <c r="BK37" s="2">
        <f t="shared" si="129"/>
        <v>0.12403007796372503</v>
      </c>
      <c r="BL37" s="3">
        <f t="shared" si="130"/>
        <v>147.56633484765115</v>
      </c>
      <c r="BM37" s="2">
        <f t="shared" si="131"/>
        <v>4.1343359321241675E-2</v>
      </c>
      <c r="BN37" s="3">
        <f t="shared" si="132"/>
        <v>49.188778282550381</v>
      </c>
      <c r="BO37" t="s">
        <v>61</v>
      </c>
      <c r="BP37">
        <v>88</v>
      </c>
      <c r="BQ37">
        <v>63</v>
      </c>
      <c r="BR37">
        <v>47</v>
      </c>
      <c r="BS37">
        <v>25</v>
      </c>
      <c r="BT37" s="2">
        <f t="shared" si="133"/>
        <v>0.13643308576009752</v>
      </c>
      <c r="BU37" s="3">
        <f t="shared" si="134"/>
        <v>171.9664758662131</v>
      </c>
      <c r="BV37" s="2"/>
      <c r="BW37" t="s">
        <v>61</v>
      </c>
      <c r="BX37" s="4">
        <v>86</v>
      </c>
      <c r="BY37" s="4">
        <v>68</v>
      </c>
      <c r="BZ37">
        <v>47</v>
      </c>
      <c r="CA37">
        <v>15</v>
      </c>
      <c r="CB37" s="2">
        <f t="shared" si="135"/>
        <v>0.14391426506584604</v>
      </c>
      <c r="CC37" s="3">
        <f t="shared" si="136"/>
        <v>178.51416832756036</v>
      </c>
      <c r="CD37" s="2">
        <f t="shared" si="137"/>
        <v>0.12232712530596913</v>
      </c>
      <c r="CE37" s="3">
        <f t="shared" si="138"/>
        <v>151.7370430784263</v>
      </c>
      <c r="CF37" s="2">
        <f t="shared" si="139"/>
        <v>2.1587139759876906E-2</v>
      </c>
      <c r="CG37" s="3">
        <f t="shared" si="140"/>
        <v>26.777125249134052</v>
      </c>
    </row>
    <row r="38" spans="1:85">
      <c r="A38" t="s">
        <v>62</v>
      </c>
      <c r="B38">
        <v>63</v>
      </c>
      <c r="C38">
        <v>55</v>
      </c>
      <c r="D38">
        <v>28</v>
      </c>
      <c r="E38">
        <v>98</v>
      </c>
      <c r="F38" s="2">
        <f t="shared" si="105"/>
        <v>5.0799553208546948E-2</v>
      </c>
      <c r="G38" s="3">
        <f t="shared" si="106"/>
        <v>86.119584301426912</v>
      </c>
      <c r="H38" s="2">
        <f t="shared" si="107"/>
        <v>1.0159910641709398E-3</v>
      </c>
      <c r="I38" s="3">
        <f t="shared" si="108"/>
        <v>1.7223916860285398</v>
      </c>
      <c r="J38" s="2">
        <f t="shared" si="109"/>
        <v>4.9783562144376008E-2</v>
      </c>
      <c r="K38" s="3">
        <f t="shared" si="110"/>
        <v>84.397192615398367</v>
      </c>
      <c r="L38" t="s">
        <v>62</v>
      </c>
      <c r="M38">
        <v>62</v>
      </c>
      <c r="N38">
        <v>56</v>
      </c>
      <c r="O38">
        <v>26</v>
      </c>
      <c r="P38">
        <v>100</v>
      </c>
      <c r="Q38" s="2">
        <f t="shared" si="111"/>
        <v>4.7266308670809637E-2</v>
      </c>
      <c r="R38" s="3">
        <f t="shared" si="112"/>
        <v>81.881573677007808</v>
      </c>
      <c r="S38" s="2">
        <f t="shared" si="113"/>
        <v>0</v>
      </c>
      <c r="T38" s="3">
        <f t="shared" si="114"/>
        <v>0</v>
      </c>
      <c r="U38" s="2">
        <f t="shared" si="115"/>
        <v>4.7266308670809637E-2</v>
      </c>
      <c r="V38" s="3">
        <f t="shared" si="116"/>
        <v>81.881573677007808</v>
      </c>
      <c r="W38" t="s">
        <v>62</v>
      </c>
      <c r="X38" t="s">
        <v>63</v>
      </c>
      <c r="Y38" t="s">
        <v>64</v>
      </c>
      <c r="Z38" t="s">
        <v>65</v>
      </c>
      <c r="AA38">
        <v>100</v>
      </c>
      <c r="AB38" s="2">
        <v>0</v>
      </c>
      <c r="AC38" s="3">
        <v>0</v>
      </c>
      <c r="AD38" s="2" t="e">
        <v>#VALUE!</v>
      </c>
      <c r="AE38" s="3" t="e">
        <v>#VALUE!</v>
      </c>
      <c r="AF38" s="2"/>
      <c r="AG38" s="3"/>
      <c r="AH38" t="s">
        <v>62</v>
      </c>
      <c r="AI38" t="s">
        <v>29</v>
      </c>
      <c r="AL38">
        <v>100</v>
      </c>
      <c r="AM38" s="2" t="e">
        <f t="shared" si="119"/>
        <v>#VALUE!</v>
      </c>
      <c r="AN38" s="3" t="e">
        <f t="shared" si="120"/>
        <v>#VALUE!</v>
      </c>
      <c r="AO38" s="2"/>
      <c r="AP38" s="3"/>
      <c r="AQ38" s="2"/>
      <c r="AR38" s="3"/>
      <c r="AS38" t="s">
        <v>62</v>
      </c>
      <c r="AT38">
        <v>64</v>
      </c>
      <c r="AU38">
        <v>57</v>
      </c>
      <c r="AV38">
        <v>34</v>
      </c>
      <c r="AW38">
        <v>100</v>
      </c>
      <c r="AX38" s="2">
        <f t="shared" si="121"/>
        <v>6.4943003335008201E-2</v>
      </c>
      <c r="AY38" s="3">
        <f t="shared" si="122"/>
        <v>102.27574655988919</v>
      </c>
      <c r="AZ38" s="2">
        <f t="shared" si="123"/>
        <v>0</v>
      </c>
      <c r="BA38" s="3">
        <f t="shared" si="124"/>
        <v>0</v>
      </c>
      <c r="BB38" s="2">
        <f t="shared" si="125"/>
        <v>6.4943003335008201E-2</v>
      </c>
      <c r="BC38" s="3">
        <f t="shared" si="126"/>
        <v>102.27574655988919</v>
      </c>
      <c r="BD38" t="s">
        <v>62</v>
      </c>
      <c r="BE38">
        <v>61</v>
      </c>
      <c r="BF38">
        <v>53</v>
      </c>
      <c r="BG38">
        <v>29</v>
      </c>
      <c r="BH38">
        <v>100</v>
      </c>
      <c r="BI38" s="2">
        <f t="shared" si="127"/>
        <v>4.9091050403769702E-2</v>
      </c>
      <c r="BJ38" s="3">
        <f t="shared" si="128"/>
        <v>84.081727784875611</v>
      </c>
      <c r="BK38" s="2">
        <f t="shared" si="129"/>
        <v>0</v>
      </c>
      <c r="BL38" s="3">
        <f t="shared" si="130"/>
        <v>0</v>
      </c>
      <c r="BM38" s="2">
        <f t="shared" si="131"/>
        <v>4.9091050403769702E-2</v>
      </c>
      <c r="BN38" s="3">
        <f t="shared" si="132"/>
        <v>84.081727784875611</v>
      </c>
      <c r="BO38" t="s">
        <v>62</v>
      </c>
      <c r="BT38" s="2">
        <f t="shared" si="133"/>
        <v>0</v>
      </c>
      <c r="BU38" s="3" t="e">
        <f t="shared" si="134"/>
        <v>#NUM!</v>
      </c>
      <c r="BV38" s="2"/>
      <c r="BW38" t="s">
        <v>62</v>
      </c>
      <c r="BX38">
        <v>64</v>
      </c>
      <c r="BY38">
        <v>57</v>
      </c>
      <c r="BZ38">
        <v>34</v>
      </c>
      <c r="CA38">
        <v>100</v>
      </c>
      <c r="CB38" s="2">
        <f t="shared" si="135"/>
        <v>6.4943003335008201E-2</v>
      </c>
      <c r="CC38" s="3">
        <f t="shared" si="136"/>
        <v>102.27574655988919</v>
      </c>
      <c r="CD38" s="2">
        <f t="shared" si="137"/>
        <v>0</v>
      </c>
      <c r="CE38" s="3">
        <f t="shared" si="138"/>
        <v>0</v>
      </c>
      <c r="CF38" s="2">
        <f t="shared" si="139"/>
        <v>6.4943003335008201E-2</v>
      </c>
      <c r="CG38" s="3">
        <f t="shared" si="140"/>
        <v>102.27574655988919</v>
      </c>
    </row>
    <row r="39" spans="1:85">
      <c r="A39" t="s">
        <v>66</v>
      </c>
      <c r="B39">
        <v>75</v>
      </c>
      <c r="C39">
        <v>56</v>
      </c>
      <c r="D39">
        <v>37</v>
      </c>
      <c r="E39">
        <v>80</v>
      </c>
      <c r="F39" s="2">
        <f t="shared" si="105"/>
        <v>8.1367249727975641E-2</v>
      </c>
      <c r="G39" s="3">
        <f t="shared" si="106"/>
        <v>119.76081580617895</v>
      </c>
      <c r="H39" s="2">
        <f t="shared" si="107"/>
        <v>1.6273449945595125E-2</v>
      </c>
      <c r="I39" s="3">
        <f t="shared" si="108"/>
        <v>23.952163161235784</v>
      </c>
      <c r="J39" s="2">
        <f t="shared" si="109"/>
        <v>6.5093799782380515E-2</v>
      </c>
      <c r="K39" s="3">
        <f t="shared" si="110"/>
        <v>95.808652644943166</v>
      </c>
      <c r="L39" t="s">
        <v>66</v>
      </c>
      <c r="M39">
        <v>69</v>
      </c>
      <c r="N39">
        <v>56</v>
      </c>
      <c r="O39">
        <v>35</v>
      </c>
      <c r="P39">
        <v>50</v>
      </c>
      <c r="Q39" s="2">
        <f t="shared" si="111"/>
        <v>7.0811498411913934E-2</v>
      </c>
      <c r="R39" s="3">
        <f t="shared" si="112"/>
        <v>108.66073768524006</v>
      </c>
      <c r="S39" s="2">
        <f t="shared" si="113"/>
        <v>3.5405749205956967E-2</v>
      </c>
      <c r="T39" s="3">
        <f t="shared" si="114"/>
        <v>54.330368842620032</v>
      </c>
      <c r="U39" s="2">
        <f t="shared" si="115"/>
        <v>3.5405749205956967E-2</v>
      </c>
      <c r="V39" s="3">
        <f t="shared" si="116"/>
        <v>54.330368842620032</v>
      </c>
      <c r="W39" t="s">
        <v>66</v>
      </c>
      <c r="X39">
        <v>66</v>
      </c>
      <c r="Y39">
        <v>39</v>
      </c>
      <c r="Z39">
        <v>38</v>
      </c>
      <c r="AA39">
        <v>40</v>
      </c>
      <c r="AB39" s="2">
        <f t="shared" si="117"/>
        <v>5.1214243438820806E-2</v>
      </c>
      <c r="AC39" s="3">
        <f>10^(2.841+0.7*LOG(AB39))</f>
        <v>86.611095747353076</v>
      </c>
      <c r="AD39" s="2">
        <v>0.10242848687764161</v>
      </c>
      <c r="AE39" s="3">
        <v>140.70014014365381</v>
      </c>
      <c r="AF39" s="2"/>
      <c r="AG39" s="3"/>
      <c r="AH39" t="s">
        <v>66</v>
      </c>
      <c r="AI39">
        <v>70</v>
      </c>
      <c r="AJ39">
        <v>41</v>
      </c>
      <c r="AK39">
        <v>38</v>
      </c>
      <c r="AL39">
        <v>35</v>
      </c>
      <c r="AM39" s="2">
        <f t="shared" si="119"/>
        <v>5.7103682466750461E-2</v>
      </c>
      <c r="AN39" s="3">
        <f t="shared" si="120"/>
        <v>93.468415603232302</v>
      </c>
      <c r="AO39" s="2"/>
      <c r="AP39" s="3"/>
      <c r="AQ39" s="2"/>
      <c r="AR39" s="3"/>
      <c r="AS39" t="s">
        <v>66</v>
      </c>
      <c r="AT39">
        <v>73</v>
      </c>
      <c r="AU39">
        <v>57</v>
      </c>
      <c r="AV39">
        <v>39</v>
      </c>
      <c r="AW39">
        <v>90</v>
      </c>
      <c r="AX39" s="2">
        <f t="shared" si="121"/>
        <v>8.4969085705316333E-2</v>
      </c>
      <c r="AY39" s="3">
        <f t="shared" si="122"/>
        <v>123.44760300001083</v>
      </c>
      <c r="AZ39" s="2">
        <f t="shared" si="123"/>
        <v>8.4969085705316316E-3</v>
      </c>
      <c r="BA39" s="3">
        <f t="shared" si="124"/>
        <v>12.344760300001081</v>
      </c>
      <c r="BB39" s="2">
        <f t="shared" si="125"/>
        <v>7.64721771347847E-2</v>
      </c>
      <c r="BC39" s="3">
        <f t="shared" si="126"/>
        <v>111.10284270000975</v>
      </c>
      <c r="BD39" t="s">
        <v>66</v>
      </c>
      <c r="BE39">
        <v>70</v>
      </c>
      <c r="BF39">
        <v>60</v>
      </c>
      <c r="BG39">
        <v>33</v>
      </c>
      <c r="BH39">
        <v>85</v>
      </c>
      <c r="BI39" s="2">
        <f t="shared" si="127"/>
        <v>7.2570790297924223E-2</v>
      </c>
      <c r="BJ39" s="3">
        <f t="shared" si="128"/>
        <v>110.54352184585323</v>
      </c>
      <c r="BK39" s="2">
        <f t="shared" si="129"/>
        <v>1.0885618544688636E-2</v>
      </c>
      <c r="BL39" s="3">
        <f t="shared" si="130"/>
        <v>16.581528276877986</v>
      </c>
      <c r="BM39" s="2">
        <f t="shared" si="131"/>
        <v>6.1685171753235589E-2</v>
      </c>
      <c r="BN39" s="3">
        <f t="shared" si="132"/>
        <v>93.961993568975245</v>
      </c>
      <c r="BO39" t="s">
        <v>66</v>
      </c>
      <c r="BP39">
        <v>28</v>
      </c>
      <c r="BQ39">
        <v>20</v>
      </c>
      <c r="BR39">
        <v>29</v>
      </c>
      <c r="BS39">
        <v>85</v>
      </c>
      <c r="BT39" s="2">
        <f t="shared" si="133"/>
        <v>8.5032441157163741E-3</v>
      </c>
      <c r="BU39" s="3">
        <f t="shared" si="134"/>
        <v>24.64388951391776</v>
      </c>
      <c r="BV39" s="2"/>
      <c r="BW39" t="s">
        <v>66</v>
      </c>
      <c r="BX39" s="4">
        <v>65</v>
      </c>
      <c r="BY39" s="4">
        <v>63</v>
      </c>
      <c r="BZ39">
        <v>29</v>
      </c>
      <c r="CA39">
        <v>65</v>
      </c>
      <c r="CB39" s="2">
        <f t="shared" si="135"/>
        <v>6.2179972596175977E-2</v>
      </c>
      <c r="CC39" s="3">
        <f t="shared" si="136"/>
        <v>99.209981446320327</v>
      </c>
      <c r="CD39" s="2">
        <f t="shared" si="137"/>
        <v>2.176299040866159E-2</v>
      </c>
      <c r="CE39" s="3">
        <f t="shared" si="138"/>
        <v>34.723493506212115</v>
      </c>
      <c r="CF39" s="2">
        <f t="shared" si="139"/>
        <v>4.0416982187514383E-2</v>
      </c>
      <c r="CG39" s="3">
        <f t="shared" si="140"/>
        <v>64.486487940108219</v>
      </c>
    </row>
    <row r="40" spans="1:85">
      <c r="A40" t="s">
        <v>67</v>
      </c>
      <c r="B40">
        <v>69</v>
      </c>
      <c r="C40">
        <v>52</v>
      </c>
      <c r="D40">
        <v>30</v>
      </c>
      <c r="E40">
        <v>65</v>
      </c>
      <c r="F40" s="2">
        <f t="shared" si="105"/>
        <v>5.6360172205400884E-2</v>
      </c>
      <c r="G40" s="3">
        <f t="shared" si="106"/>
        <v>92.614847932772136</v>
      </c>
      <c r="H40" s="2">
        <f t="shared" si="107"/>
        <v>1.9726060271890309E-2</v>
      </c>
      <c r="I40" s="3">
        <f t="shared" si="108"/>
        <v>32.415196776470246</v>
      </c>
      <c r="J40" s="2">
        <f t="shared" si="109"/>
        <v>3.6634111933510578E-2</v>
      </c>
      <c r="K40" s="3">
        <f t="shared" si="110"/>
        <v>60.19965115630189</v>
      </c>
      <c r="L40" t="s">
        <v>67</v>
      </c>
      <c r="M40">
        <v>67</v>
      </c>
      <c r="N40">
        <v>50</v>
      </c>
      <c r="O40">
        <v>30</v>
      </c>
      <c r="P40">
        <v>50</v>
      </c>
      <c r="Q40" s="2">
        <f t="shared" si="111"/>
        <v>5.2621676947629037E-2</v>
      </c>
      <c r="R40" s="3">
        <f t="shared" si="112"/>
        <v>88.270437446088039</v>
      </c>
      <c r="S40" s="2">
        <f t="shared" si="113"/>
        <v>2.6310838473814518E-2</v>
      </c>
      <c r="T40" s="3">
        <f t="shared" si="114"/>
        <v>44.135218723044019</v>
      </c>
      <c r="U40" s="2">
        <f t="shared" si="115"/>
        <v>2.6310838473814518E-2</v>
      </c>
      <c r="V40" s="3">
        <f t="shared" si="116"/>
        <v>44.135218723044019</v>
      </c>
      <c r="W40" t="s">
        <v>67</v>
      </c>
      <c r="X40">
        <v>81</v>
      </c>
      <c r="Y40">
        <v>56</v>
      </c>
      <c r="Z40">
        <v>39</v>
      </c>
      <c r="AA40">
        <v>15</v>
      </c>
      <c r="AB40" s="2">
        <f t="shared" si="117"/>
        <v>9.2626717798441449E-2</v>
      </c>
      <c r="AC40" s="3">
        <f>10^(2.841+0.7*LOG(AB40))</f>
        <v>131.13402533169284</v>
      </c>
      <c r="AD40" s="2">
        <v>0.1852534355968829</v>
      </c>
      <c r="AE40" s="3">
        <v>213.02785263901382</v>
      </c>
      <c r="AF40" s="2"/>
      <c r="AG40" s="3"/>
      <c r="AH40" t="s">
        <v>67</v>
      </c>
      <c r="AI40">
        <v>78</v>
      </c>
      <c r="AJ40">
        <v>52</v>
      </c>
      <c r="AK40">
        <v>31</v>
      </c>
      <c r="AL40">
        <v>10</v>
      </c>
      <c r="AM40" s="2">
        <f t="shared" si="119"/>
        <v>6.5835215648627696E-2</v>
      </c>
      <c r="AN40" s="3">
        <f t="shared" si="120"/>
        <v>103.25730449833335</v>
      </c>
      <c r="AO40" s="2"/>
      <c r="AP40" s="3"/>
      <c r="AQ40" s="2"/>
      <c r="AR40" s="3"/>
      <c r="AS40" t="s">
        <v>67</v>
      </c>
      <c r="AT40">
        <v>82</v>
      </c>
      <c r="AU40">
        <v>64</v>
      </c>
      <c r="AV40">
        <v>37</v>
      </c>
      <c r="AW40">
        <v>50</v>
      </c>
      <c r="AX40" s="2">
        <f t="shared" si="121"/>
        <v>0.10167031585057526</v>
      </c>
      <c r="AY40" s="3">
        <f t="shared" si="122"/>
        <v>139.97030885970821</v>
      </c>
      <c r="AZ40" s="2">
        <f t="shared" si="123"/>
        <v>5.083515792528763E-2</v>
      </c>
      <c r="BA40" s="3">
        <f t="shared" si="124"/>
        <v>69.985154429854106</v>
      </c>
      <c r="BB40" s="2">
        <f t="shared" si="125"/>
        <v>5.083515792528763E-2</v>
      </c>
      <c r="BC40" s="3">
        <f t="shared" si="126"/>
        <v>69.985154429854106</v>
      </c>
      <c r="BD40" t="s">
        <v>67</v>
      </c>
      <c r="BE40">
        <v>88</v>
      </c>
      <c r="BF40">
        <v>60</v>
      </c>
      <c r="BG40">
        <v>44</v>
      </c>
      <c r="BH40">
        <v>15</v>
      </c>
      <c r="BI40" s="2">
        <f t="shared" si="127"/>
        <v>0.12164246754699677</v>
      </c>
      <c r="BJ40" s="3">
        <f t="shared" si="128"/>
        <v>158.69368865136482</v>
      </c>
      <c r="BK40" s="2">
        <f t="shared" si="129"/>
        <v>0.10339609741494725</v>
      </c>
      <c r="BL40" s="3">
        <f t="shared" si="130"/>
        <v>134.88963535366008</v>
      </c>
      <c r="BM40" s="2">
        <f t="shared" si="131"/>
        <v>1.8246370132049515E-2</v>
      </c>
      <c r="BN40" s="3">
        <f t="shared" si="132"/>
        <v>23.804053297704723</v>
      </c>
      <c r="BO40" t="s">
        <v>67</v>
      </c>
      <c r="BP40">
        <v>88</v>
      </c>
      <c r="BQ40">
        <v>46</v>
      </c>
      <c r="BR40">
        <v>44</v>
      </c>
      <c r="BS40">
        <v>15</v>
      </c>
      <c r="BT40" s="2">
        <f t="shared" si="133"/>
        <v>9.32592251193642E-2</v>
      </c>
      <c r="BU40" s="3">
        <f t="shared" si="134"/>
        <v>131.76020499322959</v>
      </c>
      <c r="BV40" s="2"/>
      <c r="BW40" t="s">
        <v>67</v>
      </c>
      <c r="BX40" s="4">
        <v>80</v>
      </c>
      <c r="BY40" s="4">
        <v>53</v>
      </c>
      <c r="BZ40">
        <v>42</v>
      </c>
      <c r="CA40">
        <v>15</v>
      </c>
      <c r="CB40" s="2">
        <f t="shared" si="135"/>
        <v>9.3242469958545043E-2</v>
      </c>
      <c r="CC40" s="3">
        <f t="shared" si="136"/>
        <v>131.7436339135883</v>
      </c>
      <c r="CD40" s="2">
        <f t="shared" si="137"/>
        <v>7.925609946476328E-2</v>
      </c>
      <c r="CE40" s="3">
        <f t="shared" si="138"/>
        <v>111.98208882655005</v>
      </c>
      <c r="CF40" s="2">
        <f t="shared" si="139"/>
        <v>1.3986370493781757E-2</v>
      </c>
      <c r="CG40" s="3">
        <f t="shared" si="140"/>
        <v>19.761545087038243</v>
      </c>
    </row>
    <row r="41" spans="1:85" ht="23">
      <c r="A41" t="s">
        <v>42</v>
      </c>
      <c r="B41" s="5">
        <v>75</v>
      </c>
      <c r="C41" s="5">
        <v>69.400000000000006</v>
      </c>
      <c r="D41" s="5">
        <v>35.700000000000003</v>
      </c>
      <c r="E41" s="6">
        <v>64.8</v>
      </c>
      <c r="F41" s="7">
        <f t="shared" ref="F41:K41" si="141">AVERAGE(F31,F32,F33,F34,F35,F36,F37,F38,F39,F40)</f>
        <v>0.10300826780186161</v>
      </c>
      <c r="G41" s="8">
        <f t="shared" si="141"/>
        <v>138.21304230849444</v>
      </c>
      <c r="H41" s="7">
        <f t="shared" si="141"/>
        <v>3.2554510399393569E-2</v>
      </c>
      <c r="I41" s="8">
        <f t="shared" si="141"/>
        <v>45.343867294853325</v>
      </c>
      <c r="J41" s="7">
        <f t="shared" si="141"/>
        <v>7.0453757402468037E-2</v>
      </c>
      <c r="K41" s="8">
        <f t="shared" si="141"/>
        <v>92.869175013641126</v>
      </c>
      <c r="L41" t="s">
        <v>42</v>
      </c>
      <c r="M41" s="5">
        <v>76.099999999999994</v>
      </c>
      <c r="N41" s="5">
        <v>65.3</v>
      </c>
      <c r="O41" s="5">
        <v>33.1</v>
      </c>
      <c r="P41" s="6">
        <v>58.5</v>
      </c>
      <c r="Q41" s="7">
        <f t="shared" ref="Q41:V41" si="142">AVERAGE(Q31,Q32,Q33,Q34,Q35,Q36,Q37,Q38,Q39,Q40)</f>
        <v>8.9852534405688994E-2</v>
      </c>
      <c r="R41" s="8">
        <f t="shared" si="142"/>
        <v>126.43821087685913</v>
      </c>
      <c r="S41" s="7">
        <f t="shared" si="142"/>
        <v>3.6368346284986267E-2</v>
      </c>
      <c r="T41" s="8">
        <f t="shared" si="142"/>
        <v>51.874879629660235</v>
      </c>
      <c r="U41" s="7">
        <f t="shared" si="142"/>
        <v>5.3484188120702728E-2</v>
      </c>
      <c r="V41" s="8">
        <f t="shared" si="142"/>
        <v>74.563331247198875</v>
      </c>
      <c r="W41" t="s">
        <v>42</v>
      </c>
      <c r="X41" s="9">
        <f>AVERAGE(X31,X32,X33,X34,X35,X36,X37,X39,X40)</f>
        <v>72.111111111111114</v>
      </c>
      <c r="Y41" s="9">
        <f>AVERAGE(Y31:Y40)</f>
        <v>52.555555555555557</v>
      </c>
      <c r="Z41" s="9">
        <f>AVERAGE(Z31:Z40)</f>
        <v>41.111111111111114</v>
      </c>
      <c r="AA41" s="8">
        <f>AVERAGE(AA31:AA40)</f>
        <v>43</v>
      </c>
      <c r="AB41" s="7">
        <f>AVERAGE(AB31,AB32,AB33,AB34,AB35,AB36,AB37,AB38,AB39,AB40)</f>
        <v>7.6810526663576323E-2</v>
      </c>
      <c r="AC41" s="8">
        <f>AVERAGE(AC31,AC32,AC33,AC34,AC35,AC36,AC37,AC38,AC39,AC40)</f>
        <v>109.20615183390612</v>
      </c>
      <c r="AD41" s="7">
        <f>AVERAGE(AD31,AD32,AD33,AD34,AD35,AD36,AD37,AD39,AD40)</f>
        <v>0.17069005925239183</v>
      </c>
      <c r="AE41" s="8">
        <f>AVERAGE(AE31,AE32,AE33,AE34,AE35,AE36,AE37,AE39,AE40)</f>
        <v>197.11768560874029</v>
      </c>
      <c r="AH41" t="s">
        <v>42</v>
      </c>
      <c r="AI41" s="9">
        <f>AVERAGE(AI31:AI40)</f>
        <v>80.666666666666671</v>
      </c>
      <c r="AJ41" s="9">
        <f>AVERAGE(AJ31:AJ40)</f>
        <v>57.444444444444443</v>
      </c>
      <c r="AK41" s="9">
        <f>AVERAGE(AK31:AK40)</f>
        <v>40</v>
      </c>
      <c r="AL41" s="8">
        <f>AVERAGE(AL31:AL40)</f>
        <v>39.5</v>
      </c>
      <c r="AM41" s="7">
        <f>AVERAGE(AM31,AM32,AM33,AM34,AM35,AM36,AM37,AM39,AM40)</f>
        <v>9.8636991788250861E-2</v>
      </c>
      <c r="AN41" s="8">
        <f>AVERAGE(AN31,AN32,AN33,AN34,AN35,AN36,AN37,AN39,AN40)</f>
        <v>133.64662721201648</v>
      </c>
      <c r="AS41" t="s">
        <v>42</v>
      </c>
      <c r="AT41" s="9">
        <f>AVERAGE(AT31:AT40)</f>
        <v>79.400000000000006</v>
      </c>
      <c r="AU41" s="9">
        <f>AVERAGE(AU31:AU40)</f>
        <v>69.3</v>
      </c>
      <c r="AV41" s="9">
        <f>AVERAGE(AV31:AV40)</f>
        <v>42.9</v>
      </c>
      <c r="AW41" s="8">
        <f>AVERAGE(AW31:AW40)</f>
        <v>55</v>
      </c>
      <c r="AX41" s="7">
        <f t="shared" ref="AX41:BC41" si="143">AVERAGE(AX31,AX32,AX33,AX34,AX35,AX36,AX37,AX38,AX39,AX40)</f>
        <v>0.12827735415174574</v>
      </c>
      <c r="AY41" s="8">
        <f t="shared" si="143"/>
        <v>162.33847766885015</v>
      </c>
      <c r="AZ41" s="7">
        <f t="shared" si="143"/>
        <v>5.9731266056317046E-2</v>
      </c>
      <c r="BA41" s="8">
        <f t="shared" si="143"/>
        <v>75.134607315645482</v>
      </c>
      <c r="BB41" s="7">
        <f t="shared" si="143"/>
        <v>6.8546088095428698E-2</v>
      </c>
      <c r="BC41" s="8">
        <f t="shared" si="143"/>
        <v>87.203870353204678</v>
      </c>
      <c r="BD41" t="s">
        <v>42</v>
      </c>
      <c r="BE41" s="9">
        <f>AVERAGE(BE31:BE40)</f>
        <v>79.099999999999994</v>
      </c>
      <c r="BF41" s="9">
        <f>AVERAGE(BF31:BF40)</f>
        <v>67.8</v>
      </c>
      <c r="BG41" s="9">
        <f>AVERAGE(BG31:BG40)</f>
        <v>39.6</v>
      </c>
      <c r="BH41" s="8">
        <f>AVERAGE(BH31:BH40)</f>
        <v>41</v>
      </c>
      <c r="BI41" s="7">
        <f t="shared" ref="BI41:BN41" si="144">AVERAGE(BI31,BI32,BI33,BI34,BI35,BI36,BI37,BI38,BI39,BI40)</f>
        <v>0.11500066943840989</v>
      </c>
      <c r="BJ41" s="8">
        <f t="shared" si="144"/>
        <v>150.6851692631019</v>
      </c>
      <c r="BK41" s="7">
        <f t="shared" si="144"/>
        <v>7.5221503863402844E-2</v>
      </c>
      <c r="BL41" s="8">
        <f t="shared" si="144"/>
        <v>96.123170710629736</v>
      </c>
      <c r="BM41" s="7">
        <f t="shared" si="144"/>
        <v>3.9779165575007068E-2</v>
      </c>
      <c r="BN41" s="8">
        <f t="shared" si="144"/>
        <v>54.56199855247219</v>
      </c>
      <c r="BO41" t="s">
        <v>42</v>
      </c>
      <c r="BP41" s="9">
        <f>AVERAGE(BP31:BP40)</f>
        <v>67.555555555555557</v>
      </c>
      <c r="BQ41" s="9">
        <f>AVERAGE(BQ31:BQ40)</f>
        <v>53.222222222222221</v>
      </c>
      <c r="BR41" s="9">
        <f>AVERAGE(BR31:BR40)</f>
        <v>38.888888888888886</v>
      </c>
      <c r="BS41" s="8">
        <f>AVERAGE(BS31:BS40)</f>
        <v>34.444444444444443</v>
      </c>
      <c r="BT41" s="7">
        <f>AVERAGE(BT31,BT32,BT33,BT34,BT35,BT36,BT37,BT39,BT40)</f>
        <v>8.5483259702953868E-2</v>
      </c>
      <c r="BU41" s="8">
        <f>AVERAGE(BU31,BU32,BU33,BU34,BU35,BU36,BU37,BU39,BU40)</f>
        <v>118.03462993042129</v>
      </c>
      <c r="BW41" t="s">
        <v>42</v>
      </c>
      <c r="BX41" s="9">
        <f>AVERAGE(BX31:BX40)</f>
        <v>74.900000000000006</v>
      </c>
      <c r="BY41" s="9">
        <f>AVERAGE(BY31:BY40)</f>
        <v>65</v>
      </c>
      <c r="BZ41" s="9">
        <f>AVERAGE(BZ31:BZ40)</f>
        <v>39.4</v>
      </c>
      <c r="CA41" s="8">
        <f>AVERAGE(CA31:CA40)</f>
        <v>42</v>
      </c>
      <c r="CB41" s="7">
        <f t="shared" ref="CB41:CG41" si="145">AVERAGE(CB31,CB32,CB33,CB34,CB35,CB36,CB37,CB38,CB39,CB40)</f>
        <v>0.10297475748022333</v>
      </c>
      <c r="CC41" s="8">
        <f t="shared" si="145"/>
        <v>139.74391415797317</v>
      </c>
      <c r="CD41" s="7">
        <f t="shared" si="145"/>
        <v>6.3538609317092321E-2</v>
      </c>
      <c r="CE41" s="8">
        <f t="shared" si="145"/>
        <v>84.797915459346399</v>
      </c>
      <c r="CF41" s="7">
        <f t="shared" si="145"/>
        <v>3.9436148163130992E-2</v>
      </c>
      <c r="CG41" s="8">
        <f t="shared" si="145"/>
        <v>54.945998698626738</v>
      </c>
    </row>
    <row r="42" spans="1:85" ht="18">
      <c r="A42" t="s">
        <v>43</v>
      </c>
      <c r="B42" s="9">
        <v>14.26</v>
      </c>
      <c r="C42" s="9">
        <v>13.36</v>
      </c>
      <c r="D42" s="9">
        <v>5.91</v>
      </c>
      <c r="E42" s="9">
        <v>25.31</v>
      </c>
      <c r="F42" s="7">
        <f t="shared" ref="F42:K42" si="146">STDEV(F31,F32,F33,F34,F35,F36,F37,F38,F39,F40)</f>
        <v>5.0333176040309527E-2</v>
      </c>
      <c r="G42" s="9">
        <f t="shared" si="146"/>
        <v>47.263375194879373</v>
      </c>
      <c r="H42" s="7">
        <f t="shared" si="146"/>
        <v>2.1288059606941898E-2</v>
      </c>
      <c r="I42" s="9">
        <f t="shared" si="146"/>
        <v>28.91561739290718</v>
      </c>
      <c r="J42" s="7">
        <f t="shared" si="146"/>
        <v>5.163088429778024E-2</v>
      </c>
      <c r="K42" s="9">
        <f t="shared" si="146"/>
        <v>54.579456044922708</v>
      </c>
      <c r="L42" t="s">
        <v>43</v>
      </c>
      <c r="M42" s="9">
        <v>10.27</v>
      </c>
      <c r="N42" s="9">
        <v>10.66</v>
      </c>
      <c r="O42" s="9">
        <v>5.13</v>
      </c>
      <c r="P42" s="9">
        <v>26.88</v>
      </c>
      <c r="Q42" s="7">
        <f t="shared" ref="Q42:V42" si="147">STDEV(Q31,Q32,Q33,Q34,Q35,Q36,Q37,Q38,Q39,Q40)</f>
        <v>3.6372078715537319E-2</v>
      </c>
      <c r="R42" s="9">
        <f t="shared" si="147"/>
        <v>35.869093723565427</v>
      </c>
      <c r="S42" s="7">
        <f t="shared" si="147"/>
        <v>2.539869772691869E-2</v>
      </c>
      <c r="T42" s="9">
        <f t="shared" si="147"/>
        <v>34.972739524576035</v>
      </c>
      <c r="U42" s="7">
        <f t="shared" si="147"/>
        <v>3.9082148605691973E-2</v>
      </c>
      <c r="V42" s="9">
        <f t="shared" si="147"/>
        <v>45.331413360571275</v>
      </c>
      <c r="W42" t="s">
        <v>43</v>
      </c>
      <c r="X42" s="9">
        <f>STDEV(X31,X32,X33,X34,X35,X36,X37,X39,X40)</f>
        <v>17.842676680114767</v>
      </c>
      <c r="Y42" s="9">
        <f>STDEV(Y31:Y40)</f>
        <v>12.268976231853163</v>
      </c>
      <c r="Z42" s="9">
        <f>STDEV(Z31:Z40)</f>
        <v>5.0110987927909667</v>
      </c>
      <c r="AA42" s="9">
        <f>STDEV(AA31:AA40)</f>
        <v>26.373387259803309</v>
      </c>
      <c r="AB42" s="7">
        <f>STDEV(AB31,AB32,AB33,AB34,AB35,AB36,AB37,AB38,AB39,AB40)</f>
        <v>4.3302397728706046E-2</v>
      </c>
      <c r="AC42" s="9">
        <f>STDEV(AC31,AC32,AC33,AC34,AC35,AC36,AC37,AC38,AC39,AC40)</f>
        <v>52.963243409341459</v>
      </c>
      <c r="AD42" s="7">
        <f>STDEV(AD31,AD32,AD33,AD34,AD35,AD36,AD37,AD39,AD40)</f>
        <v>7.1834818047339655E-2</v>
      </c>
      <c r="AE42" s="9">
        <f>STDEV(AE31,AE32,AE33,AE34,AE35,AE36,AE37,AE39,AE40)</f>
        <v>62.903306872194463</v>
      </c>
      <c r="AH42" t="s">
        <v>43</v>
      </c>
      <c r="AI42" s="9">
        <f>STDEV(AI31:AI40)</f>
        <v>36.820510588529324</v>
      </c>
      <c r="AJ42" s="9">
        <f>STDEV(AJ31:AJ40)</f>
        <v>11.727223788168189</v>
      </c>
      <c r="AK42" s="9">
        <f>STDEV(AK31:AK40)</f>
        <v>6</v>
      </c>
      <c r="AL42" s="9">
        <f>STDEV(AL31:AL40)</f>
        <v>28.23020447046823</v>
      </c>
      <c r="AM42" s="7">
        <f>STDEV(AM31,AM32,AM33,AM34,AM35,AM36,AM37,AM39,AM40)</f>
        <v>5.0812441593612027E-2</v>
      </c>
      <c r="AN42" s="9">
        <f>STDEV(AN31,AN32,AN33,AN34,AN35,AN36,AN37,AN39,AN40)</f>
        <v>49.000437058773549</v>
      </c>
      <c r="AS42" t="s">
        <v>43</v>
      </c>
      <c r="AT42" s="9">
        <f>STDEV(AT31:AT40)</f>
        <v>13.688600285557976</v>
      </c>
      <c r="AU42" s="9">
        <f>STDEV(AU31:AU40)</f>
        <v>9.4168879030058346</v>
      </c>
      <c r="AV42" s="9">
        <f>STDEV(AV31:AV40)</f>
        <v>6.7239208138638329</v>
      </c>
      <c r="AW42" s="9">
        <f>STDEV(AW31:AW40)</f>
        <v>29.249881291307073</v>
      </c>
      <c r="AX42" s="7">
        <f t="shared" ref="AX42:BC42" si="148">STDEV(AX31,AX32,AX33,AX34,AX35,AX36,AX37,AX38,AX39,AX40)</f>
        <v>5.0840382891447641E-2</v>
      </c>
      <c r="AY42" s="9">
        <f t="shared" si="148"/>
        <v>45.005684814577876</v>
      </c>
      <c r="AZ42" s="7">
        <f t="shared" si="148"/>
        <v>3.9777676037757295E-2</v>
      </c>
      <c r="BA42" s="9">
        <f t="shared" si="148"/>
        <v>48.122640061716524</v>
      </c>
      <c r="BB42" s="7">
        <f t="shared" si="148"/>
        <v>4.1715740231765656E-2</v>
      </c>
      <c r="BC42" s="9">
        <f t="shared" si="148"/>
        <v>46.78391620530742</v>
      </c>
      <c r="BD42" t="s">
        <v>43</v>
      </c>
      <c r="BE42" s="9">
        <f>STDEV(BE31:BE40)</f>
        <v>11.367106540853362</v>
      </c>
      <c r="BF42" s="9">
        <f>STDEV(BF31:BF40)</f>
        <v>9.0896766841413044</v>
      </c>
      <c r="BG42" s="9">
        <f>STDEV(BG31:BG40)</f>
        <v>6.586180818788514</v>
      </c>
      <c r="BH42" s="9">
        <f>STDEV(BH31:BH40)</f>
        <v>34.221500713894926</v>
      </c>
      <c r="BI42" s="7">
        <f t="shared" ref="BI42:BN42" si="149">STDEV(BI31,BI32,BI33,BI34,BI35,BI36,BI37,BI38,BI39,BI40)</f>
        <v>3.9864116508401458E-2</v>
      </c>
      <c r="BJ42" s="9">
        <f t="shared" si="149"/>
        <v>38.024317205193888</v>
      </c>
      <c r="BK42" s="7">
        <f t="shared" si="149"/>
        <v>4.9774573690111075E-2</v>
      </c>
      <c r="BL42" s="9">
        <f t="shared" si="149"/>
        <v>60.155618552329557</v>
      </c>
      <c r="BM42" s="7">
        <f t="shared" si="149"/>
        <v>2.6635517166194812E-2</v>
      </c>
      <c r="BN42" s="9">
        <f t="shared" si="149"/>
        <v>37.272481592935144</v>
      </c>
      <c r="BO42" t="s">
        <v>43</v>
      </c>
      <c r="BP42" s="9">
        <f>STDEV(BP31:BP40)</f>
        <v>21.93234546914163</v>
      </c>
      <c r="BQ42" s="9">
        <f>STDEV(BQ31:BQ40)</f>
        <v>20.5777657787342</v>
      </c>
      <c r="BR42" s="9">
        <f>STDEV(BR31:BR40)</f>
        <v>7.6230644173528459</v>
      </c>
      <c r="BS42" s="9">
        <f>STDEV(BS31:BS40)</f>
        <v>28.879539085272427</v>
      </c>
      <c r="BT42" s="7">
        <f>STDEV(BT31,BT32,BT33,BT34,BT35,BT36,BT37,BT39,BT40)</f>
        <v>5.2506423817590721E-2</v>
      </c>
      <c r="BU42" s="9">
        <f>STDEV(BU31,BU32,BU33,BU34,BU35,BU36,BU37,BU39,BU40)</f>
        <v>58.388993004368011</v>
      </c>
      <c r="BW42" t="s">
        <v>43</v>
      </c>
      <c r="BX42" s="9">
        <f>STDEV(BX31:BX40)</f>
        <v>8.8122389638250116</v>
      </c>
      <c r="BY42" s="9">
        <f>STDEV(BY31:BY40)</f>
        <v>7.8457348639598798</v>
      </c>
      <c r="BZ42" s="9">
        <f>STDEV(BZ31:BZ40)</f>
        <v>6.7856056799997155</v>
      </c>
      <c r="CA42" s="9">
        <f>STDEV(CA31:CA40)</f>
        <v>31.902629637347729</v>
      </c>
      <c r="CB42" s="7">
        <f t="shared" ref="CB42:CG42" si="150">STDEV(CB31,CB32,CB33,CB34,CB35,CB36,CB37,CB38,CB39,CB40)</f>
        <v>3.3846979602083854E-2</v>
      </c>
      <c r="CC42" s="9">
        <f t="shared" si="150"/>
        <v>32.711556891356175</v>
      </c>
      <c r="CD42" s="7">
        <f t="shared" si="150"/>
        <v>4.1244928440980246E-2</v>
      </c>
      <c r="CE42" s="9">
        <f t="shared" si="150"/>
        <v>51.436686304859229</v>
      </c>
      <c r="CF42" s="7">
        <f t="shared" si="150"/>
        <v>2.6846964589291498E-2</v>
      </c>
      <c r="CG42" s="9">
        <f t="shared" si="150"/>
        <v>37.338200447497336</v>
      </c>
    </row>
    <row r="43" spans="1:85" ht="18">
      <c r="A43" t="s">
        <v>44</v>
      </c>
      <c r="B43" s="9">
        <v>8.84</v>
      </c>
      <c r="C43" s="9">
        <v>8.2799999999999994</v>
      </c>
      <c r="D43" s="9">
        <v>3.66</v>
      </c>
      <c r="E43" s="9">
        <v>15.68</v>
      </c>
      <c r="F43" s="7">
        <f t="shared" ref="F43:K43" si="151">CONFIDENCE(0.05,F42,10)</f>
        <v>3.1196252469894818E-2</v>
      </c>
      <c r="G43" s="9">
        <f t="shared" si="151"/>
        <v>29.293605155732866</v>
      </c>
      <c r="H43" s="7">
        <f t="shared" si="151"/>
        <v>1.3194233591785983E-2</v>
      </c>
      <c r="I43" s="9">
        <f t="shared" si="151"/>
        <v>17.921756016143242</v>
      </c>
      <c r="J43" s="7">
        <f t="shared" si="151"/>
        <v>3.2000565601255776E-2</v>
      </c>
      <c r="K43" s="9">
        <f t="shared" si="151"/>
        <v>33.828075722528254</v>
      </c>
      <c r="L43" t="s">
        <v>44</v>
      </c>
      <c r="M43" s="9">
        <v>6.36</v>
      </c>
      <c r="N43" s="9">
        <v>6.61</v>
      </c>
      <c r="O43" s="9">
        <v>3.18</v>
      </c>
      <c r="P43" s="9">
        <v>16.66</v>
      </c>
      <c r="Q43" s="7">
        <f t="shared" ref="Q43:V43" si="152">CONFIDENCE(0.05,Q42,10)</f>
        <v>2.2543233702480504E-2</v>
      </c>
      <c r="R43" s="9">
        <f t="shared" si="152"/>
        <v>22.231486103132575</v>
      </c>
      <c r="S43" s="7">
        <f t="shared" si="152"/>
        <v>1.5741986678149359E-2</v>
      </c>
      <c r="T43" s="9">
        <f t="shared" si="152"/>
        <v>21.675930223413616</v>
      </c>
      <c r="U43" s="7">
        <f t="shared" si="152"/>
        <v>2.4222921557596526E-2</v>
      </c>
      <c r="V43" s="9">
        <f t="shared" si="152"/>
        <v>28.096184808226699</v>
      </c>
      <c r="W43" t="s">
        <v>44</v>
      </c>
      <c r="X43" s="9">
        <f>CONFIDENCE(0.05,X42,9)</f>
        <v>11.657001226939212</v>
      </c>
      <c r="Y43" s="9">
        <f>CONFIDENCE(0.05,Y42,9)</f>
        <v>8.0155838472033789</v>
      </c>
      <c r="Z43" s="9">
        <f>CONFIDENCE(0.05,Z42,9)</f>
        <v>3.2738577189474785</v>
      </c>
      <c r="AA43" s="9">
        <f>CONFIDENCE(0.05,AA42,10)</f>
        <v>16.346094408670499</v>
      </c>
      <c r="AB43" s="7">
        <f>CONFIDENCE(0.05,AB42,10)</f>
        <v>2.6838610999128331E-2</v>
      </c>
      <c r="AC43" s="9">
        <f>CONFIDENCE(0.05,AC42,10)</f>
        <v>32.826355159847139</v>
      </c>
      <c r="AD43" s="7">
        <f>CONFIDENCE(0.05,AD42,9)</f>
        <v>4.6931218736257864E-2</v>
      </c>
      <c r="AE43" s="9">
        <f>CONFIDENCE(0.05,AE42,9)</f>
        <v>41.096071992657329</v>
      </c>
      <c r="AH43" t="s">
        <v>44</v>
      </c>
      <c r="AI43" s="9">
        <f t="shared" ref="AI43:AN43" si="153">CONFIDENCE(0.05,AI42,9)</f>
        <v>24.055624881964388</v>
      </c>
      <c r="AJ43" s="9">
        <f t="shared" si="153"/>
        <v>7.6616454211503422</v>
      </c>
      <c r="AK43" s="9">
        <f t="shared" si="153"/>
        <v>3.9199279690801072</v>
      </c>
      <c r="AL43" s="9">
        <f>CONFIDENCE(0.05,AL42,10)</f>
        <v>17.496940491738233</v>
      </c>
      <c r="AM43" s="7">
        <f t="shared" si="153"/>
        <v>3.3196851830008194E-2</v>
      </c>
      <c r="AN43" s="9">
        <f t="shared" si="153"/>
        <v>32.013030620639306</v>
      </c>
      <c r="AS43" t="s">
        <v>44</v>
      </c>
      <c r="AT43" s="9">
        <f>CONFIDENCE(0.05,AT42,7)</f>
        <v>10.140470665651065</v>
      </c>
      <c r="AU43" s="9">
        <f>CONFIDENCE(0.05,AU42,7)</f>
        <v>6.9759999963548198</v>
      </c>
      <c r="AV43" s="9">
        <f>CONFIDENCE(0.05,AV42,7)</f>
        <v>4.9810587166522344</v>
      </c>
      <c r="AW43" s="9">
        <f>CONFIDENCE(0.05,AW42,7)</f>
        <v>21.668217131097627</v>
      </c>
      <c r="AX43" s="7">
        <f t="shared" ref="AX43:BC43" si="154">CONFIDENCE(0.05,AX42,10)</f>
        <v>3.151061675658106E-2</v>
      </c>
      <c r="AY43" s="9">
        <f t="shared" si="154"/>
        <v>27.894299873540206</v>
      </c>
      <c r="AZ43" s="7">
        <f t="shared" si="154"/>
        <v>2.4654006004822159E-2</v>
      </c>
      <c r="BA43" s="9">
        <f t="shared" si="154"/>
        <v>29.826173251632373</v>
      </c>
      <c r="BB43" s="7">
        <f t="shared" si="154"/>
        <v>2.5855208564555886E-2</v>
      </c>
      <c r="BC43" s="9">
        <f t="shared" si="154"/>
        <v>28.996438855802406</v>
      </c>
      <c r="BD43" t="s">
        <v>44</v>
      </c>
      <c r="BE43" s="9">
        <f>CONFIDENCE(0.05,BE42,7)</f>
        <v>8.4207156339034928</v>
      </c>
      <c r="BF43" s="9">
        <f>CONFIDENCE(0.05,BF42,7)</f>
        <v>6.7336029873729455</v>
      </c>
      <c r="BG43" s="9">
        <f>CONFIDENCE(0.05,BG42,7)</f>
        <v>4.8790213753309439</v>
      </c>
      <c r="BH43" s="9">
        <f>CONFIDENCE(0.05,BH42,7)</f>
        <v>25.351176664127653</v>
      </c>
      <c r="BI43" s="7">
        <f t="shared" ref="BI43:BN43" si="155">CONFIDENCE(0.05,BI42,10)</f>
        <v>2.470758137911748E-2</v>
      </c>
      <c r="BJ43" s="9">
        <f t="shared" si="155"/>
        <v>23.567282910552034</v>
      </c>
      <c r="BK43" s="7">
        <f t="shared" si="155"/>
        <v>3.0850033508208165E-2</v>
      </c>
      <c r="BL43" s="9">
        <f t="shared" si="155"/>
        <v>37.284153543941969</v>
      </c>
      <c r="BM43" s="7">
        <f t="shared" si="155"/>
        <v>1.6508561222470415E-2</v>
      </c>
      <c r="BN43" s="9">
        <f t="shared" si="155"/>
        <v>23.101298932964404</v>
      </c>
      <c r="BO43" t="s">
        <v>44</v>
      </c>
      <c r="BP43" s="9">
        <f t="shared" ref="BP43:BU43" si="156">CONFIDENCE(0.05,BP42,9)</f>
        <v>14.328869072002608</v>
      </c>
      <c r="BQ43" s="9">
        <f t="shared" si="156"/>
        <v>13.443893269539947</v>
      </c>
      <c r="BR43" s="9">
        <f t="shared" si="156"/>
        <v>4.9803105699467958</v>
      </c>
      <c r="BS43" s="9">
        <f t="shared" si="156"/>
        <v>18.86761883241692</v>
      </c>
      <c r="BT43" s="7">
        <f t="shared" si="156"/>
        <v>3.4303566546491297E-2</v>
      </c>
      <c r="BU43" s="9">
        <f t="shared" si="156"/>
        <v>38.146774460707483</v>
      </c>
      <c r="BW43" t="s">
        <v>44</v>
      </c>
      <c r="BX43" s="9">
        <f>CONFIDENCE(0.05,BX42,7)</f>
        <v>6.5280780245773942</v>
      </c>
      <c r="BY43" s="9">
        <f>CONFIDENCE(0.05,BY42,7)</f>
        <v>5.8120949241537447</v>
      </c>
      <c r="BZ43" s="9">
        <f>CONFIDENCE(0.05,BZ42,7)</f>
        <v>5.0267546652895456</v>
      </c>
      <c r="CA43" s="9">
        <f>CONFIDENCE(0.05,CA42,7)</f>
        <v>23.633364496439309</v>
      </c>
      <c r="CB43" s="7">
        <f t="shared" ref="CB43:CG43" si="157">CONFIDENCE(0.05,CB42,10)</f>
        <v>2.0978189815885392E-2</v>
      </c>
      <c r="CC43" s="9">
        <f t="shared" si="157"/>
        <v>20.274460460210598</v>
      </c>
      <c r="CD43" s="7">
        <f t="shared" si="157"/>
        <v>2.5563401755476674E-2</v>
      </c>
      <c r="CE43" s="9">
        <f t="shared" si="157"/>
        <v>31.880202649959813</v>
      </c>
      <c r="CF43" s="7">
        <f t="shared" si="157"/>
        <v>1.663961528489934E-2</v>
      </c>
      <c r="CG43" s="9">
        <f t="shared" si="157"/>
        <v>23.1420311525508</v>
      </c>
    </row>
    <row r="45" spans="1:85">
      <c r="A45" t="s">
        <v>68</v>
      </c>
      <c r="B45">
        <v>92</v>
      </c>
      <c r="C45">
        <v>82</v>
      </c>
      <c r="D45">
        <v>28</v>
      </c>
      <c r="E45">
        <v>40</v>
      </c>
      <c r="F45" s="2">
        <f t="shared" ref="F45:F54" si="158">((2/3)*PI()*(B45/2)*(C45/2)*D45)/1000000</f>
        <v>0.11060081656717985</v>
      </c>
      <c r="G45" s="3">
        <f t="shared" ref="G45:G54" si="159">10^(2.841+0.7*LOG(F45))</f>
        <v>148.46730778316896</v>
      </c>
      <c r="H45" s="2">
        <f t="shared" ref="H45:H54" si="160">F45*(1-(E45)*1/100)</f>
        <v>6.636048994030791E-2</v>
      </c>
      <c r="I45" s="3">
        <f t="shared" ref="I45:I54" si="161">G45*(1-(E45)*1/100)</f>
        <v>89.080384669901377</v>
      </c>
      <c r="J45" s="2">
        <f t="shared" ref="J45:J54" si="162">F45*(E45*(1/100))</f>
        <v>4.424032662687194E-2</v>
      </c>
      <c r="K45" s="3">
        <f t="shared" ref="K45:K54" si="163">G45*(E45*(1/100))</f>
        <v>59.386923113267585</v>
      </c>
      <c r="L45" t="s">
        <v>68</v>
      </c>
      <c r="M45">
        <v>89</v>
      </c>
      <c r="N45">
        <v>77</v>
      </c>
      <c r="O45">
        <v>29</v>
      </c>
      <c r="P45">
        <v>60</v>
      </c>
      <c r="Q45" s="2">
        <f t="shared" ref="Q45:Q54" si="164">((2/3)*PI()*(M45/2)*(N45/2)*O45)/1000000</f>
        <v>0.10405844986607909</v>
      </c>
      <c r="R45" s="3">
        <f t="shared" ref="R45:R54" si="165">10^(2.841+0.7*LOG(Q45))</f>
        <v>142.26371531796875</v>
      </c>
      <c r="S45" s="2">
        <f t="shared" ref="S45:S54" si="166">Q45*(1-(P45)*1/100)</f>
        <v>4.1623379946431643E-2</v>
      </c>
      <c r="T45" s="3">
        <f t="shared" ref="T45:T54" si="167">R45*(1-(P45)*1/100)</f>
        <v>56.905486127187501</v>
      </c>
      <c r="U45" s="2">
        <f t="shared" ref="U45:U54" si="168">Q45*(P45*(1/100))</f>
        <v>6.2435069919647451E-2</v>
      </c>
      <c r="V45" s="3">
        <f t="shared" ref="V45:V54" si="169">R45*(P45*(1/100))</f>
        <v>85.358229190781245</v>
      </c>
      <c r="W45" t="s">
        <v>68</v>
      </c>
      <c r="X45">
        <v>97</v>
      </c>
      <c r="Y45">
        <v>72</v>
      </c>
      <c r="Z45">
        <v>34</v>
      </c>
      <c r="AA45">
        <v>20</v>
      </c>
      <c r="AB45" s="2">
        <f t="shared" ref="AB45:AB54" si="170">((2/3)*PI()*(X45/2)*(Y45/2)*Z45)/1000000</f>
        <v>0.12433167085846965</v>
      </c>
      <c r="AC45" s="3">
        <f t="shared" ref="AC45:AC54" si="171">10^(2.841+0.7*LOG(AB45))</f>
        <v>161.14143953481283</v>
      </c>
      <c r="AD45" s="2">
        <v>0.2486633417169393</v>
      </c>
      <c r="AE45" s="3">
        <v>261.7750408288901</v>
      </c>
      <c r="AF45" s="2"/>
      <c r="AG45" s="3"/>
      <c r="AH45" t="s">
        <v>68</v>
      </c>
      <c r="AI45">
        <v>95</v>
      </c>
      <c r="AJ45">
        <v>72</v>
      </c>
      <c r="AK45">
        <v>40</v>
      </c>
      <c r="AL45">
        <v>20</v>
      </c>
      <c r="AM45" s="2">
        <f t="shared" ref="AM45:AM54" si="172">((2/3)*PI()*(AI45/2)*(AJ45/2)*AK45)/1000000</f>
        <v>0.14325662500369454</v>
      </c>
      <c r="AN45" s="3">
        <f t="shared" ref="AN45:AN54" si="173">10^(2.841+0.7*LOG(AM45))</f>
        <v>177.94275110726196</v>
      </c>
      <c r="AO45" s="2"/>
      <c r="AP45" s="3"/>
      <c r="AQ45" s="2"/>
      <c r="AR45" s="3"/>
      <c r="AS45" t="s">
        <v>68</v>
      </c>
      <c r="AT45">
        <v>92</v>
      </c>
      <c r="AU45">
        <v>80</v>
      </c>
      <c r="AV45">
        <v>41</v>
      </c>
      <c r="AW45">
        <v>20</v>
      </c>
      <c r="AX45" s="2">
        <f t="shared" ref="AX45:AX54" si="174">((2/3)*PI()*(AT45/2)*(AU45/2)*AV45)/1000000</f>
        <v>0.15800116652454263</v>
      </c>
      <c r="AY45" s="3">
        <f t="shared" ref="AY45:AY54" si="175">10^(2.841+0.7*LOG(AX45))</f>
        <v>190.57336626103339</v>
      </c>
      <c r="AZ45" s="2">
        <f t="shared" ref="AZ45:AZ54" si="176">AX45*(1-(AW45)*1/100)</f>
        <v>0.12640093321963411</v>
      </c>
      <c r="BA45" s="3">
        <f t="shared" ref="BA45:BA54" si="177">AY45*(1-(AW45)*1/100)</f>
        <v>152.45869300882671</v>
      </c>
      <c r="BB45" s="2">
        <f t="shared" ref="BB45:BB54" si="178">AX45*(AW45*(1/100))</f>
        <v>3.1600233304908527E-2</v>
      </c>
      <c r="BC45" s="3">
        <f t="shared" ref="BC45:BC54" si="179">AY45*(AW45*(1/100))</f>
        <v>38.114673252206678</v>
      </c>
      <c r="BD45" t="s">
        <v>68</v>
      </c>
      <c r="BE45">
        <v>100</v>
      </c>
      <c r="BF45">
        <v>81</v>
      </c>
      <c r="BG45">
        <v>43</v>
      </c>
      <c r="BH45">
        <v>20</v>
      </c>
      <c r="BI45" s="2">
        <f t="shared" ref="BI45:BI54" si="180">((2/3)*PI()*(BE45/2)*(BF45/2)*BG45)/1000000</f>
        <v>0.18236945354088749</v>
      </c>
      <c r="BJ45" s="3">
        <f t="shared" ref="BJ45:BJ54" si="181">10^(2.841+0.7*LOG(BI45))</f>
        <v>210.70093738399956</v>
      </c>
      <c r="BK45" s="2">
        <f t="shared" ref="BK45:BK54" si="182">BI45*(1-(BH45)*1/100)</f>
        <v>0.14589556283270999</v>
      </c>
      <c r="BL45" s="3">
        <f t="shared" ref="BL45:BL54" si="183">BJ45*(1-(BH45)*1/100)</f>
        <v>168.56074990719966</v>
      </c>
      <c r="BM45" s="2">
        <f t="shared" ref="BM45:BM54" si="184">BI45*(BH45*(1/100))</f>
        <v>3.6473890708177498E-2</v>
      </c>
      <c r="BN45" s="3">
        <f t="shared" ref="BN45:BN54" si="185">BJ45*(BH45*(1/100))</f>
        <v>42.140187476799916</v>
      </c>
      <c r="BO45" t="s">
        <v>68</v>
      </c>
      <c r="BP45">
        <v>94</v>
      </c>
      <c r="BQ45">
        <v>75</v>
      </c>
      <c r="BR45">
        <v>43</v>
      </c>
      <c r="BS45">
        <v>20</v>
      </c>
      <c r="BT45" s="2">
        <f t="shared" ref="BT45:BT54" si="186">((2/3)*PI()*(BP45/2)*(BQ45/2)*BR45)/1000000</f>
        <v>0.15872896882262427</v>
      </c>
      <c r="BU45" s="3">
        <f t="shared" ref="BU45:BU54" si="187">10^(2.841+0.7*LOG(BT45))</f>
        <v>191.18743048324828</v>
      </c>
      <c r="BV45" s="2"/>
      <c r="BW45" t="s">
        <v>68</v>
      </c>
      <c r="BX45" s="4">
        <v>95</v>
      </c>
      <c r="BY45" s="4">
        <v>72</v>
      </c>
      <c r="BZ45">
        <v>39</v>
      </c>
      <c r="CA45">
        <v>25</v>
      </c>
      <c r="CB45" s="2">
        <f t="shared" ref="CB45:CB54" si="188">((2/3)*PI()*(BX45/2)*(BY45/2)*BZ45)/1000000</f>
        <v>0.1396752093786022</v>
      </c>
      <c r="CC45" s="3">
        <f t="shared" ref="CC45:CC54" si="189">10^(2.841+0.7*LOG(CB45))</f>
        <v>174.81694711458874</v>
      </c>
      <c r="CD45" s="2">
        <f t="shared" ref="CD45:CD54" si="190">CB45*(1-(CA45)*1/100)</f>
        <v>0.10475640703395164</v>
      </c>
      <c r="CE45" s="3">
        <f t="shared" ref="CE45:CE54" si="191">CC45*(1-(CA45)*1/100)</f>
        <v>131.11271033594156</v>
      </c>
      <c r="CF45" s="2">
        <f t="shared" ref="CF45:CF54" si="192">CB45*(CA45*(1/100))</f>
        <v>3.491880234465055E-2</v>
      </c>
      <c r="CG45" s="3">
        <f t="shared" ref="CG45:CG54" si="193">CC45*(CA45*(1/100))</f>
        <v>43.704236778647186</v>
      </c>
    </row>
    <row r="46" spans="1:85">
      <c r="A46" t="s">
        <v>69</v>
      </c>
      <c r="B46">
        <v>86</v>
      </c>
      <c r="C46">
        <v>76</v>
      </c>
      <c r="D46">
        <v>41</v>
      </c>
      <c r="E46">
        <v>60</v>
      </c>
      <c r="F46" s="2">
        <f t="shared" si="158"/>
        <v>0.14031190548972972</v>
      </c>
      <c r="G46" s="3">
        <f t="shared" si="159"/>
        <v>175.37438690836541</v>
      </c>
      <c r="H46" s="2">
        <f t="shared" si="160"/>
        <v>5.6124762195891888E-2</v>
      </c>
      <c r="I46" s="3">
        <f t="shared" si="161"/>
        <v>70.149754763346166</v>
      </c>
      <c r="J46" s="2">
        <f t="shared" si="162"/>
        <v>8.4187143293837821E-2</v>
      </c>
      <c r="K46" s="3">
        <f t="shared" si="163"/>
        <v>105.22463214501924</v>
      </c>
      <c r="L46" t="s">
        <v>69</v>
      </c>
      <c r="M46">
        <v>82</v>
      </c>
      <c r="N46">
        <v>70</v>
      </c>
      <c r="O46">
        <v>38</v>
      </c>
      <c r="P46">
        <v>80</v>
      </c>
      <c r="Q46" s="2">
        <f t="shared" si="164"/>
        <v>0.11420736493350092</v>
      </c>
      <c r="R46" s="3">
        <f t="shared" si="165"/>
        <v>151.839889114692</v>
      </c>
      <c r="S46" s="2">
        <f t="shared" si="166"/>
        <v>2.2841472986700178E-2</v>
      </c>
      <c r="T46" s="3">
        <f t="shared" si="167"/>
        <v>30.367977822938393</v>
      </c>
      <c r="U46" s="2">
        <f t="shared" si="168"/>
        <v>9.136589194680074E-2</v>
      </c>
      <c r="V46" s="3">
        <f t="shared" si="169"/>
        <v>121.4719112917536</v>
      </c>
      <c r="W46" t="s">
        <v>69</v>
      </c>
      <c r="X46">
        <v>64</v>
      </c>
      <c r="Y46">
        <v>32</v>
      </c>
      <c r="Z46">
        <v>36</v>
      </c>
      <c r="AA46">
        <v>65</v>
      </c>
      <c r="AB46" s="2">
        <f t="shared" si="170"/>
        <v>3.8603890527311377E-2</v>
      </c>
      <c r="AC46" s="3">
        <f t="shared" si="171"/>
        <v>71.062707927483288</v>
      </c>
      <c r="AD46" s="2">
        <v>7.7207781054622754E-2</v>
      </c>
      <c r="AE46" s="3">
        <v>115.44170961132323</v>
      </c>
      <c r="AF46" s="2"/>
      <c r="AG46" s="3"/>
      <c r="AH46" t="s">
        <v>69</v>
      </c>
      <c r="AI46">
        <v>54</v>
      </c>
      <c r="AJ46">
        <v>43</v>
      </c>
      <c r="AK46">
        <v>36</v>
      </c>
      <c r="AL46">
        <v>60</v>
      </c>
      <c r="AM46" s="2">
        <f t="shared" si="172"/>
        <v>4.3768668849812994E-2</v>
      </c>
      <c r="AN46" s="3">
        <f t="shared" si="173"/>
        <v>77.591533802636718</v>
      </c>
      <c r="AO46" s="2"/>
      <c r="AP46" s="3"/>
      <c r="AQ46" s="2"/>
      <c r="AR46" s="3"/>
      <c r="AS46" t="s">
        <v>69</v>
      </c>
      <c r="AT46">
        <v>83</v>
      </c>
      <c r="AU46">
        <v>69</v>
      </c>
      <c r="AV46">
        <v>43</v>
      </c>
      <c r="AW46">
        <v>60</v>
      </c>
      <c r="AX46" s="2">
        <f t="shared" si="174"/>
        <v>0.12894195807761266</v>
      </c>
      <c r="AY46" s="3">
        <f t="shared" si="175"/>
        <v>165.301191005709</v>
      </c>
      <c r="AZ46" s="2">
        <f t="shared" si="176"/>
        <v>5.1576783231045066E-2</v>
      </c>
      <c r="BA46" s="3">
        <f t="shared" si="177"/>
        <v>66.1204764022836</v>
      </c>
      <c r="BB46" s="2">
        <f t="shared" si="178"/>
        <v>7.7365174846567589E-2</v>
      </c>
      <c r="BC46" s="3">
        <f t="shared" si="179"/>
        <v>99.1807146034254</v>
      </c>
      <c r="BD46" t="s">
        <v>69</v>
      </c>
      <c r="BE46">
        <v>80</v>
      </c>
      <c r="BF46">
        <v>69</v>
      </c>
      <c r="BG46">
        <v>37</v>
      </c>
      <c r="BH46">
        <v>55</v>
      </c>
      <c r="BI46" s="2">
        <f t="shared" si="180"/>
        <v>0.10693981392819654</v>
      </c>
      <c r="BJ46" s="3">
        <f t="shared" si="181"/>
        <v>145.00988124222195</v>
      </c>
      <c r="BK46" s="2">
        <f t="shared" si="182"/>
        <v>4.8122916267688443E-2</v>
      </c>
      <c r="BL46" s="3">
        <f t="shared" si="183"/>
        <v>65.254446558999874</v>
      </c>
      <c r="BM46" s="2">
        <f t="shared" si="184"/>
        <v>5.88168976605081E-2</v>
      </c>
      <c r="BN46" s="3">
        <f t="shared" si="185"/>
        <v>79.755434683222077</v>
      </c>
      <c r="BO46" t="s">
        <v>69</v>
      </c>
      <c r="BP46">
        <v>65</v>
      </c>
      <c r="BQ46">
        <v>46</v>
      </c>
      <c r="BR46">
        <v>37</v>
      </c>
      <c r="BS46">
        <v>55</v>
      </c>
      <c r="BT46" s="2">
        <f t="shared" si="186"/>
        <v>5.7925732544439799E-2</v>
      </c>
      <c r="BU46" s="3">
        <f t="shared" si="187"/>
        <v>94.408277583799773</v>
      </c>
      <c r="BV46" s="2"/>
      <c r="BW46" t="s">
        <v>69</v>
      </c>
      <c r="BX46" s="4">
        <v>73</v>
      </c>
      <c r="BY46" s="4">
        <v>65</v>
      </c>
      <c r="BZ46">
        <v>34</v>
      </c>
      <c r="CA46">
        <v>55</v>
      </c>
      <c r="CB46" s="2">
        <f t="shared" si="188"/>
        <v>8.4472190467273542E-2</v>
      </c>
      <c r="CC46" s="3">
        <f t="shared" si="189"/>
        <v>122.94181752634495</v>
      </c>
      <c r="CD46" s="2">
        <f t="shared" si="190"/>
        <v>3.8012485710273089E-2</v>
      </c>
      <c r="CE46" s="3">
        <f t="shared" si="191"/>
        <v>55.323817886855224</v>
      </c>
      <c r="CF46" s="2">
        <f t="shared" si="192"/>
        <v>4.6459704757000453E-2</v>
      </c>
      <c r="CG46" s="3">
        <f t="shared" si="193"/>
        <v>67.617999639489724</v>
      </c>
    </row>
    <row r="47" spans="1:85">
      <c r="A47" t="s">
        <v>70</v>
      </c>
      <c r="B47">
        <v>97</v>
      </c>
      <c r="C47">
        <v>85</v>
      </c>
      <c r="D47">
        <v>45</v>
      </c>
      <c r="E47">
        <v>80</v>
      </c>
      <c r="F47" s="2">
        <f t="shared" si="158"/>
        <v>0.19426823571635882</v>
      </c>
      <c r="G47" s="3">
        <f t="shared" si="159"/>
        <v>220.2324231599855</v>
      </c>
      <c r="H47" s="2">
        <f t="shared" si="160"/>
        <v>3.8853647143271754E-2</v>
      </c>
      <c r="I47" s="3">
        <f t="shared" si="161"/>
        <v>44.046484631997089</v>
      </c>
      <c r="J47" s="2">
        <f t="shared" si="162"/>
        <v>0.15541458857308707</v>
      </c>
      <c r="K47" s="3">
        <f t="shared" si="163"/>
        <v>176.18593852798841</v>
      </c>
      <c r="L47" t="s">
        <v>70</v>
      </c>
      <c r="M47">
        <v>95</v>
      </c>
      <c r="N47">
        <v>82</v>
      </c>
      <c r="O47">
        <v>40</v>
      </c>
      <c r="P47">
        <v>65</v>
      </c>
      <c r="Q47" s="2">
        <f t="shared" si="164"/>
        <v>0.16315337847642991</v>
      </c>
      <c r="R47" s="3">
        <f t="shared" si="165"/>
        <v>194.90242824063168</v>
      </c>
      <c r="S47" s="2">
        <f t="shared" si="166"/>
        <v>5.7103682466750467E-2</v>
      </c>
      <c r="T47" s="3">
        <f t="shared" si="167"/>
        <v>68.215849884221086</v>
      </c>
      <c r="U47" s="2">
        <f t="shared" si="168"/>
        <v>0.10604969600967945</v>
      </c>
      <c r="V47" s="3">
        <f t="shared" si="169"/>
        <v>126.68657835641059</v>
      </c>
      <c r="W47" t="s">
        <v>70</v>
      </c>
      <c r="X47">
        <v>72</v>
      </c>
      <c r="Y47">
        <v>65</v>
      </c>
      <c r="Z47">
        <v>35</v>
      </c>
      <c r="AA47">
        <v>40</v>
      </c>
      <c r="AB47" s="2">
        <f t="shared" si="170"/>
        <v>8.576547944300135E-2</v>
      </c>
      <c r="AC47" s="3">
        <f t="shared" si="171"/>
        <v>124.25639910936624</v>
      </c>
      <c r="AD47" s="2">
        <v>0.1715309588860027</v>
      </c>
      <c r="AE47" s="3">
        <v>201.85511587835907</v>
      </c>
      <c r="AF47" s="2"/>
      <c r="AG47" s="3"/>
      <c r="AH47" t="s">
        <v>70</v>
      </c>
      <c r="AI47">
        <v>80</v>
      </c>
      <c r="AJ47">
        <v>65</v>
      </c>
      <c r="AK47">
        <v>46</v>
      </c>
      <c r="AL47">
        <v>30</v>
      </c>
      <c r="AM47" s="2">
        <f t="shared" si="172"/>
        <v>0.12524482712311308</v>
      </c>
      <c r="AN47" s="3">
        <f t="shared" si="173"/>
        <v>161.9689841433418</v>
      </c>
      <c r="AO47" s="2"/>
      <c r="AP47" s="3"/>
      <c r="AQ47" s="2"/>
      <c r="AR47" s="3"/>
      <c r="AS47" t="s">
        <v>70</v>
      </c>
      <c r="AT47">
        <v>90</v>
      </c>
      <c r="AU47">
        <v>86</v>
      </c>
      <c r="AV47">
        <v>50</v>
      </c>
      <c r="AW47">
        <v>35</v>
      </c>
      <c r="AX47" s="2">
        <f t="shared" si="174"/>
        <v>0.20263272615654165</v>
      </c>
      <c r="AY47" s="3">
        <f t="shared" si="175"/>
        <v>226.82802486960898</v>
      </c>
      <c r="AZ47" s="2">
        <f t="shared" si="176"/>
        <v>0.13171127200175209</v>
      </c>
      <c r="BA47" s="3">
        <f t="shared" si="177"/>
        <v>147.43821616524585</v>
      </c>
      <c r="BB47" s="2">
        <f t="shared" si="178"/>
        <v>7.0921454154789579E-2</v>
      </c>
      <c r="BC47" s="3">
        <f t="shared" si="179"/>
        <v>79.389808704363148</v>
      </c>
      <c r="BD47" t="s">
        <v>70</v>
      </c>
      <c r="BE47">
        <v>98</v>
      </c>
      <c r="BF47">
        <v>79</v>
      </c>
      <c r="BG47">
        <v>46</v>
      </c>
      <c r="BH47">
        <v>35</v>
      </c>
      <c r="BI47" s="2">
        <f t="shared" si="180"/>
        <v>0.18647027915137337</v>
      </c>
      <c r="BJ47" s="3">
        <f t="shared" si="181"/>
        <v>214.00638683389883</v>
      </c>
      <c r="BK47" s="2">
        <f t="shared" si="182"/>
        <v>0.12120568144839269</v>
      </c>
      <c r="BL47" s="3">
        <f t="shared" si="183"/>
        <v>139.10415144203424</v>
      </c>
      <c r="BM47" s="2">
        <f t="shared" si="184"/>
        <v>6.5264597702980681E-2</v>
      </c>
      <c r="BN47" s="3">
        <f t="shared" si="185"/>
        <v>74.902235391864593</v>
      </c>
      <c r="BO47" t="s">
        <v>70</v>
      </c>
      <c r="BP47">
        <v>90</v>
      </c>
      <c r="BQ47">
        <v>77</v>
      </c>
      <c r="BR47">
        <v>41</v>
      </c>
      <c r="BS47">
        <v>35</v>
      </c>
      <c r="BT47" s="2">
        <f t="shared" si="186"/>
        <v>0.14877012011074464</v>
      </c>
      <c r="BU47" s="3">
        <f t="shared" si="187"/>
        <v>182.70944548590168</v>
      </c>
      <c r="BV47" s="2"/>
      <c r="BW47" t="s">
        <v>70</v>
      </c>
      <c r="BX47" s="4">
        <v>83</v>
      </c>
      <c r="BY47" s="4">
        <v>70</v>
      </c>
      <c r="BZ47">
        <v>40</v>
      </c>
      <c r="CA47">
        <v>45</v>
      </c>
      <c r="CB47" s="2">
        <f t="shared" si="188"/>
        <v>0.12168435544904466</v>
      </c>
      <c r="CC47" s="3">
        <f t="shared" si="189"/>
        <v>158.73193928670241</v>
      </c>
      <c r="CD47" s="2">
        <f t="shared" si="190"/>
        <v>6.6926395496974572E-2</v>
      </c>
      <c r="CE47" s="3">
        <f t="shared" si="191"/>
        <v>87.30256660768633</v>
      </c>
      <c r="CF47" s="2">
        <f t="shared" si="192"/>
        <v>5.4757959952070098E-2</v>
      </c>
      <c r="CG47" s="3">
        <f t="shared" si="193"/>
        <v>71.429372679016083</v>
      </c>
    </row>
    <row r="48" spans="1:85">
      <c r="A48" t="s">
        <v>71</v>
      </c>
      <c r="B48">
        <v>86</v>
      </c>
      <c r="C48">
        <v>85</v>
      </c>
      <c r="D48">
        <v>43</v>
      </c>
      <c r="E48">
        <v>90</v>
      </c>
      <c r="F48" s="2">
        <f t="shared" si="158"/>
        <v>0.16458280313381327</v>
      </c>
      <c r="G48" s="3">
        <f t="shared" si="159"/>
        <v>196.09617313797796</v>
      </c>
      <c r="H48" s="2">
        <f t="shared" si="160"/>
        <v>1.6458280313381323E-2</v>
      </c>
      <c r="I48" s="3">
        <f t="shared" si="161"/>
        <v>19.609617313797791</v>
      </c>
      <c r="J48" s="2">
        <f t="shared" si="162"/>
        <v>0.14812452282043195</v>
      </c>
      <c r="K48" s="3">
        <f t="shared" si="163"/>
        <v>176.48655582418016</v>
      </c>
      <c r="L48" t="s">
        <v>71</v>
      </c>
      <c r="M48">
        <v>92</v>
      </c>
      <c r="N48">
        <v>80</v>
      </c>
      <c r="O48">
        <v>42</v>
      </c>
      <c r="P48">
        <v>80</v>
      </c>
      <c r="Q48" s="2">
        <f t="shared" si="164"/>
        <v>0.1618548535129461</v>
      </c>
      <c r="R48" s="3">
        <f t="shared" si="165"/>
        <v>193.81527820576719</v>
      </c>
      <c r="S48" s="2">
        <f t="shared" si="166"/>
        <v>3.2370970702589215E-2</v>
      </c>
      <c r="T48" s="3">
        <f t="shared" si="167"/>
        <v>38.763055641153429</v>
      </c>
      <c r="U48" s="2">
        <f t="shared" si="168"/>
        <v>0.12948388281035689</v>
      </c>
      <c r="V48" s="3">
        <f t="shared" si="169"/>
        <v>155.05222256461377</v>
      </c>
      <c r="W48" t="s">
        <v>71</v>
      </c>
      <c r="X48">
        <v>67</v>
      </c>
      <c r="Y48">
        <v>31</v>
      </c>
      <c r="Z48">
        <v>32</v>
      </c>
      <c r="AA48">
        <v>75</v>
      </c>
      <c r="AB48" s="2">
        <f t="shared" si="170"/>
        <v>3.4800469021365341E-2</v>
      </c>
      <c r="AC48" s="3">
        <f t="shared" si="171"/>
        <v>66.086015517450903</v>
      </c>
      <c r="AD48" s="2">
        <v>6.9600938042730681E-2</v>
      </c>
      <c r="AE48" s="3">
        <v>107.35704893936973</v>
      </c>
      <c r="AF48" s="2"/>
      <c r="AG48" s="3"/>
      <c r="AH48" t="s">
        <v>71</v>
      </c>
      <c r="AI48">
        <v>70</v>
      </c>
      <c r="AJ48">
        <v>35</v>
      </c>
      <c r="AK48">
        <v>34</v>
      </c>
      <c r="AL48">
        <v>65</v>
      </c>
      <c r="AM48" s="2">
        <f t="shared" si="172"/>
        <v>4.3615778007338291E-2</v>
      </c>
      <c r="AN48" s="3">
        <f t="shared" si="173"/>
        <v>77.401706639960778</v>
      </c>
      <c r="AO48" s="2"/>
      <c r="AP48" s="3"/>
      <c r="AQ48" s="2"/>
      <c r="AR48" s="3"/>
      <c r="AS48" t="s">
        <v>71</v>
      </c>
      <c r="AT48">
        <v>82</v>
      </c>
      <c r="AU48">
        <v>85</v>
      </c>
      <c r="AV48">
        <v>39</v>
      </c>
      <c r="AW48">
        <v>65</v>
      </c>
      <c r="AX48" s="2">
        <f t="shared" si="174"/>
        <v>0.14232985517088556</v>
      </c>
      <c r="AY48" s="3">
        <f t="shared" si="175"/>
        <v>177.13615163873249</v>
      </c>
      <c r="AZ48" s="2">
        <f t="shared" si="176"/>
        <v>4.9815449309809946E-2</v>
      </c>
      <c r="BA48" s="3">
        <f t="shared" si="177"/>
        <v>61.997653073556364</v>
      </c>
      <c r="BB48" s="2">
        <f t="shared" si="178"/>
        <v>9.2514405861075621E-2</v>
      </c>
      <c r="BC48" s="3">
        <f t="shared" si="179"/>
        <v>115.13849856517612</v>
      </c>
      <c r="BD48" t="s">
        <v>71</v>
      </c>
      <c r="BE48">
        <v>87</v>
      </c>
      <c r="BF48">
        <v>73</v>
      </c>
      <c r="BG48">
        <v>35</v>
      </c>
      <c r="BH48">
        <v>70</v>
      </c>
      <c r="BI48" s="2">
        <f t="shared" si="180"/>
        <v>0.11638815383386786</v>
      </c>
      <c r="BJ48" s="3">
        <f t="shared" si="181"/>
        <v>153.86369070407363</v>
      </c>
      <c r="BK48" s="2">
        <f t="shared" si="182"/>
        <v>3.491644615016036E-2</v>
      </c>
      <c r="BL48" s="3">
        <f t="shared" si="183"/>
        <v>46.1591072112221</v>
      </c>
      <c r="BM48" s="2">
        <f t="shared" si="184"/>
        <v>8.1471707683707512E-2</v>
      </c>
      <c r="BN48" s="3">
        <f t="shared" si="185"/>
        <v>107.70458349285155</v>
      </c>
      <c r="BO48" t="s">
        <v>71</v>
      </c>
      <c r="BP48">
        <v>60</v>
      </c>
      <c r="BQ48">
        <v>34</v>
      </c>
      <c r="BR48">
        <v>30</v>
      </c>
      <c r="BS48">
        <v>70</v>
      </c>
      <c r="BT48" s="2">
        <f t="shared" si="186"/>
        <v>3.2044245066615885E-2</v>
      </c>
      <c r="BU48" s="3">
        <f t="shared" si="187"/>
        <v>62.377078627532434</v>
      </c>
      <c r="BV48" s="2"/>
      <c r="BW48" t="s">
        <v>71</v>
      </c>
      <c r="BX48" s="4">
        <v>80</v>
      </c>
      <c r="BY48" s="4">
        <v>72</v>
      </c>
      <c r="BZ48">
        <v>35</v>
      </c>
      <c r="CA48">
        <v>65</v>
      </c>
      <c r="CB48" s="2">
        <f t="shared" si="188"/>
        <v>0.10555751316061705</v>
      </c>
      <c r="CC48" s="3">
        <f t="shared" si="189"/>
        <v>143.69524760295809</v>
      </c>
      <c r="CD48" s="2">
        <f t="shared" si="190"/>
        <v>3.6945129606215966E-2</v>
      </c>
      <c r="CE48" s="3">
        <f t="shared" si="191"/>
        <v>50.293336661035326</v>
      </c>
      <c r="CF48" s="2">
        <f t="shared" si="192"/>
        <v>6.8612383554401093E-2</v>
      </c>
      <c r="CG48" s="3">
        <f t="shared" si="193"/>
        <v>93.401910941922765</v>
      </c>
    </row>
    <row r="49" spans="1:85">
      <c r="A49" t="s">
        <v>72</v>
      </c>
      <c r="B49">
        <v>99</v>
      </c>
      <c r="C49">
        <v>83</v>
      </c>
      <c r="D49">
        <v>38</v>
      </c>
      <c r="E49">
        <v>95</v>
      </c>
      <c r="F49" s="2">
        <f t="shared" si="158"/>
        <v>0.1634916232854664</v>
      </c>
      <c r="G49" s="3">
        <f t="shared" si="159"/>
        <v>195.18518656812242</v>
      </c>
      <c r="H49" s="2">
        <f t="shared" si="160"/>
        <v>8.1745811642733278E-3</v>
      </c>
      <c r="I49" s="3">
        <f t="shared" si="161"/>
        <v>9.7592593284061291</v>
      </c>
      <c r="J49" s="2">
        <f t="shared" si="162"/>
        <v>0.1553170421211931</v>
      </c>
      <c r="K49" s="3">
        <f t="shared" si="163"/>
        <v>185.42592723971632</v>
      </c>
      <c r="L49" t="s">
        <v>72</v>
      </c>
      <c r="M49">
        <v>99</v>
      </c>
      <c r="N49">
        <v>80</v>
      </c>
      <c r="O49">
        <v>34</v>
      </c>
      <c r="P49">
        <v>95</v>
      </c>
      <c r="Q49" s="2">
        <f t="shared" si="164"/>
        <v>0.14099467829310991</v>
      </c>
      <c r="R49" s="3">
        <f t="shared" si="165"/>
        <v>175.97132521563415</v>
      </c>
      <c r="S49" s="2">
        <f t="shared" si="166"/>
        <v>7.0497339146555014E-3</v>
      </c>
      <c r="T49" s="3">
        <f t="shared" si="167"/>
        <v>8.7985662607817154</v>
      </c>
      <c r="U49" s="2">
        <f t="shared" si="168"/>
        <v>0.13394494437845442</v>
      </c>
      <c r="V49" s="3">
        <f t="shared" si="169"/>
        <v>167.17275895485247</v>
      </c>
      <c r="W49" t="s">
        <v>72</v>
      </c>
      <c r="X49" t="s">
        <v>73</v>
      </c>
      <c r="Y49" t="s">
        <v>74</v>
      </c>
      <c r="Z49" t="s">
        <v>75</v>
      </c>
      <c r="AA49">
        <v>99</v>
      </c>
      <c r="AB49" s="2">
        <v>1.1999999999999999E-3</v>
      </c>
      <c r="AC49" s="3">
        <f t="shared" si="171"/>
        <v>6.2578748313495431</v>
      </c>
      <c r="AD49" s="2" t="e">
        <v>#VALUE!</v>
      </c>
      <c r="AE49" s="3" t="e">
        <v>#VALUE!</v>
      </c>
      <c r="AF49" s="2"/>
      <c r="AG49" s="3"/>
      <c r="AH49" t="s">
        <v>72</v>
      </c>
      <c r="AI49">
        <v>15</v>
      </c>
      <c r="AJ49">
        <v>15</v>
      </c>
      <c r="AK49">
        <v>31</v>
      </c>
      <c r="AL49">
        <v>95</v>
      </c>
      <c r="AM49" s="2">
        <f t="shared" si="172"/>
        <v>3.6521014597981341E-3</v>
      </c>
      <c r="AN49" s="3">
        <f t="shared" si="173"/>
        <v>13.638920061973316</v>
      </c>
      <c r="AO49" s="2"/>
      <c r="AP49" s="3"/>
      <c r="AQ49" s="2"/>
      <c r="AR49" s="3"/>
      <c r="AS49" t="s">
        <v>72</v>
      </c>
      <c r="AT49">
        <v>89</v>
      </c>
      <c r="AU49">
        <v>99</v>
      </c>
      <c r="AV49">
        <v>42</v>
      </c>
      <c r="AW49">
        <v>90</v>
      </c>
      <c r="AX49" s="2">
        <f t="shared" si="174"/>
        <v>0.19376401009545766</v>
      </c>
      <c r="AY49" s="3">
        <f t="shared" si="175"/>
        <v>219.83213600815412</v>
      </c>
      <c r="AZ49" s="2">
        <f t="shared" si="176"/>
        <v>1.9376401009545761E-2</v>
      </c>
      <c r="BA49" s="3">
        <f t="shared" si="177"/>
        <v>21.983213600815407</v>
      </c>
      <c r="BB49" s="2">
        <f t="shared" si="178"/>
        <v>0.17438760908591189</v>
      </c>
      <c r="BC49" s="3">
        <f t="shared" si="179"/>
        <v>197.8489224073387</v>
      </c>
      <c r="BD49" t="s">
        <v>72</v>
      </c>
      <c r="BE49">
        <v>94</v>
      </c>
      <c r="BF49">
        <v>72</v>
      </c>
      <c r="BG49">
        <v>35</v>
      </c>
      <c r="BH49">
        <v>85</v>
      </c>
      <c r="BI49" s="2">
        <f t="shared" si="180"/>
        <v>0.12403007796372502</v>
      </c>
      <c r="BJ49" s="3">
        <f t="shared" si="181"/>
        <v>160.86772190334719</v>
      </c>
      <c r="BK49" s="2">
        <f t="shared" si="182"/>
        <v>1.8604511694558755E-2</v>
      </c>
      <c r="BL49" s="3">
        <f t="shared" si="183"/>
        <v>24.13015828550208</v>
      </c>
      <c r="BM49" s="2">
        <f t="shared" si="184"/>
        <v>0.10542556626916626</v>
      </c>
      <c r="BN49" s="3">
        <f t="shared" si="185"/>
        <v>136.7375636178451</v>
      </c>
      <c r="BO49" t="s">
        <v>72</v>
      </c>
      <c r="BP49">
        <v>26</v>
      </c>
      <c r="BQ49">
        <v>18</v>
      </c>
      <c r="BR49">
        <v>35</v>
      </c>
      <c r="BS49">
        <v>85</v>
      </c>
      <c r="BT49" s="2">
        <f t="shared" si="186"/>
        <v>8.5765479443001332E-3</v>
      </c>
      <c r="BU49" s="3">
        <f t="shared" si="187"/>
        <v>24.792411053665099</v>
      </c>
      <c r="BV49" s="2"/>
      <c r="BW49" t="s">
        <v>72</v>
      </c>
      <c r="BX49" s="4">
        <v>83</v>
      </c>
      <c r="BY49" s="4">
        <v>67</v>
      </c>
      <c r="BZ49">
        <v>34</v>
      </c>
      <c r="CA49">
        <v>85</v>
      </c>
      <c r="CB49" s="2">
        <f t="shared" si="188"/>
        <v>9.8998914897472756E-2</v>
      </c>
      <c r="CC49" s="3">
        <f t="shared" si="189"/>
        <v>137.38562826243452</v>
      </c>
      <c r="CD49" s="2">
        <f t="shared" si="190"/>
        <v>1.4849837234620916E-2</v>
      </c>
      <c r="CE49" s="3">
        <f t="shared" si="191"/>
        <v>20.607844239365182</v>
      </c>
      <c r="CF49" s="2">
        <f t="shared" si="192"/>
        <v>8.4149077662851846E-2</v>
      </c>
      <c r="CG49" s="3">
        <f t="shared" si="193"/>
        <v>116.77778402306934</v>
      </c>
    </row>
    <row r="50" spans="1:85">
      <c r="A50" t="s">
        <v>76</v>
      </c>
      <c r="B50">
        <v>74</v>
      </c>
      <c r="C50">
        <v>58</v>
      </c>
      <c r="D50">
        <v>27</v>
      </c>
      <c r="E50">
        <v>55</v>
      </c>
      <c r="F50" s="2">
        <f t="shared" si="158"/>
        <v>6.0676720511433267E-2</v>
      </c>
      <c r="G50" s="3">
        <f t="shared" si="159"/>
        <v>97.524890156850518</v>
      </c>
      <c r="H50" s="2">
        <f t="shared" si="160"/>
        <v>2.7304524230144969E-2</v>
      </c>
      <c r="I50" s="3">
        <f t="shared" si="161"/>
        <v>43.88620057058273</v>
      </c>
      <c r="J50" s="2">
        <f t="shared" si="162"/>
        <v>3.3372196281288298E-2</v>
      </c>
      <c r="K50" s="3">
        <f t="shared" si="163"/>
        <v>53.638689586267787</v>
      </c>
      <c r="L50" t="s">
        <v>76</v>
      </c>
      <c r="M50">
        <v>66</v>
      </c>
      <c r="N50">
        <v>53</v>
      </c>
      <c r="O50">
        <v>27</v>
      </c>
      <c r="P50">
        <v>90</v>
      </c>
      <c r="Q50" s="2">
        <f t="shared" si="164"/>
        <v>4.9451809960156926E-2</v>
      </c>
      <c r="R50" s="3">
        <f t="shared" si="165"/>
        <v>84.513781468294965</v>
      </c>
      <c r="S50" s="2">
        <f t="shared" si="166"/>
        <v>4.9451809960156913E-3</v>
      </c>
      <c r="T50" s="3">
        <f t="shared" si="167"/>
        <v>8.4513781468294944</v>
      </c>
      <c r="U50" s="2">
        <f t="shared" si="168"/>
        <v>4.4506628964141232E-2</v>
      </c>
      <c r="V50" s="3">
        <f t="shared" si="169"/>
        <v>76.062403321465467</v>
      </c>
      <c r="W50" t="s">
        <v>76</v>
      </c>
      <c r="X50">
        <v>66</v>
      </c>
      <c r="Y50">
        <v>64</v>
      </c>
      <c r="Z50">
        <v>37</v>
      </c>
      <c r="AA50">
        <v>20</v>
      </c>
      <c r="AB50" s="2">
        <f t="shared" si="170"/>
        <v>8.183220544070692E-2</v>
      </c>
      <c r="AC50" s="3">
        <f t="shared" si="171"/>
        <v>120.23944947430898</v>
      </c>
      <c r="AD50" s="2">
        <v>0.16366441088141384</v>
      </c>
      <c r="AE50" s="3">
        <v>195.32956194412395</v>
      </c>
      <c r="AF50" s="2"/>
      <c r="AG50" s="3"/>
      <c r="AH50" t="s">
        <v>76</v>
      </c>
      <c r="AI50">
        <v>72</v>
      </c>
      <c r="AJ50">
        <v>57</v>
      </c>
      <c r="AK50">
        <v>38</v>
      </c>
      <c r="AL50">
        <v>10</v>
      </c>
      <c r="AM50" s="2">
        <f t="shared" si="172"/>
        <v>8.1656276252105905E-2</v>
      </c>
      <c r="AN50" s="3">
        <f t="shared" si="173"/>
        <v>120.05844103537144</v>
      </c>
      <c r="AO50" s="2"/>
      <c r="AP50" s="3"/>
      <c r="AQ50" s="2"/>
      <c r="AR50" s="3"/>
      <c r="AS50" t="s">
        <v>76</v>
      </c>
      <c r="AT50">
        <v>72</v>
      </c>
      <c r="AU50">
        <v>73</v>
      </c>
      <c r="AV50">
        <v>41</v>
      </c>
      <c r="AW50">
        <v>30</v>
      </c>
      <c r="AX50" s="2">
        <f t="shared" si="174"/>
        <v>0.11283344174633102</v>
      </c>
      <c r="AY50" s="3">
        <f t="shared" si="175"/>
        <v>150.55891796335942</v>
      </c>
      <c r="AZ50" s="2">
        <f t="shared" si="176"/>
        <v>7.8983409222431702E-2</v>
      </c>
      <c r="BA50" s="3">
        <f t="shared" si="177"/>
        <v>105.39124257435159</v>
      </c>
      <c r="BB50" s="2">
        <f t="shared" si="178"/>
        <v>3.3850032523899301E-2</v>
      </c>
      <c r="BC50" s="3">
        <f t="shared" si="179"/>
        <v>45.167675389007826</v>
      </c>
      <c r="BD50" t="s">
        <v>76</v>
      </c>
      <c r="BE50">
        <v>71</v>
      </c>
      <c r="BF50">
        <v>60</v>
      </c>
      <c r="BG50">
        <v>37</v>
      </c>
      <c r="BH50">
        <v>15</v>
      </c>
      <c r="BI50" s="2">
        <f t="shared" si="180"/>
        <v>8.2529639009803868E-2</v>
      </c>
      <c r="BJ50" s="3">
        <f t="shared" si="181"/>
        <v>120.95587341840425</v>
      </c>
      <c r="BK50" s="2">
        <f t="shared" si="182"/>
        <v>7.015019315833329E-2</v>
      </c>
      <c r="BL50" s="3">
        <f t="shared" si="183"/>
        <v>102.81249240564361</v>
      </c>
      <c r="BM50" s="2">
        <f t="shared" si="184"/>
        <v>1.2379445851470579E-2</v>
      </c>
      <c r="BN50" s="3">
        <f t="shared" si="185"/>
        <v>18.143381012760639</v>
      </c>
      <c r="BO50" t="s">
        <v>76</v>
      </c>
      <c r="BP50">
        <v>69</v>
      </c>
      <c r="BQ50">
        <v>61</v>
      </c>
      <c r="BR50">
        <v>37</v>
      </c>
      <c r="BS50">
        <v>15</v>
      </c>
      <c r="BT50" s="2">
        <f t="shared" si="186"/>
        <v>8.1541608120249881E-2</v>
      </c>
      <c r="BU50" s="3">
        <f t="shared" si="187"/>
        <v>119.94039934161778</v>
      </c>
      <c r="BV50" s="2"/>
      <c r="BW50" t="s">
        <v>76</v>
      </c>
      <c r="BX50" s="4">
        <v>67</v>
      </c>
      <c r="BY50" s="4">
        <v>59</v>
      </c>
      <c r="BZ50">
        <v>36</v>
      </c>
      <c r="CA50">
        <v>10</v>
      </c>
      <c r="CB50" s="2">
        <f t="shared" si="188"/>
        <v>7.4512294557842723E-2</v>
      </c>
      <c r="CC50" s="3">
        <f t="shared" si="189"/>
        <v>112.60548778225997</v>
      </c>
      <c r="CD50" s="2">
        <f t="shared" si="190"/>
        <v>6.7061065102058448E-2</v>
      </c>
      <c r="CE50" s="3">
        <f t="shared" si="191"/>
        <v>101.34493900403398</v>
      </c>
      <c r="CF50" s="2">
        <f t="shared" si="192"/>
        <v>7.4512294557842725E-3</v>
      </c>
      <c r="CG50" s="3">
        <f t="shared" si="193"/>
        <v>11.260548778225997</v>
      </c>
    </row>
    <row r="51" spans="1:85">
      <c r="A51" t="s">
        <v>77</v>
      </c>
      <c r="B51">
        <v>120</v>
      </c>
      <c r="C51">
        <v>101</v>
      </c>
      <c r="D51">
        <v>38</v>
      </c>
      <c r="E51">
        <v>80</v>
      </c>
      <c r="F51" s="2">
        <f t="shared" si="158"/>
        <v>0.2411486520895525</v>
      </c>
      <c r="G51" s="3">
        <f t="shared" si="159"/>
        <v>256.21195312027334</v>
      </c>
      <c r="H51" s="2">
        <f t="shared" si="160"/>
        <v>4.8229730417910489E-2</v>
      </c>
      <c r="I51" s="3">
        <f t="shared" si="161"/>
        <v>51.242390624054657</v>
      </c>
      <c r="J51" s="2">
        <f t="shared" si="162"/>
        <v>0.19291892167164201</v>
      </c>
      <c r="K51" s="3">
        <f t="shared" si="163"/>
        <v>204.96956249621869</v>
      </c>
      <c r="L51" t="s">
        <v>77</v>
      </c>
      <c r="M51">
        <v>112</v>
      </c>
      <c r="N51">
        <v>95</v>
      </c>
      <c r="O51">
        <v>40</v>
      </c>
      <c r="P51">
        <v>80</v>
      </c>
      <c r="Q51" s="2">
        <f t="shared" si="164"/>
        <v>0.22284363889463599</v>
      </c>
      <c r="R51" s="3">
        <f t="shared" si="165"/>
        <v>242.43770775994696</v>
      </c>
      <c r="S51" s="2">
        <f t="shared" si="166"/>
        <v>4.4568727778927189E-2</v>
      </c>
      <c r="T51" s="3">
        <f t="shared" si="167"/>
        <v>48.487541551989381</v>
      </c>
      <c r="U51" s="2">
        <f t="shared" si="168"/>
        <v>0.17827491111570881</v>
      </c>
      <c r="V51" s="3">
        <f t="shared" si="169"/>
        <v>193.95016620795758</v>
      </c>
      <c r="W51" t="s">
        <v>77</v>
      </c>
      <c r="X51">
        <v>127</v>
      </c>
      <c r="Y51">
        <v>51</v>
      </c>
      <c r="Z51">
        <v>36</v>
      </c>
      <c r="AA51">
        <v>65</v>
      </c>
      <c r="AB51" s="2">
        <f t="shared" si="170"/>
        <v>0.12208857370380653</v>
      </c>
      <c r="AC51" s="3">
        <f t="shared" si="171"/>
        <v>159.10085520610278</v>
      </c>
      <c r="AD51" s="2">
        <v>0.24417714740761307</v>
      </c>
      <c r="AE51" s="3">
        <v>258.46010180696686</v>
      </c>
      <c r="AF51" s="2"/>
      <c r="AG51" s="3"/>
      <c r="AH51" t="s">
        <v>77</v>
      </c>
      <c r="AI51">
        <v>124</v>
      </c>
      <c r="AJ51">
        <v>51</v>
      </c>
      <c r="AK51">
        <v>39</v>
      </c>
      <c r="AL51">
        <v>55</v>
      </c>
      <c r="AM51" s="2">
        <f t="shared" si="172"/>
        <v>0.12913830761846204</v>
      </c>
      <c r="AN51" s="3">
        <f t="shared" si="173"/>
        <v>165.47735230545968</v>
      </c>
      <c r="AO51" s="2"/>
      <c r="AP51" s="3"/>
      <c r="AQ51" s="2"/>
      <c r="AR51" s="3"/>
      <c r="AS51" t="s">
        <v>77</v>
      </c>
      <c r="AT51">
        <v>123</v>
      </c>
      <c r="AU51">
        <v>101</v>
      </c>
      <c r="AV51">
        <v>45</v>
      </c>
      <c r="AW51">
        <v>70</v>
      </c>
      <c r="AX51" s="2">
        <f t="shared" si="174"/>
        <v>0.29271004151659497</v>
      </c>
      <c r="AY51" s="3">
        <f t="shared" si="175"/>
        <v>293.43123055243626</v>
      </c>
      <c r="AZ51" s="2">
        <f t="shared" si="176"/>
        <v>8.7813012454978509E-2</v>
      </c>
      <c r="BA51" s="3">
        <f t="shared" si="177"/>
        <v>88.029369165730898</v>
      </c>
      <c r="BB51" s="2">
        <f t="shared" si="178"/>
        <v>0.2048970290616165</v>
      </c>
      <c r="BC51" s="3">
        <f t="shared" si="179"/>
        <v>205.40186138670541</v>
      </c>
      <c r="BD51" t="s">
        <v>77</v>
      </c>
      <c r="BE51">
        <v>119</v>
      </c>
      <c r="BF51">
        <v>93</v>
      </c>
      <c r="BG51">
        <v>37</v>
      </c>
      <c r="BH51">
        <v>65</v>
      </c>
      <c r="BI51" s="2">
        <f t="shared" si="180"/>
        <v>0.21440270303321582</v>
      </c>
      <c r="BJ51" s="3">
        <f t="shared" si="181"/>
        <v>235.97238359009285</v>
      </c>
      <c r="BK51" s="2">
        <f t="shared" si="182"/>
        <v>7.5040946061625535E-2</v>
      </c>
      <c r="BL51" s="3">
        <f t="shared" si="183"/>
        <v>82.590334256532486</v>
      </c>
      <c r="BM51" s="2">
        <f t="shared" si="184"/>
        <v>0.13936175697159028</v>
      </c>
      <c r="BN51" s="3">
        <f t="shared" si="185"/>
        <v>153.38204933356036</v>
      </c>
      <c r="BO51" t="s">
        <v>77</v>
      </c>
      <c r="BP51">
        <v>70</v>
      </c>
      <c r="BQ51">
        <v>48</v>
      </c>
      <c r="BR51">
        <v>37</v>
      </c>
      <c r="BS51">
        <v>65</v>
      </c>
      <c r="BT51" s="2">
        <f t="shared" si="186"/>
        <v>6.5093799782380501E-2</v>
      </c>
      <c r="BU51" s="3">
        <f t="shared" si="187"/>
        <v>102.44192638651046</v>
      </c>
      <c r="BV51" s="2"/>
      <c r="BW51" t="s">
        <v>77</v>
      </c>
      <c r="BX51" s="4">
        <v>110</v>
      </c>
      <c r="BY51" s="4">
        <v>82</v>
      </c>
      <c r="BZ51">
        <v>41</v>
      </c>
      <c r="CA51">
        <v>75</v>
      </c>
      <c r="CB51" s="2">
        <f t="shared" si="188"/>
        <v>0.19363729919176287</v>
      </c>
      <c r="CC51" s="3">
        <f t="shared" si="189"/>
        <v>219.7314955269205</v>
      </c>
      <c r="CD51" s="2">
        <f t="shared" si="190"/>
        <v>4.8409324797940717E-2</v>
      </c>
      <c r="CE51" s="3">
        <f t="shared" si="191"/>
        <v>54.932873881730124</v>
      </c>
      <c r="CF51" s="2">
        <f t="shared" si="192"/>
        <v>0.14522797439382215</v>
      </c>
      <c r="CG51" s="3">
        <f t="shared" si="193"/>
        <v>164.79862164519037</v>
      </c>
    </row>
    <row r="52" spans="1:85">
      <c r="A52" t="s">
        <v>78</v>
      </c>
      <c r="B52">
        <v>71</v>
      </c>
      <c r="C52">
        <v>52</v>
      </c>
      <c r="D52">
        <v>32</v>
      </c>
      <c r="E52">
        <v>75</v>
      </c>
      <c r="F52" s="2">
        <f t="shared" si="158"/>
        <v>6.1860053744285409E-2</v>
      </c>
      <c r="G52" s="3">
        <f t="shared" si="159"/>
        <v>98.852397095612417</v>
      </c>
      <c r="H52" s="2">
        <f t="shared" si="160"/>
        <v>1.5465013436071352E-2</v>
      </c>
      <c r="I52" s="3">
        <f t="shared" si="161"/>
        <v>24.713099273903104</v>
      </c>
      <c r="J52" s="2">
        <f t="shared" si="162"/>
        <v>4.6395040308214057E-2</v>
      </c>
      <c r="K52" s="3">
        <f t="shared" si="163"/>
        <v>74.139297821709306</v>
      </c>
      <c r="L52" t="s">
        <v>78</v>
      </c>
      <c r="M52">
        <v>68</v>
      </c>
      <c r="N52">
        <v>49</v>
      </c>
      <c r="O52">
        <v>31</v>
      </c>
      <c r="P52">
        <v>70</v>
      </c>
      <c r="Q52" s="2">
        <f t="shared" si="164"/>
        <v>5.4083564729099476E-2</v>
      </c>
      <c r="R52" s="3">
        <f t="shared" si="165"/>
        <v>89.979943518071238</v>
      </c>
      <c r="S52" s="2">
        <f t="shared" si="166"/>
        <v>1.6225069418729844E-2</v>
      </c>
      <c r="T52" s="3">
        <f t="shared" si="167"/>
        <v>26.993983055421374</v>
      </c>
      <c r="U52" s="2">
        <f t="shared" si="168"/>
        <v>3.7858495310369639E-2</v>
      </c>
      <c r="V52" s="3">
        <f t="shared" si="169"/>
        <v>62.985960462649871</v>
      </c>
      <c r="W52" t="s">
        <v>78</v>
      </c>
      <c r="X52">
        <v>61</v>
      </c>
      <c r="Y52">
        <v>19</v>
      </c>
      <c r="Z52">
        <v>34</v>
      </c>
      <c r="AA52">
        <v>75</v>
      </c>
      <c r="AB52" s="2">
        <f t="shared" si="170"/>
        <v>2.0632933351226564E-2</v>
      </c>
      <c r="AC52" s="3">
        <f t="shared" si="171"/>
        <v>45.834519487236854</v>
      </c>
      <c r="AD52" s="2">
        <v>4.1265866702453129E-2</v>
      </c>
      <c r="AE52" s="3">
        <v>74.458396578689459</v>
      </c>
      <c r="AF52" s="2"/>
      <c r="AG52" s="3"/>
      <c r="AH52" t="s">
        <v>78</v>
      </c>
      <c r="AI52">
        <v>60</v>
      </c>
      <c r="AJ52">
        <v>22</v>
      </c>
      <c r="AK52">
        <v>35</v>
      </c>
      <c r="AL52">
        <v>75</v>
      </c>
      <c r="AM52" s="2">
        <f t="shared" si="172"/>
        <v>2.4190263432641405E-2</v>
      </c>
      <c r="AN52" s="3">
        <f t="shared" si="173"/>
        <v>51.232838541018147</v>
      </c>
      <c r="AO52" s="2"/>
      <c r="AP52" s="3"/>
      <c r="AQ52" s="2"/>
      <c r="AR52" s="3"/>
      <c r="AS52" t="s">
        <v>78</v>
      </c>
      <c r="AT52">
        <v>71</v>
      </c>
      <c r="AU52">
        <v>59</v>
      </c>
      <c r="AV52">
        <v>37</v>
      </c>
      <c r="AW52">
        <v>60</v>
      </c>
      <c r="AX52" s="2">
        <f t="shared" si="174"/>
        <v>8.1154145026307134E-2</v>
      </c>
      <c r="AY52" s="3">
        <f t="shared" si="175"/>
        <v>119.54116795619063</v>
      </c>
      <c r="AZ52" s="2">
        <f t="shared" si="176"/>
        <v>3.2461658010522858E-2</v>
      </c>
      <c r="BA52" s="3">
        <f t="shared" si="177"/>
        <v>47.816467182476259</v>
      </c>
      <c r="BB52" s="2">
        <f t="shared" si="178"/>
        <v>4.8692487015784276E-2</v>
      </c>
      <c r="BC52" s="3">
        <f t="shared" si="179"/>
        <v>71.724700773714375</v>
      </c>
      <c r="BD52" t="s">
        <v>78</v>
      </c>
      <c r="BE52">
        <v>68</v>
      </c>
      <c r="BF52">
        <v>41</v>
      </c>
      <c r="BG52">
        <v>30</v>
      </c>
      <c r="BH52">
        <v>55</v>
      </c>
      <c r="BI52" s="2">
        <f t="shared" si="180"/>
        <v>4.3793801591041716E-2</v>
      </c>
      <c r="BJ52" s="3">
        <f t="shared" si="181"/>
        <v>77.62271921556281</v>
      </c>
      <c r="BK52" s="2">
        <f t="shared" si="182"/>
        <v>1.970721071596877E-2</v>
      </c>
      <c r="BL52" s="3">
        <f t="shared" si="183"/>
        <v>34.93022364700326</v>
      </c>
      <c r="BM52" s="2">
        <f t="shared" si="184"/>
        <v>2.4086590875072946E-2</v>
      </c>
      <c r="BN52" s="3">
        <f t="shared" si="185"/>
        <v>42.692495568559551</v>
      </c>
      <c r="BO52" t="s">
        <v>78</v>
      </c>
      <c r="BP52">
        <v>54</v>
      </c>
      <c r="BQ52">
        <v>36</v>
      </c>
      <c r="BR52">
        <v>23</v>
      </c>
      <c r="BS52">
        <v>55</v>
      </c>
      <c r="BT52" s="2">
        <f t="shared" si="186"/>
        <v>2.3411148454551133E-2</v>
      </c>
      <c r="BU52" s="3">
        <f t="shared" si="187"/>
        <v>50.072111224972389</v>
      </c>
      <c r="BV52" s="2"/>
      <c r="BW52" t="s">
        <v>78</v>
      </c>
      <c r="BX52" s="4">
        <v>62</v>
      </c>
      <c r="BY52" s="4">
        <v>43</v>
      </c>
      <c r="BZ52">
        <v>33</v>
      </c>
      <c r="CA52">
        <v>65</v>
      </c>
      <c r="CB52" s="2">
        <f t="shared" si="188"/>
        <v>4.6065173079587136E-2</v>
      </c>
      <c r="CC52" s="3">
        <f t="shared" si="189"/>
        <v>80.41941231936616</v>
      </c>
      <c r="CD52" s="2">
        <f t="shared" si="190"/>
        <v>1.6122810577855497E-2</v>
      </c>
      <c r="CE52" s="3">
        <f t="shared" si="191"/>
        <v>28.146794311778155</v>
      </c>
      <c r="CF52" s="2">
        <f t="shared" si="192"/>
        <v>2.9942362501731639E-2</v>
      </c>
      <c r="CG52" s="3">
        <f t="shared" si="193"/>
        <v>52.272618007588008</v>
      </c>
    </row>
    <row r="53" spans="1:85">
      <c r="A53" t="s">
        <v>79</v>
      </c>
      <c r="B53">
        <v>72</v>
      </c>
      <c r="C53">
        <v>71</v>
      </c>
      <c r="D53">
        <v>36</v>
      </c>
      <c r="E53">
        <v>60</v>
      </c>
      <c r="F53" s="2">
        <f t="shared" si="158"/>
        <v>9.6358929870906135E-2</v>
      </c>
      <c r="G53" s="3">
        <f t="shared" si="159"/>
        <v>134.81070434533191</v>
      </c>
      <c r="H53" s="2">
        <f t="shared" si="160"/>
        <v>3.8543571948362457E-2</v>
      </c>
      <c r="I53" s="3">
        <f t="shared" si="161"/>
        <v>53.92428173813277</v>
      </c>
      <c r="J53" s="2">
        <f t="shared" si="162"/>
        <v>5.7815357922543678E-2</v>
      </c>
      <c r="K53" s="3">
        <f t="shared" si="163"/>
        <v>80.886422607199151</v>
      </c>
      <c r="L53" t="s">
        <v>79</v>
      </c>
      <c r="M53">
        <v>67</v>
      </c>
      <c r="N53">
        <v>75</v>
      </c>
      <c r="O53">
        <v>32</v>
      </c>
      <c r="P53">
        <v>55</v>
      </c>
      <c r="Q53" s="2">
        <f t="shared" si="164"/>
        <v>8.4194683116206454E-2</v>
      </c>
      <c r="R53" s="3">
        <f t="shared" si="165"/>
        <v>122.6589567893666</v>
      </c>
      <c r="S53" s="2">
        <f t="shared" si="166"/>
        <v>3.7887607402292897E-2</v>
      </c>
      <c r="T53" s="3">
        <f t="shared" si="167"/>
        <v>55.196530555214963</v>
      </c>
      <c r="U53" s="2">
        <f t="shared" si="168"/>
        <v>4.6307075713913556E-2</v>
      </c>
      <c r="V53" s="3">
        <f t="shared" si="169"/>
        <v>67.462426234151636</v>
      </c>
      <c r="W53" t="s">
        <v>79</v>
      </c>
      <c r="X53">
        <v>73</v>
      </c>
      <c r="Y53">
        <v>75</v>
      </c>
      <c r="Z53">
        <v>42</v>
      </c>
      <c r="AA53">
        <v>20</v>
      </c>
      <c r="AB53" s="2">
        <f t="shared" si="170"/>
        <v>0.1204015384488288</v>
      </c>
      <c r="AC53" s="3">
        <f t="shared" si="171"/>
        <v>157.55871324912718</v>
      </c>
      <c r="AD53" s="2">
        <v>0.24080307689765759</v>
      </c>
      <c r="AE53" s="3">
        <v>255.95488480681703</v>
      </c>
      <c r="AF53" s="2"/>
      <c r="AG53" s="3"/>
      <c r="AH53" t="s">
        <v>79</v>
      </c>
      <c r="AI53">
        <v>77</v>
      </c>
      <c r="AJ53">
        <v>68</v>
      </c>
      <c r="AK53">
        <v>44</v>
      </c>
      <c r="AL53">
        <v>15</v>
      </c>
      <c r="AM53" s="2">
        <f t="shared" si="172"/>
        <v>0.12062878031743847</v>
      </c>
      <c r="AN53" s="3">
        <f t="shared" si="173"/>
        <v>157.76681412738594</v>
      </c>
      <c r="AO53" s="2"/>
      <c r="AP53" s="3"/>
      <c r="AQ53" s="2"/>
      <c r="AR53" s="3"/>
      <c r="AS53" t="s">
        <v>79</v>
      </c>
      <c r="AT53">
        <v>84</v>
      </c>
      <c r="AU53">
        <v>82</v>
      </c>
      <c r="AV53">
        <v>40</v>
      </c>
      <c r="AW53">
        <v>15</v>
      </c>
      <c r="AX53" s="2">
        <f t="shared" si="174"/>
        <v>0.14426193465284332</v>
      </c>
      <c r="AY53" s="3">
        <f t="shared" si="175"/>
        <v>178.81593852604607</v>
      </c>
      <c r="AZ53" s="2">
        <f t="shared" si="176"/>
        <v>0.12262264445491682</v>
      </c>
      <c r="BA53" s="3">
        <f t="shared" si="177"/>
        <v>151.99354774713916</v>
      </c>
      <c r="BB53" s="2">
        <f t="shared" si="178"/>
        <v>2.1639290197926497E-2</v>
      </c>
      <c r="BC53" s="3">
        <f t="shared" si="179"/>
        <v>26.822390778906911</v>
      </c>
      <c r="BD53" t="s">
        <v>79</v>
      </c>
      <c r="BE53">
        <v>97</v>
      </c>
      <c r="BF53">
        <v>89</v>
      </c>
      <c r="BG53">
        <v>40</v>
      </c>
      <c r="BH53">
        <v>5</v>
      </c>
      <c r="BI53" s="2">
        <f t="shared" si="180"/>
        <v>0.18080912918960454</v>
      </c>
      <c r="BJ53" s="3">
        <f t="shared" si="181"/>
        <v>209.43740499982633</v>
      </c>
      <c r="BK53" s="2">
        <f t="shared" si="182"/>
        <v>0.17176867273012431</v>
      </c>
      <c r="BL53" s="3">
        <f t="shared" si="183"/>
        <v>198.965534749835</v>
      </c>
      <c r="BM53" s="2">
        <f t="shared" si="184"/>
        <v>9.040456459480227E-3</v>
      </c>
      <c r="BN53" s="3">
        <f t="shared" si="185"/>
        <v>10.471870249991317</v>
      </c>
      <c r="BO53" t="s">
        <v>79</v>
      </c>
      <c r="BP53">
        <v>97</v>
      </c>
      <c r="BQ53">
        <v>82</v>
      </c>
      <c r="BR53">
        <v>40</v>
      </c>
      <c r="BS53">
        <v>5</v>
      </c>
      <c r="BT53" s="2">
        <f t="shared" si="186"/>
        <v>0.16658818644435477</v>
      </c>
      <c r="BU53" s="3">
        <f t="shared" si="187"/>
        <v>197.76568605823928</v>
      </c>
      <c r="BV53" s="2"/>
      <c r="BW53" t="s">
        <v>79</v>
      </c>
      <c r="BX53" s="4">
        <v>81</v>
      </c>
      <c r="BY53" s="4">
        <v>72</v>
      </c>
      <c r="BZ53">
        <v>44</v>
      </c>
      <c r="CA53">
        <v>10</v>
      </c>
      <c r="CB53" s="2">
        <f t="shared" si="188"/>
        <v>0.1343596346087283</v>
      </c>
      <c r="CC53" s="3">
        <f t="shared" si="189"/>
        <v>170.13284713010034</v>
      </c>
      <c r="CD53" s="2">
        <f t="shared" si="190"/>
        <v>0.12092367114785547</v>
      </c>
      <c r="CE53" s="3">
        <f t="shared" si="191"/>
        <v>153.11956241709032</v>
      </c>
      <c r="CF53" s="2">
        <f t="shared" si="192"/>
        <v>1.343596346087283E-2</v>
      </c>
      <c r="CG53" s="3">
        <f t="shared" si="193"/>
        <v>17.013284713010034</v>
      </c>
    </row>
    <row r="54" spans="1:85">
      <c r="A54" t="s">
        <v>80</v>
      </c>
      <c r="B54">
        <v>116</v>
      </c>
      <c r="C54">
        <v>112</v>
      </c>
      <c r="D54">
        <v>56</v>
      </c>
      <c r="E54">
        <v>55</v>
      </c>
      <c r="F54" s="2">
        <f t="shared" si="158"/>
        <v>0.3809453363840935</v>
      </c>
      <c r="G54" s="3">
        <f t="shared" si="159"/>
        <v>352.86116435232026</v>
      </c>
      <c r="H54" s="2">
        <f t="shared" si="160"/>
        <v>0.17142540137284207</v>
      </c>
      <c r="I54" s="3">
        <f t="shared" si="161"/>
        <v>158.78752395854411</v>
      </c>
      <c r="J54" s="2">
        <f t="shared" si="162"/>
        <v>0.20951993501125143</v>
      </c>
      <c r="K54" s="3">
        <f t="shared" si="163"/>
        <v>194.07364039377615</v>
      </c>
      <c r="L54" t="s">
        <v>80</v>
      </c>
      <c r="M54">
        <v>117</v>
      </c>
      <c r="N54">
        <v>108</v>
      </c>
      <c r="O54">
        <v>63</v>
      </c>
      <c r="P54">
        <v>65</v>
      </c>
      <c r="Q54" s="2">
        <f t="shared" si="164"/>
        <v>0.41682023009298658</v>
      </c>
      <c r="R54" s="3">
        <f t="shared" si="165"/>
        <v>375.80638305333218</v>
      </c>
      <c r="S54" s="2">
        <f t="shared" si="166"/>
        <v>0.14588708053254529</v>
      </c>
      <c r="T54" s="3">
        <f t="shared" si="167"/>
        <v>131.53223406866627</v>
      </c>
      <c r="U54" s="2">
        <f t="shared" si="168"/>
        <v>0.27093314956044129</v>
      </c>
      <c r="V54" s="3">
        <f t="shared" si="169"/>
        <v>244.27414898466591</v>
      </c>
      <c r="W54" t="s">
        <v>80</v>
      </c>
      <c r="X54">
        <v>124</v>
      </c>
      <c r="Y54">
        <v>103</v>
      </c>
      <c r="Z54">
        <v>67</v>
      </c>
      <c r="AA54">
        <v>40</v>
      </c>
      <c r="AB54" s="2">
        <f t="shared" si="170"/>
        <v>0.44805603865007865</v>
      </c>
      <c r="AC54" s="3">
        <f t="shared" si="171"/>
        <v>395.30529753434013</v>
      </c>
      <c r="AD54" s="2">
        <v>0.89611207730015729</v>
      </c>
      <c r="AE54" s="3">
        <v>642.17535042916495</v>
      </c>
      <c r="AF54" s="2"/>
      <c r="AG54" s="3"/>
      <c r="AH54" t="s">
        <v>80</v>
      </c>
      <c r="AI54">
        <v>11</v>
      </c>
      <c r="AJ54">
        <v>94</v>
      </c>
      <c r="AK54">
        <v>61</v>
      </c>
      <c r="AL54">
        <v>30</v>
      </c>
      <c r="AM54" s="2">
        <f t="shared" si="172"/>
        <v>3.3025469172087103E-2</v>
      </c>
      <c r="AN54" s="3">
        <f t="shared" si="173"/>
        <v>63.708047802403414</v>
      </c>
      <c r="AO54" s="2"/>
      <c r="AP54" s="3"/>
      <c r="AQ54" s="2"/>
      <c r="AR54" s="3"/>
      <c r="AS54" t="s">
        <v>80</v>
      </c>
      <c r="AT54">
        <v>120</v>
      </c>
      <c r="AU54">
        <v>124</v>
      </c>
      <c r="AV54">
        <v>68</v>
      </c>
      <c r="AW54">
        <v>45</v>
      </c>
      <c r="AX54" s="2">
        <f t="shared" si="174"/>
        <v>0.52979818510138266</v>
      </c>
      <c r="AY54" s="3">
        <f t="shared" si="175"/>
        <v>444.50569176839969</v>
      </c>
      <c r="AZ54" s="2">
        <f t="shared" si="176"/>
        <v>0.29138900180576049</v>
      </c>
      <c r="BA54" s="3">
        <f t="shared" si="177"/>
        <v>244.47813047261985</v>
      </c>
      <c r="BB54" s="2">
        <f t="shared" si="178"/>
        <v>0.23840918329562219</v>
      </c>
      <c r="BC54" s="3">
        <f t="shared" si="179"/>
        <v>200.02756129577986</v>
      </c>
      <c r="BD54" t="s">
        <v>80</v>
      </c>
      <c r="BE54">
        <v>114</v>
      </c>
      <c r="BF54">
        <v>111</v>
      </c>
      <c r="BG54">
        <v>58</v>
      </c>
      <c r="BH54">
        <v>15</v>
      </c>
      <c r="BI54" s="2">
        <f t="shared" si="180"/>
        <v>0.38428589657241063</v>
      </c>
      <c r="BJ54" s="3">
        <f t="shared" si="181"/>
        <v>355.02432648350378</v>
      </c>
      <c r="BK54" s="2">
        <f t="shared" si="182"/>
        <v>0.32664301208654906</v>
      </c>
      <c r="BL54" s="3">
        <f t="shared" si="183"/>
        <v>301.7706775109782</v>
      </c>
      <c r="BM54" s="2">
        <f t="shared" si="184"/>
        <v>5.7642884485861592E-2</v>
      </c>
      <c r="BN54" s="3">
        <f t="shared" si="185"/>
        <v>53.253648972525568</v>
      </c>
      <c r="BO54" t="s">
        <v>80</v>
      </c>
      <c r="BP54">
        <v>110</v>
      </c>
      <c r="BQ54">
        <v>105</v>
      </c>
      <c r="BR54">
        <v>58</v>
      </c>
      <c r="BS54">
        <v>15</v>
      </c>
      <c r="BT54" s="2">
        <f t="shared" si="186"/>
        <v>0.35075881977330042</v>
      </c>
      <c r="BU54" s="3">
        <f t="shared" si="187"/>
        <v>333.04737888826224</v>
      </c>
      <c r="BV54" s="2"/>
      <c r="BW54" t="s">
        <v>80</v>
      </c>
      <c r="BX54" s="4">
        <v>112</v>
      </c>
      <c r="BY54" s="4">
        <v>112</v>
      </c>
      <c r="BZ54">
        <v>60</v>
      </c>
      <c r="CA54">
        <v>20</v>
      </c>
      <c r="CB54" s="2">
        <f t="shared" si="188"/>
        <v>0.39408138246630364</v>
      </c>
      <c r="CC54" s="3">
        <f t="shared" si="189"/>
        <v>361.33509313687887</v>
      </c>
      <c r="CD54" s="2">
        <f t="shared" si="190"/>
        <v>0.31526510597304291</v>
      </c>
      <c r="CE54" s="3">
        <f t="shared" si="191"/>
        <v>289.06807450950311</v>
      </c>
      <c r="CF54" s="2">
        <f t="shared" si="192"/>
        <v>7.8816276493260728E-2</v>
      </c>
      <c r="CG54" s="3">
        <f t="shared" si="193"/>
        <v>72.267018627375776</v>
      </c>
    </row>
    <row r="55" spans="1:85" ht="23">
      <c r="A55" t="s">
        <v>42</v>
      </c>
      <c r="B55" s="5">
        <v>91.3</v>
      </c>
      <c r="C55" s="5">
        <v>80.5</v>
      </c>
      <c r="D55" s="5">
        <v>38.4</v>
      </c>
      <c r="E55" s="6">
        <v>69</v>
      </c>
      <c r="F55" s="7">
        <f t="shared" ref="F55:K55" si="194">AVERAGE(F45,F46,F47,F48,F49,F50,F51,F52,F53,F54)</f>
        <v>0.1614245076792819</v>
      </c>
      <c r="G55" s="8">
        <f t="shared" si="194"/>
        <v>187.56165866280088</v>
      </c>
      <c r="H55" s="7">
        <f t="shared" si="194"/>
        <v>4.8694000216245752E-2</v>
      </c>
      <c r="I55" s="8">
        <f t="shared" si="194"/>
        <v>56.519899687266594</v>
      </c>
      <c r="J55" s="7">
        <f t="shared" si="194"/>
        <v>0.11273050746303614</v>
      </c>
      <c r="K55" s="8">
        <f t="shared" si="194"/>
        <v>131.04175897553426</v>
      </c>
      <c r="L55" t="s">
        <v>42</v>
      </c>
      <c r="M55" s="5">
        <v>88.7</v>
      </c>
      <c r="N55" s="5">
        <v>76.900000000000006</v>
      </c>
      <c r="O55" s="5">
        <v>37.6</v>
      </c>
      <c r="P55" s="6">
        <v>74</v>
      </c>
      <c r="Q55" s="7">
        <f t="shared" ref="Q55:V55" si="195">AVERAGE(Q45,Q46,Q47,Q48,Q49,Q50,Q51,Q52,Q53,Q54)</f>
        <v>0.15116626518751514</v>
      </c>
      <c r="R55" s="8">
        <f t="shared" si="195"/>
        <v>177.41894086837056</v>
      </c>
      <c r="S55" s="7">
        <f t="shared" si="195"/>
        <v>4.1050290614563792E-2</v>
      </c>
      <c r="T55" s="8">
        <f t="shared" si="195"/>
        <v>47.371260311440359</v>
      </c>
      <c r="U55" s="7">
        <f t="shared" si="195"/>
        <v>0.11011597457295134</v>
      </c>
      <c r="V55" s="8">
        <f t="shared" si="195"/>
        <v>130.04768055693023</v>
      </c>
      <c r="W55" t="s">
        <v>42</v>
      </c>
      <c r="X55" s="9">
        <f>AVERAGE(X45:X54)</f>
        <v>83.444444444444443</v>
      </c>
      <c r="Y55" s="9">
        <f>AVERAGE(Y45:Y54)</f>
        <v>56.888888888888886</v>
      </c>
      <c r="Z55" s="9">
        <f>AVERAGE(Z45:Z54)</f>
        <v>39.222222222222221</v>
      </c>
      <c r="AA55" s="8">
        <f>AVERAGE(AA45:AA54)</f>
        <v>51.9</v>
      </c>
      <c r="AB55" s="7">
        <f>AVERAGE(AB45,AB46,AB47,AB48,AB49,AB50,AB51,AB52,AB53,AB54)</f>
        <v>0.10777127994447952</v>
      </c>
      <c r="AC55" s="8">
        <f>AVERAGE(AC45,AC46,AC47,AC48,AC49,AC50,AC51,AC52,AC53,AC54)</f>
        <v>130.68432718715786</v>
      </c>
      <c r="AD55" s="7">
        <f>AVERAGE(AD45,AD46,AD47,AD48,AD50,AD51,AD52,AD53,AD54)</f>
        <v>0.23922506654328782</v>
      </c>
      <c r="AE55" s="8">
        <f>AVERAGE(AE45,AE46,AE47,AE48,AE50,AE51,AE52,AE53,AE54)</f>
        <v>234.75635675818936</v>
      </c>
      <c r="AH55" t="s">
        <v>42</v>
      </c>
      <c r="AI55" s="9">
        <f>AVERAGE(AI45:AI54)</f>
        <v>65.8</v>
      </c>
      <c r="AJ55" s="9">
        <f>AVERAGE(AJ45:AJ54)</f>
        <v>52.2</v>
      </c>
      <c r="AK55" s="9">
        <f>AVERAGE(AK45:AK54)</f>
        <v>40.4</v>
      </c>
      <c r="AL55" s="8">
        <f>AVERAGE(AL45:AL54)</f>
        <v>45.5</v>
      </c>
      <c r="AM55" s="7">
        <f>AVERAGE(AM45,AM46,AM47,AM48,AM49,AM50,AM51,AM52,AM53,AM54)</f>
        <v>7.4817709723649206E-2</v>
      </c>
      <c r="AN55" s="8">
        <f>AVERAGE(AN45,AN46,AN47,AN48,AN49,AN50,AN51,AN52,AN53,AN54)</f>
        <v>106.67873895668133</v>
      </c>
      <c r="AS55" t="s">
        <v>42</v>
      </c>
      <c r="AT55" s="9">
        <f>AVERAGE(AT45:AT54)</f>
        <v>90.6</v>
      </c>
      <c r="AU55" s="9">
        <f>AVERAGE(AU45:AU54)</f>
        <v>85.8</v>
      </c>
      <c r="AV55" s="9">
        <f>AVERAGE(AV45:AV54)</f>
        <v>44.6</v>
      </c>
      <c r="AW55" s="8">
        <f>AVERAGE(AW45:AW54)</f>
        <v>49</v>
      </c>
      <c r="AX55" s="7">
        <f t="shared" ref="AX55:BC55" si="196">AVERAGE(AX45,AX46,AX47,AX48,AX49,AX50,AX51,AX52,AX53,AX54)</f>
        <v>0.19864274640684992</v>
      </c>
      <c r="AY55" s="8">
        <f t="shared" si="196"/>
        <v>216.65238165496697</v>
      </c>
      <c r="AZ55" s="7">
        <f t="shared" si="196"/>
        <v>9.9215056472039723E-2</v>
      </c>
      <c r="BA55" s="8">
        <f t="shared" si="196"/>
        <v>108.77070093930456</v>
      </c>
      <c r="BB55" s="7">
        <f t="shared" si="196"/>
        <v>9.9427689934810201E-2</v>
      </c>
      <c r="BC55" s="8">
        <f t="shared" si="196"/>
        <v>107.88168071566244</v>
      </c>
      <c r="BD55" t="s">
        <v>42</v>
      </c>
      <c r="BE55" s="9">
        <f>AVERAGE(BE45:BE54)</f>
        <v>92.8</v>
      </c>
      <c r="BF55" s="9">
        <f>AVERAGE(BF45:BF54)</f>
        <v>76.8</v>
      </c>
      <c r="BG55" s="9">
        <f>AVERAGE(BG45:BG54)</f>
        <v>39.799999999999997</v>
      </c>
      <c r="BH55" s="8">
        <f>AVERAGE(BH45:BH54)</f>
        <v>42</v>
      </c>
      <c r="BI55" s="7">
        <f t="shared" ref="BI55:BN55" si="197">AVERAGE(BI45,BI46,BI47,BI48,BI49,BI50,BI51,BI52,BI53,BI54)</f>
        <v>0.1622018947814127</v>
      </c>
      <c r="BJ55" s="8">
        <f t="shared" si="197"/>
        <v>188.34613257749311</v>
      </c>
      <c r="BK55" s="7">
        <f t="shared" si="197"/>
        <v>0.10320551531461111</v>
      </c>
      <c r="BL55" s="8">
        <f t="shared" si="197"/>
        <v>116.42778759749505</v>
      </c>
      <c r="BM55" s="7">
        <f t="shared" si="197"/>
        <v>5.8996379466801571E-2</v>
      </c>
      <c r="BN55" s="8">
        <f t="shared" si="197"/>
        <v>71.918344979998068</v>
      </c>
      <c r="BO55" t="s">
        <v>42</v>
      </c>
      <c r="BP55" s="9">
        <f>AVERAGE(BP45:BP54)</f>
        <v>73.5</v>
      </c>
      <c r="BQ55" s="9">
        <f>AVERAGE(BQ45:BQ54)</f>
        <v>58.2</v>
      </c>
      <c r="BR55" s="9">
        <f>AVERAGE(BR45:BR54)</f>
        <v>38.1</v>
      </c>
      <c r="BS55" s="8">
        <f>AVERAGE(BS45:BS54)</f>
        <v>42</v>
      </c>
      <c r="BT55" s="7">
        <f>AVERAGE(BT45,BT46,BT47,BT48,BT49,BT50,BT51,BT52,BT53,BT54)</f>
        <v>0.10934391770635617</v>
      </c>
      <c r="BU55" s="8">
        <f>AVERAGE(BU45,BU46,BU47,BU48,BU49,BU50,BU51,BU52,BU53,BU54)</f>
        <v>135.87421451337494</v>
      </c>
      <c r="BW55" t="s">
        <v>42</v>
      </c>
      <c r="BX55" s="9">
        <f>AVERAGE(BX45:BX54)</f>
        <v>84.6</v>
      </c>
      <c r="BY55" s="9">
        <f>AVERAGE(BY45:BY54)</f>
        <v>71.400000000000006</v>
      </c>
      <c r="BZ55" s="9">
        <f>AVERAGE(BZ45:BZ54)</f>
        <v>39.6</v>
      </c>
      <c r="CA55" s="8">
        <f>AVERAGE(CA45:CA54)</f>
        <v>45.5</v>
      </c>
      <c r="CB55" s="7">
        <f t="shared" ref="CB55:CG55" si="198">AVERAGE(CB45,CB46,CB47,CB48,CB49,CB50,CB51,CB52,CB53,CB54)</f>
        <v>0.13930439672572348</v>
      </c>
      <c r="CC55" s="8">
        <f t="shared" si="198"/>
        <v>168.17959156885541</v>
      </c>
      <c r="CD55" s="7">
        <f t="shared" si="198"/>
        <v>8.2927223268078915E-2</v>
      </c>
      <c r="CE55" s="8">
        <f t="shared" si="198"/>
        <v>97.125251985501933</v>
      </c>
      <c r="CF55" s="7">
        <f t="shared" si="198"/>
        <v>5.6377173457644571E-2</v>
      </c>
      <c r="CG55" s="8">
        <f t="shared" si="198"/>
        <v>71.054339583353539</v>
      </c>
    </row>
    <row r="56" spans="1:85" ht="18">
      <c r="A56" t="s">
        <v>43</v>
      </c>
      <c r="B56" s="9">
        <v>17.21</v>
      </c>
      <c r="C56" s="9">
        <v>17.920000000000002</v>
      </c>
      <c r="D56" s="9">
        <v>8.6</v>
      </c>
      <c r="E56" s="9">
        <v>17.61</v>
      </c>
      <c r="F56" s="7">
        <f t="shared" ref="F56:K56" si="199">STDEV(F45,F46,F47,F48,F49,F50,F51,F52,F53,F54)</f>
        <v>9.6011462149798901E-2</v>
      </c>
      <c r="G56" s="9">
        <f t="shared" si="199"/>
        <v>77.223081101937481</v>
      </c>
      <c r="H56" s="7">
        <f t="shared" si="199"/>
        <v>4.6990587006643103E-2</v>
      </c>
      <c r="I56" s="9">
        <f t="shared" si="199"/>
        <v>42.966407887697592</v>
      </c>
      <c r="J56" s="7">
        <f t="shared" si="199"/>
        <v>6.6588364858125623E-2</v>
      </c>
      <c r="K56" s="9">
        <f t="shared" si="199"/>
        <v>61.504132667900436</v>
      </c>
      <c r="L56" t="s">
        <v>43</v>
      </c>
      <c r="M56" s="9">
        <v>18.14</v>
      </c>
      <c r="N56" s="9">
        <v>17.45</v>
      </c>
      <c r="O56" s="9">
        <v>10.28</v>
      </c>
      <c r="P56" s="9">
        <v>13.08</v>
      </c>
      <c r="Q56" s="7">
        <f t="shared" ref="Q56:V56" si="200">STDEV(Q45,Q46,Q47,Q48,Q49,Q50,Q51,Q52,Q53,Q54)</f>
        <v>0.10745141199882202</v>
      </c>
      <c r="R56" s="9">
        <f t="shared" si="200"/>
        <v>85.19742144890256</v>
      </c>
      <c r="S56" s="7">
        <f t="shared" si="200"/>
        <v>4.0488646343089844E-2</v>
      </c>
      <c r="T56" s="9">
        <f t="shared" si="200"/>
        <v>35.671347050780192</v>
      </c>
      <c r="U56" s="7">
        <f t="shared" si="200"/>
        <v>7.2793172814550722E-2</v>
      </c>
      <c r="V56" s="9">
        <f t="shared" si="200"/>
        <v>60.134385372964452</v>
      </c>
      <c r="W56" t="s">
        <v>43</v>
      </c>
      <c r="X56" s="9">
        <f>STDEV(X45:X54)</f>
        <v>26.034165586355506</v>
      </c>
      <c r="Y56" s="9">
        <f>STDEV(Y45:Y54)</f>
        <v>26.360218343388418</v>
      </c>
      <c r="Z56" s="9">
        <f>STDEV(Z45:Z54)</f>
        <v>10.779352691346746</v>
      </c>
      <c r="AA56" s="9">
        <f>STDEV(AA45:AA54)</f>
        <v>27.818658806236112</v>
      </c>
      <c r="AB56" s="7">
        <f>STDEV(AB45,AB46,AB47,AB48,AB49,AB50,AB51,AB52,AB53,AB54)</f>
        <v>0.12764924114690493</v>
      </c>
      <c r="AC56" s="9">
        <f>STDEV(AC45,AC46,AC47,AC48,AC49,AC50,AC51,AC52,AC53,AC54)</f>
        <v>107.00007805137282</v>
      </c>
      <c r="AD56" s="7">
        <f>STDEV(AD45,AD46,AD47,AD48,AD50,AD51,AD52,AD53,AD54)</f>
        <v>0.25887215344277453</v>
      </c>
      <c r="AE56" s="9">
        <f>STDEV(AE45,AE46,AE47,AE48,AE50,AE51,AE52,AE53,AE54)</f>
        <v>168.27450018812115</v>
      </c>
      <c r="AH56" t="s">
        <v>43</v>
      </c>
      <c r="AI56" s="9">
        <f>STDEV(AI45:AI54)</f>
        <v>33.9601073156268</v>
      </c>
      <c r="AJ56" s="9">
        <f>STDEV(AJ45:AJ54)</f>
        <v>24.160573944617564</v>
      </c>
      <c r="AK56" s="9">
        <f>STDEV(AK45:AK54)</f>
        <v>8.5270810428370538</v>
      </c>
      <c r="AL56" s="9">
        <f>STDEV(AL45:AL54)</f>
        <v>28.5238691469287</v>
      </c>
      <c r="AM56" s="7">
        <f>STDEV(AM45,AM46,AM47,AM48,AM49,AM50,AM51,AM52,AM53,AM54)</f>
        <v>5.1245383315679856E-2</v>
      </c>
      <c r="AN56" s="9">
        <f>STDEV(AN45,AN46,AN47,AN48,AN49,AN50,AN51,AN52,AN53,AN54)</f>
        <v>57.409060087128864</v>
      </c>
      <c r="AS56" t="s">
        <v>43</v>
      </c>
      <c r="AT56" s="9">
        <f>STDEV(AT45:AT54)</f>
        <v>17.715028146244126</v>
      </c>
      <c r="AU56" s="9">
        <f>STDEV(AU45:AU54)</f>
        <v>18.492040329708246</v>
      </c>
      <c r="AV56" s="9">
        <f>STDEV(AV45:AV54)</f>
        <v>8.9591666279105908</v>
      </c>
      <c r="AW56" s="9">
        <f>STDEV(AW45:AW54)</f>
        <v>24.013884872437167</v>
      </c>
      <c r="AX56" s="7">
        <f t="shared" ref="AX56:BC56" si="201">STDEV(AX45,AX46,AX47,AX48,AX49,AX50,AX51,AX52,AX53,AX54)</f>
        <v>0.13010998045616579</v>
      </c>
      <c r="AY56" s="9">
        <f t="shared" si="201"/>
        <v>93.115758051415455</v>
      </c>
      <c r="AZ56" s="7">
        <f t="shared" si="201"/>
        <v>7.8424128865051387E-2</v>
      </c>
      <c r="BA56" s="9">
        <f t="shared" si="201"/>
        <v>66.151684378681793</v>
      </c>
      <c r="BB56" s="7">
        <f t="shared" si="201"/>
        <v>7.812516239419888E-2</v>
      </c>
      <c r="BC56" s="9">
        <f t="shared" si="201"/>
        <v>69.692759060347754</v>
      </c>
      <c r="BD56" t="s">
        <v>43</v>
      </c>
      <c r="BE56" s="9">
        <f>STDEV(BE45:BE54)</f>
        <v>16.738511814906918</v>
      </c>
      <c r="BF56" s="9">
        <f>STDEV(BF45:BF54)</f>
        <v>19.048476171191339</v>
      </c>
      <c r="BG56" s="9">
        <f>STDEV(BG45:BG54)</f>
        <v>7.7860273710167665</v>
      </c>
      <c r="BH56" s="9">
        <f>STDEV(BH45:BH54)</f>
        <v>27.60837232113154</v>
      </c>
      <c r="BI56" s="7">
        <f t="shared" ref="BI56:BN56" si="202">STDEV(BI45,BI46,BI47,BI48,BI49,BI50,BI51,BI52,BI53,BI54)</f>
        <v>9.4496426283941379E-2</v>
      </c>
      <c r="BJ56" s="9">
        <f t="shared" si="202"/>
        <v>76.213269225749329</v>
      </c>
      <c r="BK56" s="7">
        <f t="shared" si="202"/>
        <v>9.4565880216431364E-2</v>
      </c>
      <c r="BL56" s="9">
        <f t="shared" si="202"/>
        <v>87.206003155600911</v>
      </c>
      <c r="BM56" s="7">
        <f t="shared" si="202"/>
        <v>4.1573558599886054E-2</v>
      </c>
      <c r="BN56" s="9">
        <f t="shared" si="202"/>
        <v>48.241891082924361</v>
      </c>
      <c r="BO56" t="s">
        <v>43</v>
      </c>
      <c r="BP56" s="9">
        <f>STDEV(BP45:BP54)</f>
        <v>24.721785264552935</v>
      </c>
      <c r="BQ56" s="9">
        <f>STDEV(BQ45:BQ54)</f>
        <v>26.557275630020651</v>
      </c>
      <c r="BR56" s="9">
        <f>STDEV(BR45:BR54)</f>
        <v>9.0609050320594342</v>
      </c>
      <c r="BS56" s="9">
        <f>STDEV(BS45:BS54)</f>
        <v>27.60837232113154</v>
      </c>
      <c r="BT56" s="7">
        <f>STDEV(BT45,BT46,BT47,BT48,BT49,BT50,BT51,BT52,BT53,BT54)</f>
        <v>0.10243696387065407</v>
      </c>
      <c r="BU56" s="9">
        <f>STDEV(BU45,BU46,BU47,BU48,BU49,BU50,BU51,BU52,BU53,BU54)</f>
        <v>91.987273862290976</v>
      </c>
      <c r="BW56" t="s">
        <v>43</v>
      </c>
      <c r="BX56" s="9">
        <f>STDEV(BX45:BX54)</f>
        <v>16.661332479726806</v>
      </c>
      <c r="BY56" s="9">
        <f>STDEV(BY45:BY54)</f>
        <v>17.589138062388901</v>
      </c>
      <c r="BZ56" s="9">
        <f>STDEV(BZ45:BZ54)</f>
        <v>8.0166493416306182</v>
      </c>
      <c r="CA56" s="9">
        <f>STDEV(CA45:CA54)</f>
        <v>27.633514273633587</v>
      </c>
      <c r="CB56" s="7">
        <f t="shared" ref="CB56:CG56" si="203">STDEV(CB45,CB46,CB47,CB48,CB49,CB50,CB51,CB52,CB53,CB54)</f>
        <v>9.8240043301457317E-2</v>
      </c>
      <c r="CC56" s="9">
        <f t="shared" si="203"/>
        <v>77.80910541313655</v>
      </c>
      <c r="CD56" s="7">
        <f t="shared" si="203"/>
        <v>8.871266254708951E-2</v>
      </c>
      <c r="CE56" s="9">
        <f t="shared" si="203"/>
        <v>79.986508874813467</v>
      </c>
      <c r="CF56" s="7">
        <f t="shared" si="203"/>
        <v>4.0574885051799896E-2</v>
      </c>
      <c r="CG56" s="9">
        <f t="shared" si="203"/>
        <v>45.932283040687189</v>
      </c>
    </row>
    <row r="57" spans="1:85" ht="18">
      <c r="A57" t="s">
        <v>44</v>
      </c>
      <c r="B57" s="9">
        <v>10.67</v>
      </c>
      <c r="C57" s="9">
        <v>11.11</v>
      </c>
      <c r="D57" s="9">
        <v>5.33</v>
      </c>
      <c r="E57" s="9">
        <v>10.91</v>
      </c>
      <c r="F57" s="7">
        <f t="shared" ref="F57:K57" si="204">CONFIDENCE(0.05,F56,10)</f>
        <v>5.950742728474278E-2</v>
      </c>
      <c r="G57" s="9">
        <f t="shared" si="204"/>
        <v>47.862482046233104</v>
      </c>
      <c r="H57" s="7">
        <f t="shared" si="204"/>
        <v>2.9124532391792666E-2</v>
      </c>
      <c r="I57" s="9">
        <f t="shared" si="204"/>
        <v>26.630366164766489</v>
      </c>
      <c r="J57" s="7">
        <f t="shared" si="204"/>
        <v>4.1271137748349888E-2</v>
      </c>
      <c r="K57" s="9">
        <f t="shared" si="204"/>
        <v>38.119955893765386</v>
      </c>
      <c r="L57" t="s">
        <v>44</v>
      </c>
      <c r="M57" s="9">
        <v>11.24</v>
      </c>
      <c r="N57" s="9">
        <v>10.82</v>
      </c>
      <c r="O57" s="9">
        <v>6.37</v>
      </c>
      <c r="P57" s="9">
        <v>8.11</v>
      </c>
      <c r="Q57" s="7">
        <f t="shared" ref="Q57:V57" si="205">CONFIDENCE(0.05,Q56,10)</f>
        <v>6.6597851370980635E-2</v>
      </c>
      <c r="R57" s="9">
        <f t="shared" si="205"/>
        <v>52.804938579187898</v>
      </c>
      <c r="S57" s="7">
        <f t="shared" si="205"/>
        <v>2.5094661868183332E-2</v>
      </c>
      <c r="T57" s="9">
        <f t="shared" si="205"/>
        <v>22.10892369768553</v>
      </c>
      <c r="U57" s="7">
        <f t="shared" si="205"/>
        <v>4.5116846896145986E-2</v>
      </c>
      <c r="V57" s="9">
        <f t="shared" si="205"/>
        <v>37.270993324851446</v>
      </c>
      <c r="W57" t="s">
        <v>44</v>
      </c>
      <c r="X57" s="9">
        <f>CONFIDENCE(0.05,X56,9)</f>
        <v>17.008675638936293</v>
      </c>
      <c r="Y57" s="9">
        <f>CONFIDENCE(0.05,Y56,9)</f>
        <v>17.221692859217789</v>
      </c>
      <c r="Z57" s="9">
        <f>CONFIDENCE(0.05,Z56,9)</f>
        <v>7.0423810172315067</v>
      </c>
      <c r="AA57" s="9">
        <f>CONFIDENCE(0.05,AA56,10)</f>
        <v>17.241866533480682</v>
      </c>
      <c r="AB57" s="7">
        <f>CONFIDENCE(0.05,AB56,10)</f>
        <v>7.9116365540298689E-2</v>
      </c>
      <c r="AC57" s="9">
        <f>CONFIDENCE(0.05,AC56,10)</f>
        <v>66.31811683244122</v>
      </c>
      <c r="AD57" s="7">
        <f>CONFIDENCE(0.05,AD56,9)</f>
        <v>0.16912669911605485</v>
      </c>
      <c r="AE57" s="9">
        <f>CONFIDENCE(0.05,AE56,9)</f>
        <v>109.93731996173197</v>
      </c>
      <c r="AH57" t="s">
        <v>44</v>
      </c>
      <c r="AI57" s="9">
        <f t="shared" ref="AI57:AN57" si="206">CONFIDENCE(0.05,AI56,10)</f>
        <v>21.048305810755284</v>
      </c>
      <c r="AJ57" s="9">
        <f t="shared" si="206"/>
        <v>14.974603708500988</v>
      </c>
      <c r="AK57" s="9">
        <f t="shared" si="206"/>
        <v>5.285042470408805</v>
      </c>
      <c r="AL57" s="9">
        <f t="shared" si="206"/>
        <v>17.678952399371756</v>
      </c>
      <c r="AM57" s="7">
        <f t="shared" si="206"/>
        <v>3.1761634007601423E-2</v>
      </c>
      <c r="AN57" s="9">
        <f t="shared" si="206"/>
        <v>35.581850251276542</v>
      </c>
      <c r="AS57" t="s">
        <v>44</v>
      </c>
      <c r="AT57" s="9">
        <f>CONFIDENCE(0.05,AT56,7)</f>
        <v>13.12323535721162</v>
      </c>
      <c r="AU57" s="9">
        <f>CONFIDENCE(0.05,AU56,7)</f>
        <v>13.69884346095502</v>
      </c>
      <c r="AV57" s="9">
        <f>CONFIDENCE(0.05,AV56,7)</f>
        <v>6.6369215612832155</v>
      </c>
      <c r="AW57" s="9">
        <f>CONFIDENCE(0.05,AW56,7)</f>
        <v>17.789407977248484</v>
      </c>
      <c r="AX57" s="7">
        <f t="shared" ref="AX57:BC57" si="207">CONFIDENCE(0.05,AX56,10)</f>
        <v>8.0641519539975129E-2</v>
      </c>
      <c r="AY57" s="9">
        <f t="shared" si="207"/>
        <v>57.712684269540766</v>
      </c>
      <c r="AZ57" s="7">
        <f t="shared" si="207"/>
        <v>4.8606885483371609E-2</v>
      </c>
      <c r="BA57" s="9">
        <f t="shared" si="207"/>
        <v>41.00048535648623</v>
      </c>
      <c r="BB57" s="7">
        <f t="shared" si="207"/>
        <v>4.8421587549911604E-2</v>
      </c>
      <c r="BC57" s="9">
        <f t="shared" si="207"/>
        <v>43.195225853202253</v>
      </c>
      <c r="BD57" t="s">
        <v>44</v>
      </c>
      <c r="BE57" s="9">
        <f>CONFIDENCE(0.05,BE56,7)</f>
        <v>12.399835228207815</v>
      </c>
      <c r="BF57" s="9">
        <f>CONFIDENCE(0.05,BF56,7)</f>
        <v>14.111049326431949</v>
      </c>
      <c r="BG57" s="9">
        <f>CONFIDENCE(0.05,BG56,7)</f>
        <v>5.7678638071601389</v>
      </c>
      <c r="BH57" s="9">
        <f>CONFIDENCE(0.05,BH56,7)</f>
        <v>20.452192613453562</v>
      </c>
      <c r="BI57" s="7">
        <f t="shared" ref="BI57:BN57" si="208">CONFIDENCE(0.05,BI56,10)</f>
        <v>5.8568415581321052E-2</v>
      </c>
      <c r="BJ57" s="9">
        <f t="shared" si="208"/>
        <v>47.236605661809541</v>
      </c>
      <c r="BK57" s="7">
        <f t="shared" si="208"/>
        <v>5.8611462783652361E-2</v>
      </c>
      <c r="BL57" s="9">
        <f t="shared" si="208"/>
        <v>54.049847542977346</v>
      </c>
      <c r="BM57" s="7">
        <f t="shared" si="208"/>
        <v>2.5767085095431953E-2</v>
      </c>
      <c r="BN57" s="9">
        <f t="shared" si="208"/>
        <v>29.900084442174236</v>
      </c>
      <c r="BO57" t="s">
        <v>44</v>
      </c>
      <c r="BP57" s="9">
        <f>CONFIDENCE(0.05,BP56,7)</f>
        <v>18.313818290261015</v>
      </c>
      <c r="BQ57" s="9">
        <f>CONFIDENCE(0.05,BQ56,7)</f>
        <v>19.673543595977456</v>
      </c>
      <c r="BR57" s="9">
        <f>CONFIDENCE(0.05,BR56,7)</f>
        <v>6.7122890408881206</v>
      </c>
      <c r="BS57" s="9">
        <f>CONFIDENCE(0.05,BS56,7)</f>
        <v>20.452192613453562</v>
      </c>
      <c r="BT57" s="7">
        <f>CONFIDENCE(0.05,BT56,10)</f>
        <v>6.3489921331393223E-2</v>
      </c>
      <c r="BU57" s="9">
        <f>CONFIDENCE(0.05,BU56,10)</f>
        <v>57.013255375087169</v>
      </c>
      <c r="BW57" t="s">
        <v>44</v>
      </c>
      <c r="BX57" s="9">
        <f>CONFIDENCE(0.05,BX56,7)</f>
        <v>12.342661027189317</v>
      </c>
      <c r="BY57" s="9">
        <f>CONFIDENCE(0.05,BY56,7)</f>
        <v>13.029976391663688</v>
      </c>
      <c r="BZ57" s="9">
        <f>CONFIDENCE(0.05,BZ56,7)</f>
        <v>5.9387078145150571</v>
      </c>
      <c r="CA57" s="9">
        <f>CONFIDENCE(0.05,CA56,7)</f>
        <v>20.470817690269723</v>
      </c>
      <c r="CB57" s="7">
        <f t="shared" ref="CB57:CG57" si="209">CONFIDENCE(0.05,CB56,10)</f>
        <v>6.0888690811628246E-2</v>
      </c>
      <c r="CC57" s="9">
        <f t="shared" si="209"/>
        <v>48.22569700312399</v>
      </c>
      <c r="CD57" s="7">
        <f t="shared" si="209"/>
        <v>5.4983667549196993E-2</v>
      </c>
      <c r="CE57" s="9">
        <f t="shared" si="209"/>
        <v>49.575240851994103</v>
      </c>
      <c r="CF57" s="7">
        <f t="shared" si="209"/>
        <v>2.5148112191434181E-2</v>
      </c>
      <c r="CG57" s="9">
        <f t="shared" si="209"/>
        <v>28.468600851024974</v>
      </c>
    </row>
  </sheetData>
  <mergeCells count="1">
    <mergeCell ref="L1:N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Mahall</dc:creator>
  <cp:lastModifiedBy>Bruce Mahall</cp:lastModifiedBy>
  <dcterms:created xsi:type="dcterms:W3CDTF">2017-10-25T21:15:57Z</dcterms:created>
  <dcterms:modified xsi:type="dcterms:W3CDTF">2017-10-25T21:16:49Z</dcterms:modified>
</cp:coreProperties>
</file>