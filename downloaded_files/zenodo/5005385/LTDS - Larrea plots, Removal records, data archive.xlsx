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N65" i="1" l="1"/>
  <c r="DN66" i="1"/>
  <c r="DL65" i="1"/>
  <c r="DL66" i="1"/>
  <c r="DG65" i="1"/>
  <c r="DG66" i="1"/>
  <c r="DE65" i="1"/>
  <c r="DE66" i="1"/>
  <c r="CZ65" i="1"/>
  <c r="CZ66" i="1"/>
  <c r="CY65" i="1"/>
  <c r="CY66" i="1"/>
  <c r="CX65" i="1"/>
  <c r="CX66" i="1"/>
  <c r="CW65" i="1"/>
  <c r="CW66" i="1"/>
  <c r="CS65" i="1"/>
  <c r="CS66" i="1"/>
  <c r="CR65" i="1"/>
  <c r="CR66" i="1"/>
  <c r="CQ65" i="1"/>
  <c r="CQ66" i="1"/>
  <c r="CP65" i="1"/>
  <c r="CP66" i="1"/>
  <c r="CL65" i="1"/>
  <c r="CL66" i="1"/>
  <c r="CK65" i="1"/>
  <c r="CK66" i="1"/>
  <c r="CJ65" i="1"/>
  <c r="CJ66" i="1"/>
  <c r="CI65" i="1"/>
  <c r="CI66" i="1"/>
  <c r="CE65" i="1"/>
  <c r="CE66" i="1"/>
  <c r="CD65" i="1"/>
  <c r="CD66" i="1"/>
  <c r="CC65" i="1"/>
  <c r="CC66" i="1"/>
  <c r="CB65" i="1"/>
  <c r="CB66" i="1"/>
  <c r="BX65" i="1"/>
  <c r="BX66" i="1"/>
  <c r="BW65" i="1"/>
  <c r="BW66" i="1"/>
  <c r="BV65" i="1"/>
  <c r="BV66" i="1"/>
  <c r="BU65" i="1"/>
  <c r="BU66" i="1"/>
  <c r="BQ65" i="1"/>
  <c r="BQ66" i="1"/>
  <c r="BP65" i="1"/>
  <c r="BP66" i="1"/>
  <c r="BO65" i="1"/>
  <c r="BO66" i="1"/>
  <c r="BN65" i="1"/>
  <c r="BN66" i="1"/>
  <c r="BJ65" i="1"/>
  <c r="BJ66" i="1"/>
  <c r="BI65" i="1"/>
  <c r="BI66" i="1"/>
  <c r="BH65" i="1"/>
  <c r="BH66" i="1"/>
  <c r="BG65" i="1"/>
  <c r="BG66" i="1"/>
  <c r="BC65" i="1"/>
  <c r="BC66" i="1"/>
  <c r="BB65" i="1"/>
  <c r="BB66" i="1"/>
  <c r="BA65" i="1"/>
  <c r="BA66" i="1"/>
  <c r="AZ65" i="1"/>
  <c r="AZ66" i="1"/>
  <c r="AO65" i="1"/>
  <c r="AO66" i="1"/>
  <c r="AN65" i="1"/>
  <c r="AN66" i="1"/>
  <c r="AM65" i="1"/>
  <c r="AM66" i="1"/>
  <c r="AL65" i="1"/>
  <c r="AL66" i="1"/>
  <c r="AH65" i="1"/>
  <c r="AH66" i="1"/>
  <c r="AG65" i="1"/>
  <c r="AG66" i="1"/>
  <c r="AF65" i="1"/>
  <c r="AF66" i="1"/>
  <c r="AE65" i="1"/>
  <c r="AE66" i="1"/>
  <c r="AA65" i="1"/>
  <c r="AA66" i="1"/>
  <c r="Z65" i="1"/>
  <c r="Z66" i="1"/>
  <c r="Y65" i="1"/>
  <c r="Y66" i="1"/>
  <c r="X65" i="1"/>
  <c r="X66" i="1"/>
  <c r="T65" i="1"/>
  <c r="T66" i="1"/>
  <c r="S65" i="1"/>
  <c r="S66" i="1"/>
  <c r="R65" i="1"/>
  <c r="R66" i="1"/>
  <c r="Q65" i="1"/>
  <c r="Q66" i="1"/>
  <c r="M65" i="1"/>
  <c r="M66" i="1"/>
  <c r="L65" i="1"/>
  <c r="L66" i="1"/>
  <c r="K65" i="1"/>
  <c r="K66" i="1"/>
  <c r="J65" i="1"/>
  <c r="J66" i="1"/>
  <c r="F65" i="1"/>
  <c r="F66" i="1"/>
  <c r="E65" i="1"/>
  <c r="E66" i="1"/>
  <c r="D65" i="1"/>
  <c r="D66" i="1"/>
  <c r="C65" i="1"/>
  <c r="C66" i="1"/>
  <c r="DM65" i="1"/>
  <c r="DK65" i="1"/>
  <c r="DF65" i="1"/>
  <c r="DD65" i="1"/>
  <c r="AV65" i="1"/>
  <c r="AU65" i="1"/>
  <c r="AT65" i="1"/>
  <c r="AS65" i="1"/>
  <c r="DN63" i="1"/>
  <c r="DN64" i="1"/>
  <c r="DM63" i="1"/>
  <c r="DM64" i="1"/>
  <c r="DL63" i="1"/>
  <c r="DL64" i="1"/>
  <c r="DK63" i="1"/>
  <c r="DK64" i="1"/>
  <c r="DG63" i="1"/>
  <c r="DG64" i="1"/>
  <c r="DF63" i="1"/>
  <c r="DF64" i="1"/>
  <c r="DE63" i="1"/>
  <c r="DE64" i="1"/>
  <c r="DD63" i="1"/>
  <c r="DD64" i="1"/>
  <c r="CZ63" i="1"/>
  <c r="CZ64" i="1"/>
  <c r="CY63" i="1"/>
  <c r="CY64" i="1"/>
  <c r="CX63" i="1"/>
  <c r="CX64" i="1"/>
  <c r="CW63" i="1"/>
  <c r="CW64" i="1"/>
  <c r="CS63" i="1"/>
  <c r="CS64" i="1"/>
  <c r="CR63" i="1"/>
  <c r="CR64" i="1"/>
  <c r="CQ63" i="1"/>
  <c r="CQ64" i="1"/>
  <c r="CP63" i="1"/>
  <c r="CP64" i="1"/>
  <c r="CL63" i="1"/>
  <c r="CL64" i="1"/>
  <c r="CK63" i="1"/>
  <c r="CK64" i="1"/>
  <c r="CJ63" i="1"/>
  <c r="CJ64" i="1"/>
  <c r="CI63" i="1"/>
  <c r="CI64" i="1"/>
  <c r="CE63" i="1"/>
  <c r="CE64" i="1"/>
  <c r="CD63" i="1"/>
  <c r="CD64" i="1"/>
  <c r="CC63" i="1"/>
  <c r="CC64" i="1"/>
  <c r="CB63" i="1"/>
  <c r="CB64" i="1"/>
  <c r="BX63" i="1"/>
  <c r="BX64" i="1"/>
  <c r="BW63" i="1"/>
  <c r="BW64" i="1"/>
  <c r="BV63" i="1"/>
  <c r="BV64" i="1"/>
  <c r="BU63" i="1"/>
  <c r="BU64" i="1"/>
  <c r="BQ63" i="1"/>
  <c r="BQ64" i="1"/>
  <c r="BP63" i="1"/>
  <c r="BP64" i="1"/>
  <c r="BO63" i="1"/>
  <c r="BO64" i="1"/>
  <c r="BN63" i="1"/>
  <c r="BN64" i="1"/>
  <c r="BJ63" i="1"/>
  <c r="BJ64" i="1"/>
  <c r="BI63" i="1"/>
  <c r="BI64" i="1"/>
  <c r="BH63" i="1"/>
  <c r="BH64" i="1"/>
  <c r="BG63" i="1"/>
  <c r="BG64" i="1"/>
  <c r="BC63" i="1"/>
  <c r="BC64" i="1"/>
  <c r="BB63" i="1"/>
  <c r="BB64" i="1"/>
  <c r="BA63" i="1"/>
  <c r="BA64" i="1"/>
  <c r="AZ63" i="1"/>
  <c r="AZ64" i="1"/>
  <c r="AV63" i="1"/>
  <c r="AV64" i="1"/>
  <c r="AU63" i="1"/>
  <c r="AU64" i="1"/>
  <c r="AT63" i="1"/>
  <c r="AT64" i="1"/>
  <c r="AS63" i="1"/>
  <c r="AS64" i="1"/>
  <c r="AO63" i="1"/>
  <c r="AO64" i="1"/>
  <c r="AN63" i="1"/>
  <c r="AN64" i="1"/>
  <c r="AM63" i="1"/>
  <c r="AM64" i="1"/>
  <c r="AL63" i="1"/>
  <c r="AL64" i="1"/>
  <c r="AH63" i="1"/>
  <c r="AH64" i="1"/>
  <c r="AG63" i="1"/>
  <c r="AG64" i="1"/>
  <c r="AF63" i="1"/>
  <c r="AF64" i="1"/>
  <c r="AE63" i="1"/>
  <c r="AE64" i="1"/>
  <c r="AA63" i="1"/>
  <c r="AA64" i="1"/>
  <c r="Z63" i="1"/>
  <c r="Z64" i="1"/>
  <c r="Y63" i="1"/>
  <c r="Y64" i="1"/>
  <c r="X63" i="1"/>
  <c r="X64" i="1"/>
  <c r="T63" i="1"/>
  <c r="T64" i="1"/>
  <c r="S63" i="1"/>
  <c r="S64" i="1"/>
  <c r="R63" i="1"/>
  <c r="R64" i="1"/>
  <c r="Q63" i="1"/>
  <c r="Q64" i="1"/>
  <c r="M63" i="1"/>
  <c r="M64" i="1"/>
  <c r="L63" i="1"/>
  <c r="L64" i="1"/>
  <c r="K63" i="1"/>
  <c r="K64" i="1"/>
  <c r="J63" i="1"/>
  <c r="J64" i="1"/>
  <c r="F63" i="1"/>
  <c r="F64" i="1"/>
  <c r="E63" i="1"/>
  <c r="E64" i="1"/>
  <c r="D63" i="1"/>
  <c r="D64" i="1"/>
  <c r="C63" i="1"/>
  <c r="C64" i="1"/>
  <c r="DN49" i="1"/>
  <c r="DN50" i="1"/>
  <c r="DG49" i="1"/>
  <c r="DG50" i="1"/>
  <c r="CZ49" i="1"/>
  <c r="CZ50" i="1"/>
  <c r="CS49" i="1"/>
  <c r="CS50" i="1"/>
  <c r="CR49" i="1"/>
  <c r="CR50" i="1"/>
  <c r="CL49" i="1"/>
  <c r="CL50" i="1"/>
  <c r="CK49" i="1"/>
  <c r="CK50" i="1"/>
  <c r="CE49" i="1"/>
  <c r="CE50" i="1"/>
  <c r="CD49" i="1"/>
  <c r="CD50" i="1"/>
  <c r="BX49" i="1"/>
  <c r="BX50" i="1"/>
  <c r="BW49" i="1"/>
  <c r="BW50" i="1"/>
  <c r="BQ49" i="1"/>
  <c r="BQ50" i="1"/>
  <c r="BP49" i="1"/>
  <c r="BP50" i="1"/>
  <c r="BJ49" i="1"/>
  <c r="BJ50" i="1"/>
  <c r="BI49" i="1"/>
  <c r="BI50" i="1"/>
  <c r="BC49" i="1"/>
  <c r="BC50" i="1"/>
  <c r="BB49" i="1"/>
  <c r="BB50" i="1"/>
  <c r="AO49" i="1"/>
  <c r="AO50" i="1"/>
  <c r="AN49" i="1"/>
  <c r="AN50" i="1"/>
  <c r="AH49" i="1"/>
  <c r="AH50" i="1"/>
  <c r="AG49" i="1"/>
  <c r="AG50" i="1"/>
  <c r="AA49" i="1"/>
  <c r="AA50" i="1"/>
  <c r="Z49" i="1"/>
  <c r="Z50" i="1"/>
  <c r="T49" i="1"/>
  <c r="T50" i="1"/>
  <c r="S49" i="1"/>
  <c r="S50" i="1"/>
  <c r="M49" i="1"/>
  <c r="M50" i="1"/>
  <c r="L49" i="1"/>
  <c r="L50" i="1"/>
  <c r="F49" i="1"/>
  <c r="F50" i="1"/>
  <c r="E49" i="1"/>
  <c r="E50" i="1"/>
  <c r="DM49" i="1"/>
  <c r="DF49" i="1"/>
  <c r="CY49" i="1"/>
  <c r="AV49" i="1"/>
  <c r="AU49" i="1"/>
  <c r="DN47" i="1"/>
  <c r="DN48" i="1"/>
  <c r="DM47" i="1"/>
  <c r="DM48" i="1"/>
  <c r="DG47" i="1"/>
  <c r="DG48" i="1"/>
  <c r="DF47" i="1"/>
  <c r="DF48" i="1"/>
  <c r="CZ47" i="1"/>
  <c r="CZ48" i="1"/>
  <c r="CY47" i="1"/>
  <c r="CY48" i="1"/>
  <c r="CS47" i="1"/>
  <c r="CS48" i="1"/>
  <c r="CR47" i="1"/>
  <c r="CR48" i="1"/>
  <c r="CL47" i="1"/>
  <c r="CL48" i="1"/>
  <c r="CK47" i="1"/>
  <c r="CK48" i="1"/>
  <c r="CE47" i="1"/>
  <c r="CE48" i="1"/>
  <c r="CD47" i="1"/>
  <c r="CD48" i="1"/>
  <c r="BX47" i="1"/>
  <c r="BX48" i="1"/>
  <c r="BW47" i="1"/>
  <c r="BW48" i="1"/>
  <c r="BQ47" i="1"/>
  <c r="BQ48" i="1"/>
  <c r="BP47" i="1"/>
  <c r="BP48" i="1"/>
  <c r="BJ47" i="1"/>
  <c r="BJ48" i="1"/>
  <c r="BI47" i="1"/>
  <c r="BI48" i="1"/>
  <c r="BC47" i="1"/>
  <c r="BC48" i="1"/>
  <c r="BB47" i="1"/>
  <c r="BB48" i="1"/>
  <c r="AV47" i="1"/>
  <c r="AV48" i="1"/>
  <c r="AU47" i="1"/>
  <c r="AU48" i="1"/>
  <c r="AO47" i="1"/>
  <c r="AO48" i="1"/>
  <c r="AN47" i="1"/>
  <c r="AN48" i="1"/>
  <c r="AH47" i="1"/>
  <c r="AH48" i="1"/>
  <c r="AG47" i="1"/>
  <c r="AG48" i="1"/>
  <c r="AA47" i="1"/>
  <c r="AA48" i="1"/>
  <c r="Z47" i="1"/>
  <c r="Z48" i="1"/>
  <c r="T47" i="1"/>
  <c r="T48" i="1"/>
  <c r="S47" i="1"/>
  <c r="S48" i="1"/>
  <c r="M47" i="1"/>
  <c r="M48" i="1"/>
  <c r="L47" i="1"/>
  <c r="L48" i="1"/>
  <c r="F47" i="1"/>
  <c r="F48" i="1"/>
  <c r="E47" i="1"/>
  <c r="E48" i="1"/>
  <c r="DL33" i="1"/>
  <c r="DL34" i="1"/>
  <c r="DE33" i="1"/>
  <c r="DE34" i="1"/>
  <c r="CX33" i="1"/>
  <c r="CX34" i="1"/>
  <c r="CQ33" i="1"/>
  <c r="CQ34" i="1"/>
  <c r="CP33" i="1"/>
  <c r="CP34" i="1"/>
  <c r="CJ33" i="1"/>
  <c r="CJ34" i="1"/>
  <c r="CI33" i="1"/>
  <c r="CI34" i="1"/>
  <c r="CC33" i="1"/>
  <c r="CC34" i="1"/>
  <c r="CB33" i="1"/>
  <c r="CB34" i="1"/>
  <c r="BV33" i="1"/>
  <c r="BV34" i="1"/>
  <c r="BU33" i="1"/>
  <c r="BU34" i="1"/>
  <c r="BO33" i="1"/>
  <c r="BO34" i="1"/>
  <c r="BN33" i="1"/>
  <c r="BN34" i="1"/>
  <c r="BH33" i="1"/>
  <c r="BH34" i="1"/>
  <c r="BG33" i="1"/>
  <c r="BG34" i="1"/>
  <c r="BA33" i="1"/>
  <c r="BA34" i="1"/>
  <c r="AZ33" i="1"/>
  <c r="AZ34" i="1"/>
  <c r="AT33" i="1"/>
  <c r="AT34" i="1"/>
  <c r="AS33" i="1"/>
  <c r="AS34" i="1"/>
  <c r="AM33" i="1"/>
  <c r="AM34" i="1"/>
  <c r="AL33" i="1"/>
  <c r="AL34" i="1"/>
  <c r="AF33" i="1"/>
  <c r="AF34" i="1"/>
  <c r="AE33" i="1"/>
  <c r="AE34" i="1"/>
  <c r="Y33" i="1"/>
  <c r="Y34" i="1"/>
  <c r="X33" i="1"/>
  <c r="X34" i="1"/>
  <c r="R33" i="1"/>
  <c r="R34" i="1"/>
  <c r="Q33" i="1"/>
  <c r="Q34" i="1"/>
  <c r="K33" i="1"/>
  <c r="K34" i="1"/>
  <c r="J33" i="1"/>
  <c r="J34" i="1"/>
  <c r="D33" i="1"/>
  <c r="D34" i="1"/>
  <c r="C33" i="1"/>
  <c r="C34" i="1"/>
  <c r="DK33" i="1"/>
  <c r="DD33" i="1"/>
  <c r="CW33" i="1"/>
  <c r="DL31" i="1"/>
  <c r="DL32" i="1"/>
  <c r="DK31" i="1"/>
  <c r="DK32" i="1"/>
  <c r="DE31" i="1"/>
  <c r="DE32" i="1"/>
  <c r="DD31" i="1"/>
  <c r="DD32" i="1"/>
  <c r="CX31" i="1"/>
  <c r="CX32" i="1"/>
  <c r="CW31" i="1"/>
  <c r="CW32" i="1"/>
  <c r="CQ31" i="1"/>
  <c r="CQ32" i="1"/>
  <c r="CP31" i="1"/>
  <c r="CP32" i="1"/>
  <c r="CJ31" i="1"/>
  <c r="CJ32" i="1"/>
  <c r="CI31" i="1"/>
  <c r="CI32" i="1"/>
  <c r="CC31" i="1"/>
  <c r="CC32" i="1"/>
  <c r="CB31" i="1"/>
  <c r="CB32" i="1"/>
  <c r="BV31" i="1"/>
  <c r="BV32" i="1"/>
  <c r="BU31" i="1"/>
  <c r="BU32" i="1"/>
  <c r="BO31" i="1"/>
  <c r="BO32" i="1"/>
  <c r="BN31" i="1"/>
  <c r="BN32" i="1"/>
  <c r="BH31" i="1"/>
  <c r="BH32" i="1"/>
  <c r="BG31" i="1"/>
  <c r="BG32" i="1"/>
  <c r="BA31" i="1"/>
  <c r="BA32" i="1"/>
  <c r="AZ31" i="1"/>
  <c r="AZ32" i="1"/>
  <c r="AT31" i="1"/>
  <c r="AT32" i="1"/>
  <c r="AS31" i="1"/>
  <c r="AS32" i="1"/>
  <c r="AM31" i="1"/>
  <c r="AM32" i="1"/>
  <c r="AL31" i="1"/>
  <c r="AL32" i="1"/>
  <c r="AF31" i="1"/>
  <c r="AF32" i="1"/>
  <c r="AE31" i="1"/>
  <c r="AE32" i="1"/>
  <c r="Y31" i="1"/>
  <c r="Y32" i="1"/>
  <c r="X31" i="1"/>
  <c r="X32" i="1"/>
  <c r="R31" i="1"/>
  <c r="R32" i="1"/>
  <c r="Q31" i="1"/>
  <c r="Q32" i="1"/>
  <c r="K31" i="1"/>
  <c r="K32" i="1"/>
  <c r="J31" i="1"/>
  <c r="J32" i="1"/>
  <c r="D31" i="1"/>
  <c r="D32" i="1"/>
  <c r="C31" i="1"/>
  <c r="C32" i="1"/>
</calcChain>
</file>

<file path=xl/sharedStrings.xml><?xml version="1.0" encoding="utf-8"?>
<sst xmlns="http://schemas.openxmlformats.org/spreadsheetml/2006/main" count="1800" uniqueCount="78">
  <si>
    <t>Removal Records, Larrea monitored plots</t>
  </si>
  <si>
    <t>Larrea removal data</t>
    <phoneticPr fontId="0"/>
  </si>
  <si>
    <t>DATES:</t>
  </si>
  <si>
    <t>1980, May</t>
  </si>
  <si>
    <t>1981, May</t>
  </si>
  <si>
    <t>1982, April</t>
  </si>
  <si>
    <t>1983, April</t>
  </si>
  <si>
    <t>1985, April</t>
  </si>
  <si>
    <t>1986, April</t>
  </si>
  <si>
    <t>1987, May</t>
  </si>
  <si>
    <t>1988, April</t>
  </si>
  <si>
    <t>1989, May</t>
  </si>
  <si>
    <t>1993, May</t>
  </si>
  <si>
    <t>1997, April</t>
  </si>
  <si>
    <t>2000, March</t>
  </si>
  <si>
    <t>2003, March</t>
  </si>
  <si>
    <t>2006, June</t>
  </si>
  <si>
    <t>2010, April</t>
    <phoneticPr fontId="0"/>
  </si>
  <si>
    <t>2011, May</t>
  </si>
  <si>
    <t>2014, June</t>
  </si>
  <si>
    <t>Larreas</t>
  </si>
  <si>
    <t>Ambrosias</t>
  </si>
  <si>
    <t>Plot #</t>
  </si>
  <si>
    <t>Treatment</t>
  </si>
  <si>
    <t>old, sprouts</t>
  </si>
  <si>
    <t>new</t>
  </si>
  <si>
    <t>new or all, see notes</t>
  </si>
  <si>
    <t>LC1</t>
  </si>
  <si>
    <t>Control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</si>
  <si>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</si>
  <si>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</si>
  <si>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</si>
  <si>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</si>
  <si>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</si>
  <si>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</si>
  <si>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</si>
  <si>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</si>
  <si>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</si>
  <si>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TOTAL</t>
    <phoneticPr fontId="0"/>
  </si>
  <si>
    <t>TOTAL/ha</t>
    <phoneticPr fontId="0"/>
  </si>
  <si>
    <t>AVE</t>
  </si>
  <si>
    <t>(AVE/yr)100</t>
  </si>
  <si>
    <t>L02</t>
  </si>
  <si>
    <t>L removal</t>
  </si>
  <si>
    <t>L03</t>
  </si>
  <si>
    <t>L05</t>
  </si>
  <si>
    <t>lots</t>
  </si>
  <si>
    <t>L07</t>
  </si>
  <si>
    <t>L13</t>
  </si>
  <si>
    <t>L14</t>
  </si>
  <si>
    <t>L21</t>
  </si>
  <si>
    <t>lots seen</t>
  </si>
  <si>
    <t>L24</t>
  </si>
  <si>
    <t>L25</t>
  </si>
  <si>
    <t>L29</t>
  </si>
  <si>
    <t>L01</t>
  </si>
  <si>
    <t>A removal</t>
  </si>
  <si>
    <t>L06</t>
  </si>
  <si>
    <t>L09</t>
  </si>
  <si>
    <t>L12</t>
  </si>
  <si>
    <t>1 seen</t>
  </si>
  <si>
    <t>L18</t>
  </si>
  <si>
    <t>L19</t>
  </si>
  <si>
    <t>L22</t>
  </si>
  <si>
    <t>L26</t>
  </si>
  <si>
    <t>L27</t>
  </si>
  <si>
    <t>L28</t>
  </si>
  <si>
    <t>L04</t>
  </si>
  <si>
    <t>T removal</t>
  </si>
  <si>
    <t>L08</t>
  </si>
  <si>
    <t>L10</t>
  </si>
  <si>
    <t>L11</t>
  </si>
  <si>
    <t>L15</t>
  </si>
  <si>
    <t>L16</t>
  </si>
  <si>
    <t>L17</t>
  </si>
  <si>
    <t>L20</t>
  </si>
  <si>
    <t>L23</t>
  </si>
  <si>
    <t>L30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</si>
</sst>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8"/>
      <name val="Verdana"/>
    </font>
    <font>
      <sz val="16"/>
      <name val="Verdana"/>
    </font>
    <font>
      <sz val="12"/>
      <name val="Verdana"/>
    </font>
    <font>
      <sz val="14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6"/>
  <sheetViews>
    <sheetView tabSelected="1" showRuler="0" workbookViewId="0">
      <selection sqref="A1:DO67"/>
    </sheetView>
  </sheetViews>
  <sheetFormatPr baseColWidth="10" defaultRowHeight="15" x14ac:dyDescent="0"/>
  <sheetData>
    <row r="1" spans="1:118" ht="23">
      <c r="A1" s="1" t="s">
        <v>0</v>
      </c>
      <c r="B1" s="1"/>
      <c r="C1" s="1"/>
      <c r="D1" s="1"/>
      <c r="K1" s="2" t="s">
        <v>1</v>
      </c>
    </row>
    <row r="2" spans="1:118" ht="16">
      <c r="A2" s="3" t="s">
        <v>2</v>
      </c>
      <c r="B2" s="3"/>
      <c r="C2" s="3" t="s">
        <v>3</v>
      </c>
      <c r="D2" s="3"/>
      <c r="H2" s="3" t="s">
        <v>2</v>
      </c>
      <c r="I2" s="3"/>
      <c r="J2" s="3" t="s">
        <v>4</v>
      </c>
      <c r="K2" s="3"/>
      <c r="O2" s="3" t="s">
        <v>2</v>
      </c>
      <c r="P2" s="3"/>
      <c r="Q2" s="3" t="s">
        <v>5</v>
      </c>
      <c r="R2" s="3"/>
      <c r="V2" s="3" t="s">
        <v>2</v>
      </c>
      <c r="W2" s="3"/>
      <c r="X2" s="3" t="s">
        <v>6</v>
      </c>
      <c r="Y2" s="3"/>
      <c r="AC2" s="3" t="s">
        <v>2</v>
      </c>
      <c r="AD2" s="3"/>
      <c r="AE2" s="3" t="s">
        <v>7</v>
      </c>
      <c r="AF2" s="3"/>
      <c r="AJ2" s="3" t="s">
        <v>2</v>
      </c>
      <c r="AK2" s="3"/>
      <c r="AL2" s="3" t="s">
        <v>8</v>
      </c>
      <c r="AM2" s="3"/>
      <c r="AQ2" s="3" t="s">
        <v>2</v>
      </c>
      <c r="AR2" s="3"/>
      <c r="AS2" s="3" t="s">
        <v>9</v>
      </c>
      <c r="AT2" s="3"/>
      <c r="AX2" s="3" t="s">
        <v>2</v>
      </c>
      <c r="AY2" s="3"/>
      <c r="AZ2" s="3" t="s">
        <v>10</v>
      </c>
      <c r="BA2" s="3"/>
      <c r="BE2" s="3" t="s">
        <v>2</v>
      </c>
      <c r="BF2" s="3"/>
      <c r="BG2" s="3" t="s">
        <v>11</v>
      </c>
      <c r="BH2" s="3"/>
      <c r="BL2" s="3" t="s">
        <v>2</v>
      </c>
      <c r="BM2" s="3"/>
      <c r="BN2" s="3" t="s">
        <v>12</v>
      </c>
      <c r="BO2" s="3"/>
      <c r="BS2" s="3" t="s">
        <v>2</v>
      </c>
      <c r="BT2" s="3"/>
      <c r="BU2" s="3" t="s">
        <v>13</v>
      </c>
      <c r="BV2" s="3"/>
      <c r="BZ2" s="3" t="s">
        <v>2</v>
      </c>
      <c r="CA2" s="3"/>
      <c r="CB2" s="3" t="s">
        <v>14</v>
      </c>
      <c r="CC2" s="3"/>
      <c r="CG2" s="3" t="s">
        <v>2</v>
      </c>
      <c r="CH2" s="3"/>
      <c r="CI2" s="3" t="s">
        <v>15</v>
      </c>
      <c r="CJ2" s="3"/>
      <c r="CN2" s="3" t="s">
        <v>2</v>
      </c>
      <c r="CO2" s="3"/>
      <c r="CP2" s="3" t="s">
        <v>16</v>
      </c>
      <c r="CQ2" s="3"/>
      <c r="CU2" s="3" t="s">
        <v>2</v>
      </c>
      <c r="CV2" s="3"/>
      <c r="CW2" s="3" t="s">
        <v>17</v>
      </c>
      <c r="DB2" s="3" t="s">
        <v>2</v>
      </c>
      <c r="DC2" s="3"/>
      <c r="DD2" s="3" t="s">
        <v>18</v>
      </c>
      <c r="DI2" s="3" t="s">
        <v>2</v>
      </c>
      <c r="DJ2" s="3"/>
      <c r="DK2" s="3" t="s">
        <v>19</v>
      </c>
    </row>
    <row r="3" spans="1:118" ht="16">
      <c r="A3" s="3"/>
      <c r="B3" s="3"/>
      <c r="C3" s="3" t="s">
        <v>20</v>
      </c>
      <c r="D3" s="3"/>
      <c r="E3" s="3" t="s">
        <v>21</v>
      </c>
      <c r="H3" s="3"/>
      <c r="I3" s="3"/>
      <c r="J3" s="3" t="s">
        <v>20</v>
      </c>
      <c r="K3" s="3"/>
      <c r="L3" s="3" t="s">
        <v>21</v>
      </c>
      <c r="O3" s="3"/>
      <c r="P3" s="3"/>
      <c r="Q3" s="3" t="s">
        <v>20</v>
      </c>
      <c r="R3" s="3"/>
      <c r="S3" s="3" t="s">
        <v>21</v>
      </c>
      <c r="V3" s="3"/>
      <c r="W3" s="3"/>
      <c r="X3" s="3" t="s">
        <v>20</v>
      </c>
      <c r="Y3" s="3"/>
      <c r="Z3" s="3" t="s">
        <v>21</v>
      </c>
      <c r="AC3" s="3"/>
      <c r="AD3" s="3"/>
      <c r="AE3" s="3" t="s">
        <v>20</v>
      </c>
      <c r="AF3" s="3"/>
      <c r="AG3" s="3" t="s">
        <v>21</v>
      </c>
      <c r="AJ3" s="3"/>
      <c r="AK3" s="3"/>
      <c r="AL3" s="3" t="s">
        <v>20</v>
      </c>
      <c r="AM3" s="3"/>
      <c r="AN3" s="3" t="s">
        <v>21</v>
      </c>
      <c r="AQ3" s="3"/>
      <c r="AR3" s="3"/>
      <c r="AS3" s="3" t="s">
        <v>20</v>
      </c>
      <c r="AT3" s="3"/>
      <c r="AU3" s="3" t="s">
        <v>21</v>
      </c>
      <c r="AX3" s="3"/>
      <c r="AY3" s="3"/>
      <c r="AZ3" s="3" t="s">
        <v>20</v>
      </c>
      <c r="BA3" s="3"/>
      <c r="BB3" s="3" t="s">
        <v>21</v>
      </c>
      <c r="BE3" s="3"/>
      <c r="BF3" s="3"/>
      <c r="BG3" s="3" t="s">
        <v>20</v>
      </c>
      <c r="BH3" s="3"/>
      <c r="BI3" s="3" t="s">
        <v>21</v>
      </c>
      <c r="BL3" s="3"/>
      <c r="BM3" s="3"/>
      <c r="BN3" s="3" t="s">
        <v>20</v>
      </c>
      <c r="BO3" s="3"/>
      <c r="BP3" s="3" t="s">
        <v>21</v>
      </c>
      <c r="BS3" s="3"/>
      <c r="BT3" s="3"/>
      <c r="BU3" s="3" t="s">
        <v>20</v>
      </c>
      <c r="BV3" s="3"/>
      <c r="BW3" s="3" t="s">
        <v>21</v>
      </c>
      <c r="BZ3" s="3"/>
      <c r="CA3" s="3"/>
      <c r="CB3" s="3" t="s">
        <v>20</v>
      </c>
      <c r="CC3" s="3"/>
      <c r="CD3" s="3" t="s">
        <v>21</v>
      </c>
      <c r="CG3" s="3"/>
      <c r="CH3" s="3"/>
      <c r="CI3" s="3" t="s">
        <v>20</v>
      </c>
      <c r="CJ3" s="3"/>
      <c r="CK3" s="3" t="s">
        <v>21</v>
      </c>
      <c r="CN3" s="3"/>
      <c r="CO3" s="3"/>
      <c r="CP3" s="3" t="s">
        <v>20</v>
      </c>
      <c r="CQ3" s="3"/>
      <c r="CR3" s="3" t="s">
        <v>21</v>
      </c>
      <c r="CU3" s="3"/>
      <c r="CV3" s="3"/>
      <c r="CW3" s="3" t="s">
        <v>20</v>
      </c>
      <c r="CX3" s="3"/>
      <c r="CY3" s="3" t="s">
        <v>21</v>
      </c>
      <c r="DB3" s="3"/>
      <c r="DC3" s="3"/>
      <c r="DD3" s="3" t="s">
        <v>20</v>
      </c>
      <c r="DE3" s="3"/>
      <c r="DF3" s="3" t="s">
        <v>21</v>
      </c>
      <c r="DI3" s="3"/>
      <c r="DJ3" s="3"/>
      <c r="DK3" s="3" t="s">
        <v>20</v>
      </c>
      <c r="DL3" s="3"/>
      <c r="DM3" s="3" t="s">
        <v>21</v>
      </c>
    </row>
    <row r="4" spans="1:118">
      <c r="A4" t="s">
        <v>22</v>
      </c>
      <c r="B4" t="s">
        <v>23</v>
      </c>
      <c r="C4" t="s">
        <v>24</v>
      </c>
      <c r="D4" t="s">
        <v>25</v>
      </c>
      <c r="E4" t="s">
        <v>24</v>
      </c>
      <c r="F4" t="s">
        <v>26</v>
      </c>
      <c r="H4" t="s">
        <v>22</v>
      </c>
      <c r="I4" t="s">
        <v>23</v>
      </c>
      <c r="J4" t="s">
        <v>24</v>
      </c>
      <c r="K4" t="s">
        <v>25</v>
      </c>
      <c r="L4" t="s">
        <v>24</v>
      </c>
      <c r="M4" t="s">
        <v>26</v>
      </c>
      <c r="O4" t="s">
        <v>22</v>
      </c>
      <c r="P4" t="s">
        <v>23</v>
      </c>
      <c r="Q4" t="s">
        <v>24</v>
      </c>
      <c r="R4" t="s">
        <v>25</v>
      </c>
      <c r="S4" t="s">
        <v>24</v>
      </c>
      <c r="T4" t="s">
        <v>26</v>
      </c>
      <c r="V4" t="s">
        <v>22</v>
      </c>
      <c r="W4" t="s">
        <v>23</v>
      </c>
      <c r="X4" t="s">
        <v>24</v>
      </c>
      <c r="Y4" t="s">
        <v>25</v>
      </c>
      <c r="Z4" t="s">
        <v>24</v>
      </c>
      <c r="AA4" t="s">
        <v>26</v>
      </c>
      <c r="AC4" t="s">
        <v>22</v>
      </c>
      <c r="AD4" t="s">
        <v>23</v>
      </c>
      <c r="AE4" t="s">
        <v>24</v>
      </c>
      <c r="AF4" t="s">
        <v>25</v>
      </c>
      <c r="AG4" t="s">
        <v>24</v>
      </c>
      <c r="AH4" t="s">
        <v>26</v>
      </c>
      <c r="AJ4" t="s">
        <v>22</v>
      </c>
      <c r="AK4" t="s">
        <v>23</v>
      </c>
      <c r="AL4" t="s">
        <v>24</v>
      </c>
      <c r="AM4" t="s">
        <v>25</v>
      </c>
      <c r="AN4" t="s">
        <v>24</v>
      </c>
      <c r="AO4" t="s">
        <v>26</v>
      </c>
      <c r="AQ4" t="s">
        <v>22</v>
      </c>
      <c r="AR4" t="s">
        <v>23</v>
      </c>
      <c r="AS4" t="s">
        <v>24</v>
      </c>
      <c r="AT4" t="s">
        <v>25</v>
      </c>
      <c r="AU4" t="s">
        <v>24</v>
      </c>
      <c r="AV4" t="s">
        <v>26</v>
      </c>
      <c r="AX4" t="s">
        <v>22</v>
      </c>
      <c r="AY4" t="s">
        <v>23</v>
      </c>
      <c r="AZ4" t="s">
        <v>24</v>
      </c>
      <c r="BA4" t="s">
        <v>25</v>
      </c>
      <c r="BB4" t="s">
        <v>24</v>
      </c>
      <c r="BC4" t="s">
        <v>26</v>
      </c>
      <c r="BE4" t="s">
        <v>22</v>
      </c>
      <c r="BF4" t="s">
        <v>23</v>
      </c>
      <c r="BG4" t="s">
        <v>24</v>
      </c>
      <c r="BH4" t="s">
        <v>25</v>
      </c>
      <c r="BI4" t="s">
        <v>24</v>
      </c>
      <c r="BJ4" t="s">
        <v>26</v>
      </c>
      <c r="BL4" t="s">
        <v>22</v>
      </c>
      <c r="BM4" t="s">
        <v>23</v>
      </c>
      <c r="BN4" t="s">
        <v>24</v>
      </c>
      <c r="BO4" t="s">
        <v>25</v>
      </c>
      <c r="BP4" t="s">
        <v>24</v>
      </c>
      <c r="BQ4" t="s">
        <v>26</v>
      </c>
      <c r="BS4" t="s">
        <v>22</v>
      </c>
      <c r="BT4" t="s">
        <v>23</v>
      </c>
      <c r="BU4" t="s">
        <v>24</v>
      </c>
      <c r="BV4" t="s">
        <v>25</v>
      </c>
      <c r="BW4" t="s">
        <v>24</v>
      </c>
      <c r="BX4" t="s">
        <v>26</v>
      </c>
      <c r="BZ4" t="s">
        <v>22</v>
      </c>
      <c r="CA4" t="s">
        <v>23</v>
      </c>
      <c r="CB4" t="s">
        <v>24</v>
      </c>
      <c r="CC4" t="s">
        <v>25</v>
      </c>
      <c r="CD4" t="s">
        <v>24</v>
      </c>
      <c r="CE4" t="s">
        <v>26</v>
      </c>
      <c r="CG4" t="s">
        <v>22</v>
      </c>
      <c r="CH4" t="s">
        <v>23</v>
      </c>
      <c r="CI4" t="s">
        <v>24</v>
      </c>
      <c r="CJ4" t="s">
        <v>25</v>
      </c>
      <c r="CK4" t="s">
        <v>24</v>
      </c>
      <c r="CL4" t="s">
        <v>26</v>
      </c>
      <c r="CN4" t="s">
        <v>22</v>
      </c>
      <c r="CO4" t="s">
        <v>23</v>
      </c>
      <c r="CP4" t="s">
        <v>24</v>
      </c>
      <c r="CQ4" t="s">
        <v>25</v>
      </c>
      <c r="CR4" t="s">
        <v>24</v>
      </c>
      <c r="CS4" t="s">
        <v>26</v>
      </c>
      <c r="CU4" t="s">
        <v>22</v>
      </c>
      <c r="CV4" t="s">
        <v>23</v>
      </c>
      <c r="CW4" t="s">
        <v>24</v>
      </c>
      <c r="CX4" t="s">
        <v>25</v>
      </c>
      <c r="CY4" t="s">
        <v>24</v>
      </c>
      <c r="CZ4" t="s">
        <v>26</v>
      </c>
      <c r="DB4" t="s">
        <v>22</v>
      </c>
      <c r="DC4" t="s">
        <v>23</v>
      </c>
      <c r="DD4" t="s">
        <v>24</v>
      </c>
      <c r="DE4" t="s">
        <v>25</v>
      </c>
      <c r="DF4" t="s">
        <v>24</v>
      </c>
      <c r="DG4" t="s">
        <v>26</v>
      </c>
      <c r="DI4" t="s">
        <v>22</v>
      </c>
      <c r="DJ4" t="s">
        <v>23</v>
      </c>
      <c r="DK4" t="s">
        <v>24</v>
      </c>
      <c r="DL4" t="s">
        <v>25</v>
      </c>
      <c r="DM4" t="s">
        <v>24</v>
      </c>
      <c r="DN4" t="s">
        <v>26</v>
      </c>
    </row>
    <row r="5" spans="1:118">
      <c r="A5" t="s">
        <v>27</v>
      </c>
      <c r="B5" t="s">
        <v>28</v>
      </c>
      <c r="H5" t="s">
        <v>27</v>
      </c>
      <c r="I5" t="s">
        <v>28</v>
      </c>
      <c r="O5" t="s">
        <v>27</v>
      </c>
      <c r="P5" t="s">
        <v>28</v>
      </c>
      <c r="V5" t="s">
        <v>27</v>
      </c>
      <c r="W5" t="s">
        <v>28</v>
      </c>
      <c r="AC5" t="s">
        <v>27</v>
      </c>
      <c r="AD5" t="s">
        <v>28</v>
      </c>
      <c r="AJ5" t="s">
        <v>27</v>
      </c>
      <c r="AK5" t="s">
        <v>28</v>
      </c>
      <c r="AQ5" t="s">
        <v>27</v>
      </c>
      <c r="AR5" t="s">
        <v>28</v>
      </c>
      <c r="AX5" t="s">
        <v>27</v>
      </c>
      <c r="AY5" t="s">
        <v>28</v>
      </c>
      <c r="BE5" t="s">
        <v>27</v>
      </c>
      <c r="BF5" t="s">
        <v>28</v>
      </c>
      <c r="BL5" t="s">
        <v>27</v>
      </c>
      <c r="BM5" t="s">
        <v>28</v>
      </c>
      <c r="BS5" t="s">
        <v>27</v>
      </c>
      <c r="BT5" t="s">
        <v>28</v>
      </c>
      <c r="BZ5" t="s">
        <v>27</v>
      </c>
      <c r="CA5" t="s">
        <v>28</v>
      </c>
      <c r="CG5" t="s">
        <v>27</v>
      </c>
      <c r="CH5" t="s">
        <v>28</v>
      </c>
      <c r="CN5" t="s">
        <v>27</v>
      </c>
      <c r="CO5" t="s">
        <v>28</v>
      </c>
      <c r="CU5" t="s">
        <v>27</v>
      </c>
      <c r="CV5" t="s">
        <v>28</v>
      </c>
      <c r="DB5" t="s">
        <v>27</v>
      </c>
      <c r="DC5" t="s">
        <v>28</v>
      </c>
      <c r="DI5" t="s">
        <v>27</v>
      </c>
      <c r="DJ5" t="s">
        <v>28</v>
      </c>
    </row>
    <row r="6" spans="1:118">
      <c r="A6" t="s">
        <v>29</v>
      </c>
      <c r="B6" t="s">
        <v>28</v>
      </c>
      <c r="H6" t="s">
        <v>29</v>
      </c>
      <c r="I6" t="s">
        <v>28</v>
      </c>
      <c r="O6" t="s">
        <v>29</v>
      </c>
      <c r="P6" t="s">
        <v>28</v>
      </c>
      <c r="V6" t="s">
        <v>29</v>
      </c>
      <c r="W6" t="s">
        <v>28</v>
      </c>
      <c r="AC6" t="s">
        <v>29</v>
      </c>
      <c r="AD6" t="s">
        <v>28</v>
      </c>
      <c r="AJ6" t="s">
        <v>29</v>
      </c>
      <c r="AK6" t="s">
        <v>28</v>
      </c>
      <c r="AQ6" t="s">
        <v>29</v>
      </c>
      <c r="AR6" t="s">
        <v>28</v>
      </c>
      <c r="AX6" t="s">
        <v>29</v>
      </c>
      <c r="AY6" t="s">
        <v>28</v>
      </c>
      <c r="BE6" t="s">
        <v>29</v>
      </c>
      <c r="BF6" t="s">
        <v>28</v>
      </c>
      <c r="BL6" t="s">
        <v>29</v>
      </c>
      <c r="BM6" t="s">
        <v>28</v>
      </c>
      <c r="BS6" t="s">
        <v>29</v>
      </c>
      <c r="BT6" t="s">
        <v>28</v>
      </c>
      <c r="BZ6" t="s">
        <v>29</v>
      </c>
      <c r="CA6" t="s">
        <v>28</v>
      </c>
      <c r="CG6" t="s">
        <v>29</v>
      </c>
      <c r="CH6" t="s">
        <v>28</v>
      </c>
      <c r="CN6" t="s">
        <v>29</v>
      </c>
      <c r="CO6" t="s">
        <v>28</v>
      </c>
      <c r="CU6" t="s">
        <v>29</v>
      </c>
      <c r="CV6" t="s">
        <v>28</v>
      </c>
      <c r="DB6" t="s">
        <v>29</v>
      </c>
      <c r="DC6" t="s">
        <v>28</v>
      </c>
      <c r="DI6" t="s">
        <v>29</v>
      </c>
      <c r="DJ6" t="s">
        <v>28</v>
      </c>
    </row>
    <row r="7" spans="1:118">
      <c r="A7" t="s">
        <v>30</v>
      </c>
      <c r="B7" t="s">
        <v>28</v>
      </c>
      <c r="H7" t="s">
        <v>30</v>
      </c>
      <c r="I7" t="s">
        <v>28</v>
      </c>
      <c r="O7" t="s">
        <v>30</v>
      </c>
      <c r="P7" t="s">
        <v>28</v>
      </c>
      <c r="V7" t="s">
        <v>30</v>
      </c>
      <c r="W7" t="s">
        <v>28</v>
      </c>
      <c r="AC7" t="s">
        <v>30</v>
      </c>
      <c r="AD7" t="s">
        <v>28</v>
      </c>
      <c r="AJ7" t="s">
        <v>30</v>
      </c>
      <c r="AK7" t="s">
        <v>28</v>
      </c>
      <c r="AQ7" t="s">
        <v>30</v>
      </c>
      <c r="AR7" t="s">
        <v>28</v>
      </c>
      <c r="AX7" t="s">
        <v>30</v>
      </c>
      <c r="AY7" t="s">
        <v>28</v>
      </c>
      <c r="BE7" t="s">
        <v>30</v>
      </c>
      <c r="BF7" t="s">
        <v>28</v>
      </c>
      <c r="BL7" t="s">
        <v>30</v>
      </c>
      <c r="BM7" t="s">
        <v>28</v>
      </c>
      <c r="BS7" t="s">
        <v>30</v>
      </c>
      <c r="BT7" t="s">
        <v>28</v>
      </c>
      <c r="BZ7" t="s">
        <v>30</v>
      </c>
      <c r="CA7" t="s">
        <v>28</v>
      </c>
      <c r="CG7" t="s">
        <v>30</v>
      </c>
      <c r="CH7" t="s">
        <v>28</v>
      </c>
      <c r="CN7" t="s">
        <v>30</v>
      </c>
      <c r="CO7" t="s">
        <v>28</v>
      </c>
      <c r="CU7" t="s">
        <v>30</v>
      </c>
      <c r="CV7" t="s">
        <v>28</v>
      </c>
      <c r="DB7" t="s">
        <v>30</v>
      </c>
      <c r="DC7" t="s">
        <v>28</v>
      </c>
      <c r="DI7" t="s">
        <v>30</v>
      </c>
      <c r="DJ7" t="s">
        <v>28</v>
      </c>
    </row>
    <row r="8" spans="1:118">
      <c r="A8" t="s">
        <v>31</v>
      </c>
      <c r="B8" t="s">
        <v>28</v>
      </c>
      <c r="H8" t="s">
        <v>31</v>
      </c>
      <c r="I8" t="s">
        <v>28</v>
      </c>
      <c r="O8" t="s">
        <v>31</v>
      </c>
      <c r="P8" t="s">
        <v>28</v>
      </c>
      <c r="V8" t="s">
        <v>31</v>
      </c>
      <c r="W8" t="s">
        <v>28</v>
      </c>
      <c r="AC8" t="s">
        <v>31</v>
      </c>
      <c r="AD8" t="s">
        <v>28</v>
      </c>
      <c r="AJ8" t="s">
        <v>31</v>
      </c>
      <c r="AK8" t="s">
        <v>28</v>
      </c>
      <c r="AQ8" t="s">
        <v>31</v>
      </c>
      <c r="AR8" t="s">
        <v>28</v>
      </c>
      <c r="AX8" t="s">
        <v>31</v>
      </c>
      <c r="AY8" t="s">
        <v>28</v>
      </c>
      <c r="BE8" t="s">
        <v>31</v>
      </c>
      <c r="BF8" t="s">
        <v>28</v>
      </c>
      <c r="BL8" t="s">
        <v>31</v>
      </c>
      <c r="BM8" t="s">
        <v>28</v>
      </c>
      <c r="BS8" t="s">
        <v>31</v>
      </c>
      <c r="BT8" t="s">
        <v>28</v>
      </c>
      <c r="BZ8" t="s">
        <v>31</v>
      </c>
      <c r="CA8" t="s">
        <v>28</v>
      </c>
      <c r="CG8" t="s">
        <v>31</v>
      </c>
      <c r="CH8" t="s">
        <v>28</v>
      </c>
      <c r="CN8" t="s">
        <v>31</v>
      </c>
      <c r="CO8" t="s">
        <v>28</v>
      </c>
      <c r="CU8" t="s">
        <v>31</v>
      </c>
      <c r="CV8" t="s">
        <v>28</v>
      </c>
      <c r="DB8" t="s">
        <v>31</v>
      </c>
      <c r="DC8" t="s">
        <v>28</v>
      </c>
      <c r="DI8" t="s">
        <v>31</v>
      </c>
      <c r="DJ8" t="s">
        <v>28</v>
      </c>
    </row>
    <row r="9" spans="1:118">
      <c r="A9" t="s">
        <v>32</v>
      </c>
      <c r="B9" t="s">
        <v>28</v>
      </c>
      <c r="H9" t="s">
        <v>32</v>
      </c>
      <c r="I9" t="s">
        <v>28</v>
      </c>
      <c r="O9" t="s">
        <v>32</v>
      </c>
      <c r="P9" t="s">
        <v>28</v>
      </c>
      <c r="V9" t="s">
        <v>32</v>
      </c>
      <c r="W9" t="s">
        <v>28</v>
      </c>
      <c r="AC9" t="s">
        <v>32</v>
      </c>
      <c r="AD9" t="s">
        <v>28</v>
      </c>
      <c r="AJ9" t="s">
        <v>32</v>
      </c>
      <c r="AK9" t="s">
        <v>28</v>
      </c>
      <c r="AQ9" t="s">
        <v>32</v>
      </c>
      <c r="AR9" t="s">
        <v>28</v>
      </c>
      <c r="AX9" t="s">
        <v>32</v>
      </c>
      <c r="AY9" t="s">
        <v>28</v>
      </c>
      <c r="BE9" t="s">
        <v>32</v>
      </c>
      <c r="BF9" t="s">
        <v>28</v>
      </c>
      <c r="BL9" t="s">
        <v>32</v>
      </c>
      <c r="BM9" t="s">
        <v>28</v>
      </c>
      <c r="BS9" t="s">
        <v>32</v>
      </c>
      <c r="BT9" t="s">
        <v>28</v>
      </c>
      <c r="BZ9" t="s">
        <v>32</v>
      </c>
      <c r="CA9" t="s">
        <v>28</v>
      </c>
      <c r="CG9" t="s">
        <v>32</v>
      </c>
      <c r="CH9" t="s">
        <v>28</v>
      </c>
      <c r="CN9" t="s">
        <v>32</v>
      </c>
      <c r="CO9" t="s">
        <v>28</v>
      </c>
      <c r="CU9" t="s">
        <v>32</v>
      </c>
      <c r="CV9" t="s">
        <v>28</v>
      </c>
      <c r="DB9" t="s">
        <v>32</v>
      </c>
      <c r="DC9" t="s">
        <v>28</v>
      </c>
      <c r="DI9" t="s">
        <v>32</v>
      </c>
      <c r="DJ9" t="s">
        <v>28</v>
      </c>
    </row>
    <row r="10" spans="1:118">
      <c r="A10" t="s">
        <v>33</v>
      </c>
      <c r="B10" t="s">
        <v>28</v>
      </c>
      <c r="H10" t="s">
        <v>33</v>
      </c>
      <c r="I10" t="s">
        <v>28</v>
      </c>
      <c r="O10" t="s">
        <v>33</v>
      </c>
      <c r="P10" t="s">
        <v>28</v>
      </c>
      <c r="V10" t="s">
        <v>33</v>
      </c>
      <c r="W10" t="s">
        <v>28</v>
      </c>
      <c r="AC10" t="s">
        <v>33</v>
      </c>
      <c r="AD10" t="s">
        <v>28</v>
      </c>
      <c r="AJ10" t="s">
        <v>33</v>
      </c>
      <c r="AK10" t="s">
        <v>28</v>
      </c>
      <c r="AQ10" t="s">
        <v>33</v>
      </c>
      <c r="AR10" t="s">
        <v>28</v>
      </c>
      <c r="AX10" t="s">
        <v>33</v>
      </c>
      <c r="AY10" t="s">
        <v>28</v>
      </c>
      <c r="BE10" t="s">
        <v>33</v>
      </c>
      <c r="BF10" t="s">
        <v>28</v>
      </c>
      <c r="BL10" t="s">
        <v>33</v>
      </c>
      <c r="BM10" t="s">
        <v>28</v>
      </c>
      <c r="BS10" t="s">
        <v>33</v>
      </c>
      <c r="BT10" t="s">
        <v>28</v>
      </c>
      <c r="BZ10" t="s">
        <v>33</v>
      </c>
      <c r="CA10" t="s">
        <v>28</v>
      </c>
      <c r="CG10" t="s">
        <v>33</v>
      </c>
      <c r="CH10" t="s">
        <v>28</v>
      </c>
      <c r="CN10" t="s">
        <v>33</v>
      </c>
      <c r="CO10" t="s">
        <v>28</v>
      </c>
      <c r="CU10" t="s">
        <v>33</v>
      </c>
      <c r="CV10" t="s">
        <v>28</v>
      </c>
      <c r="DB10" t="s">
        <v>33</v>
      </c>
      <c r="DC10" t="s">
        <v>28</v>
      </c>
      <c r="DI10" t="s">
        <v>33</v>
      </c>
      <c r="DJ10" t="s">
        <v>28</v>
      </c>
    </row>
    <row r="11" spans="1:118">
      <c r="A11" t="s">
        <v>34</v>
      </c>
      <c r="B11" t="s">
        <v>28</v>
      </c>
      <c r="H11" t="s">
        <v>34</v>
      </c>
      <c r="I11" t="s">
        <v>28</v>
      </c>
      <c r="O11" t="s">
        <v>34</v>
      </c>
      <c r="P11" t="s">
        <v>28</v>
      </c>
      <c r="V11" t="s">
        <v>34</v>
      </c>
      <c r="W11" t="s">
        <v>28</v>
      </c>
      <c r="AC11" t="s">
        <v>34</v>
      </c>
      <c r="AD11" t="s">
        <v>28</v>
      </c>
      <c r="AJ11" t="s">
        <v>34</v>
      </c>
      <c r="AK11" t="s">
        <v>28</v>
      </c>
      <c r="AQ11" t="s">
        <v>34</v>
      </c>
      <c r="AR11" t="s">
        <v>28</v>
      </c>
      <c r="AX11" t="s">
        <v>34</v>
      </c>
      <c r="AY11" t="s">
        <v>28</v>
      </c>
      <c r="BE11" t="s">
        <v>34</v>
      </c>
      <c r="BF11" t="s">
        <v>28</v>
      </c>
      <c r="BL11" t="s">
        <v>34</v>
      </c>
      <c r="BM11" t="s">
        <v>28</v>
      </c>
      <c r="BS11" t="s">
        <v>34</v>
      </c>
      <c r="BT11" t="s">
        <v>28</v>
      </c>
      <c r="BZ11" t="s">
        <v>34</v>
      </c>
      <c r="CA11" t="s">
        <v>28</v>
      </c>
      <c r="CG11" t="s">
        <v>34</v>
      </c>
      <c r="CH11" t="s">
        <v>28</v>
      </c>
      <c r="CN11" t="s">
        <v>34</v>
      </c>
      <c r="CO11" t="s">
        <v>28</v>
      </c>
      <c r="CU11" t="s">
        <v>34</v>
      </c>
      <c r="CV11" t="s">
        <v>28</v>
      </c>
      <c r="DB11" t="s">
        <v>34</v>
      </c>
      <c r="DC11" t="s">
        <v>28</v>
      </c>
      <c r="DI11" t="s">
        <v>34</v>
      </c>
      <c r="DJ11" t="s">
        <v>28</v>
      </c>
    </row>
    <row r="12" spans="1:118">
      <c r="A12" t="s">
        <v>35</v>
      </c>
      <c r="B12" t="s">
        <v>28</v>
      </c>
      <c r="H12" t="s">
        <v>35</v>
      </c>
      <c r="I12" t="s">
        <v>28</v>
      </c>
      <c r="O12" t="s">
        <v>35</v>
      </c>
      <c r="P12" t="s">
        <v>28</v>
      </c>
      <c r="V12" t="s">
        <v>35</v>
      </c>
      <c r="W12" t="s">
        <v>28</v>
      </c>
      <c r="AC12" t="s">
        <v>35</v>
      </c>
      <c r="AD12" t="s">
        <v>28</v>
      </c>
      <c r="AJ12" t="s">
        <v>35</v>
      </c>
      <c r="AK12" t="s">
        <v>28</v>
      </c>
      <c r="AQ12" t="s">
        <v>35</v>
      </c>
      <c r="AR12" t="s">
        <v>28</v>
      </c>
      <c r="AX12" t="s">
        <v>35</v>
      </c>
      <c r="AY12" t="s">
        <v>28</v>
      </c>
      <c r="BE12" t="s">
        <v>35</v>
      </c>
      <c r="BF12" t="s">
        <v>28</v>
      </c>
      <c r="BL12" t="s">
        <v>35</v>
      </c>
      <c r="BM12" t="s">
        <v>28</v>
      </c>
      <c r="BS12" t="s">
        <v>35</v>
      </c>
      <c r="BT12" t="s">
        <v>28</v>
      </c>
      <c r="BZ12" t="s">
        <v>35</v>
      </c>
      <c r="CA12" t="s">
        <v>28</v>
      </c>
      <c r="CG12" t="s">
        <v>35</v>
      </c>
      <c r="CH12" t="s">
        <v>28</v>
      </c>
      <c r="CN12" t="s">
        <v>35</v>
      </c>
      <c r="CO12" t="s">
        <v>28</v>
      </c>
      <c r="CU12" t="s">
        <v>35</v>
      </c>
      <c r="CV12" t="s">
        <v>28</v>
      </c>
      <c r="DB12" t="s">
        <v>35</v>
      </c>
      <c r="DC12" t="s">
        <v>28</v>
      </c>
      <c r="DI12" t="s">
        <v>35</v>
      </c>
      <c r="DJ12" t="s">
        <v>28</v>
      </c>
    </row>
    <row r="13" spans="1:118">
      <c r="A13" t="s">
        <v>36</v>
      </c>
      <c r="B13" t="s">
        <v>28</v>
      </c>
      <c r="H13" t="s">
        <v>36</v>
      </c>
      <c r="I13" t="s">
        <v>28</v>
      </c>
      <c r="O13" t="s">
        <v>36</v>
      </c>
      <c r="P13" t="s">
        <v>28</v>
      </c>
      <c r="V13" t="s">
        <v>36</v>
      </c>
      <c r="W13" t="s">
        <v>28</v>
      </c>
      <c r="AC13" t="s">
        <v>36</v>
      </c>
      <c r="AD13" t="s">
        <v>28</v>
      </c>
      <c r="AJ13" t="s">
        <v>36</v>
      </c>
      <c r="AK13" t="s">
        <v>28</v>
      </c>
      <c r="AQ13" t="s">
        <v>36</v>
      </c>
      <c r="AR13" t="s">
        <v>28</v>
      </c>
      <c r="AX13" t="s">
        <v>36</v>
      </c>
      <c r="AY13" t="s">
        <v>28</v>
      </c>
      <c r="BE13" t="s">
        <v>36</v>
      </c>
      <c r="BF13" t="s">
        <v>28</v>
      </c>
      <c r="BL13" t="s">
        <v>36</v>
      </c>
      <c r="BM13" t="s">
        <v>28</v>
      </c>
      <c r="BS13" t="s">
        <v>36</v>
      </c>
      <c r="BT13" t="s">
        <v>28</v>
      </c>
      <c r="BZ13" t="s">
        <v>36</v>
      </c>
      <c r="CA13" t="s">
        <v>28</v>
      </c>
      <c r="CG13" t="s">
        <v>36</v>
      </c>
      <c r="CH13" t="s">
        <v>28</v>
      </c>
      <c r="CN13" t="s">
        <v>36</v>
      </c>
      <c r="CO13" t="s">
        <v>28</v>
      </c>
      <c r="CU13" t="s">
        <v>36</v>
      </c>
      <c r="CV13" t="s">
        <v>28</v>
      </c>
      <c r="DB13" t="s">
        <v>36</v>
      </c>
      <c r="DC13" t="s">
        <v>28</v>
      </c>
      <c r="DI13" t="s">
        <v>36</v>
      </c>
      <c r="DJ13" t="s">
        <v>28</v>
      </c>
    </row>
    <row r="14" spans="1:118">
      <c r="A14" t="s">
        <v>37</v>
      </c>
      <c r="B14" t="s">
        <v>28</v>
      </c>
      <c r="H14" t="s">
        <v>37</v>
      </c>
      <c r="I14" t="s">
        <v>28</v>
      </c>
      <c r="O14" t="s">
        <v>37</v>
      </c>
      <c r="P14" t="s">
        <v>28</v>
      </c>
      <c r="V14" t="s">
        <v>37</v>
      </c>
      <c r="W14" t="s">
        <v>28</v>
      </c>
      <c r="AC14" t="s">
        <v>37</v>
      </c>
      <c r="AD14" t="s">
        <v>28</v>
      </c>
      <c r="AJ14" t="s">
        <v>37</v>
      </c>
      <c r="AK14" t="s">
        <v>28</v>
      </c>
      <c r="AQ14" t="s">
        <v>37</v>
      </c>
      <c r="AR14" t="s">
        <v>28</v>
      </c>
      <c r="AX14" t="s">
        <v>37</v>
      </c>
      <c r="AY14" t="s">
        <v>28</v>
      </c>
      <c r="BE14" t="s">
        <v>37</v>
      </c>
      <c r="BF14" t="s">
        <v>28</v>
      </c>
      <c r="BL14" t="s">
        <v>37</v>
      </c>
      <c r="BM14" t="s">
        <v>28</v>
      </c>
      <c r="BS14" t="s">
        <v>37</v>
      </c>
      <c r="BT14" t="s">
        <v>28</v>
      </c>
      <c r="BZ14" t="s">
        <v>37</v>
      </c>
      <c r="CA14" t="s">
        <v>28</v>
      </c>
      <c r="CG14" t="s">
        <v>37</v>
      </c>
      <c r="CH14" t="s">
        <v>28</v>
      </c>
      <c r="CN14" t="s">
        <v>37</v>
      </c>
      <c r="CO14" t="s">
        <v>28</v>
      </c>
      <c r="CU14" t="s">
        <v>37</v>
      </c>
      <c r="CV14" t="s">
        <v>28</v>
      </c>
      <c r="DB14" t="s">
        <v>37</v>
      </c>
      <c r="DC14" t="s">
        <v>28</v>
      </c>
      <c r="DI14" t="s">
        <v>37</v>
      </c>
      <c r="DJ14" t="s">
        <v>28</v>
      </c>
    </row>
    <row r="15" spans="1:118">
      <c r="A15" t="s">
        <v>38</v>
      </c>
      <c r="H15" t="s">
        <v>38</v>
      </c>
      <c r="O15" t="s">
        <v>38</v>
      </c>
      <c r="V15" t="s">
        <v>38</v>
      </c>
      <c r="AC15" t="s">
        <v>38</v>
      </c>
      <c r="AJ15" t="s">
        <v>38</v>
      </c>
      <c r="AQ15" t="s">
        <v>38</v>
      </c>
      <c r="AX15" t="s">
        <v>38</v>
      </c>
      <c r="BE15" t="s">
        <v>38</v>
      </c>
      <c r="BL15" t="s">
        <v>38</v>
      </c>
      <c r="BS15" t="s">
        <v>38</v>
      </c>
      <c r="BZ15" t="s">
        <v>38</v>
      </c>
    </row>
    <row r="16" spans="1:118">
      <c r="A16" t="s">
        <v>39</v>
      </c>
      <c r="H16" t="s">
        <v>39</v>
      </c>
      <c r="O16" t="s">
        <v>39</v>
      </c>
      <c r="V16" t="s">
        <v>39</v>
      </c>
      <c r="AC16" t="s">
        <v>39</v>
      </c>
      <c r="AJ16" t="s">
        <v>39</v>
      </c>
      <c r="AQ16" t="s">
        <v>39</v>
      </c>
      <c r="AX16" t="s">
        <v>39</v>
      </c>
      <c r="BE16" t="s">
        <v>39</v>
      </c>
      <c r="BL16" t="s">
        <v>39</v>
      </c>
      <c r="BS16" t="s">
        <v>39</v>
      </c>
      <c r="BZ16" t="s">
        <v>39</v>
      </c>
    </row>
    <row r="17" spans="1:116">
      <c r="A17" t="s">
        <v>40</v>
      </c>
      <c r="H17" t="s">
        <v>40</v>
      </c>
      <c r="O17" t="s">
        <v>40</v>
      </c>
      <c r="V17" t="s">
        <v>40</v>
      </c>
      <c r="AC17" t="s">
        <v>40</v>
      </c>
      <c r="AJ17" t="s">
        <v>40</v>
      </c>
      <c r="AQ17" t="s">
        <v>40</v>
      </c>
      <c r="AX17" t="s">
        <v>40</v>
      </c>
      <c r="BE17" t="s">
        <v>40</v>
      </c>
      <c r="BL17" t="s">
        <v>40</v>
      </c>
      <c r="BS17" t="s">
        <v>40</v>
      </c>
      <c r="BZ17" t="s">
        <v>40</v>
      </c>
      <c r="CG17" t="s">
        <v>40</v>
      </c>
      <c r="CN17" t="s">
        <v>40</v>
      </c>
      <c r="CU17" t="s">
        <v>40</v>
      </c>
      <c r="DB17" t="s">
        <v>40</v>
      </c>
      <c r="DI17" t="s">
        <v>40</v>
      </c>
    </row>
    <row r="18" spans="1:116">
      <c r="A18" t="s">
        <v>41</v>
      </c>
      <c r="H18" t="s">
        <v>41</v>
      </c>
      <c r="O18" t="s">
        <v>41</v>
      </c>
      <c r="V18" t="s">
        <v>41</v>
      </c>
      <c r="AC18" t="s">
        <v>41</v>
      </c>
      <c r="AJ18" t="s">
        <v>41</v>
      </c>
      <c r="AQ18" t="s">
        <v>41</v>
      </c>
      <c r="AX18" t="s">
        <v>41</v>
      </c>
      <c r="BE18" t="s">
        <v>41</v>
      </c>
      <c r="BL18" t="s">
        <v>41</v>
      </c>
      <c r="BS18" t="s">
        <v>41</v>
      </c>
      <c r="BZ18" t="s">
        <v>41</v>
      </c>
      <c r="CG18" t="s">
        <v>41</v>
      </c>
      <c r="CN18" t="s">
        <v>41</v>
      </c>
      <c r="CU18" t="s">
        <v>41</v>
      </c>
      <c r="DB18" t="s">
        <v>41</v>
      </c>
      <c r="DI18" t="s">
        <v>41</v>
      </c>
    </row>
    <row r="20" spans="1:116">
      <c r="A20" s="4"/>
      <c r="H20" s="4"/>
      <c r="O20" s="4"/>
      <c r="V20" s="4"/>
      <c r="AC20" s="4"/>
      <c r="AJ20" s="4"/>
      <c r="AQ20" s="4"/>
      <c r="AX20" s="4"/>
      <c r="BE20" s="4"/>
      <c r="BL20" s="4"/>
      <c r="BS20" s="4"/>
      <c r="BZ20" s="4"/>
      <c r="CG20" s="4"/>
      <c r="CN20" s="4"/>
      <c r="CU20" s="4"/>
      <c r="DB20" s="4"/>
      <c r="DI20" s="4"/>
    </row>
    <row r="21" spans="1:116">
      <c r="A21" t="s">
        <v>42</v>
      </c>
      <c r="B21" t="s">
        <v>43</v>
      </c>
      <c r="C21">
        <v>0</v>
      </c>
      <c r="D21">
        <v>0</v>
      </c>
      <c r="H21" t="s">
        <v>42</v>
      </c>
      <c r="I21" t="s">
        <v>43</v>
      </c>
      <c r="J21">
        <v>0</v>
      </c>
      <c r="K21">
        <v>0</v>
      </c>
      <c r="O21" t="s">
        <v>42</v>
      </c>
      <c r="P21" t="s">
        <v>43</v>
      </c>
      <c r="Q21">
        <v>0</v>
      </c>
      <c r="R21">
        <v>0</v>
      </c>
      <c r="V21" t="s">
        <v>42</v>
      </c>
      <c r="W21" t="s">
        <v>43</v>
      </c>
      <c r="X21">
        <v>0</v>
      </c>
      <c r="Y21">
        <v>0</v>
      </c>
      <c r="AC21" t="s">
        <v>42</v>
      </c>
      <c r="AD21" t="s">
        <v>43</v>
      </c>
      <c r="AE21">
        <v>0</v>
      </c>
      <c r="AF21">
        <v>0</v>
      </c>
      <c r="AJ21" t="s">
        <v>42</v>
      </c>
      <c r="AK21" t="s">
        <v>43</v>
      </c>
      <c r="AL21">
        <v>0</v>
      </c>
      <c r="AM21">
        <v>0</v>
      </c>
      <c r="AQ21" t="s">
        <v>42</v>
      </c>
      <c r="AR21" t="s">
        <v>43</v>
      </c>
      <c r="AS21">
        <v>0</v>
      </c>
      <c r="AT21">
        <v>0</v>
      </c>
      <c r="AX21" t="s">
        <v>42</v>
      </c>
      <c r="AY21" t="s">
        <v>43</v>
      </c>
      <c r="AZ21">
        <v>0</v>
      </c>
      <c r="BA21">
        <v>0</v>
      </c>
      <c r="BE21" t="s">
        <v>42</v>
      </c>
      <c r="BF21" t="s">
        <v>43</v>
      </c>
      <c r="BG21">
        <v>0</v>
      </c>
      <c r="BH21">
        <v>0</v>
      </c>
      <c r="BL21" t="s">
        <v>42</v>
      </c>
      <c r="BM21" t="s">
        <v>43</v>
      </c>
      <c r="BN21">
        <v>0</v>
      </c>
      <c r="BO21">
        <v>0</v>
      </c>
      <c r="BS21" t="s">
        <v>42</v>
      </c>
      <c r="BT21" t="s">
        <v>43</v>
      </c>
      <c r="BU21">
        <v>0</v>
      </c>
      <c r="BV21">
        <v>0</v>
      </c>
      <c r="BZ21" t="s">
        <v>42</v>
      </c>
      <c r="CA21" t="s">
        <v>43</v>
      </c>
      <c r="CB21">
        <v>0</v>
      </c>
      <c r="CC21">
        <v>0</v>
      </c>
      <c r="CG21" t="s">
        <v>42</v>
      </c>
      <c r="CH21" t="s">
        <v>43</v>
      </c>
      <c r="CI21">
        <v>0</v>
      </c>
      <c r="CJ21">
        <v>0</v>
      </c>
      <c r="CN21" t="s">
        <v>42</v>
      </c>
      <c r="CO21" t="s">
        <v>43</v>
      </c>
      <c r="CP21">
        <v>0</v>
      </c>
      <c r="CQ21">
        <v>0</v>
      </c>
      <c r="CU21" t="s">
        <v>42</v>
      </c>
      <c r="CV21" t="s">
        <v>43</v>
      </c>
      <c r="CW21">
        <v>0</v>
      </c>
      <c r="CX21">
        <v>0</v>
      </c>
      <c r="DB21" t="s">
        <v>42</v>
      </c>
      <c r="DC21" t="s">
        <v>43</v>
      </c>
      <c r="DD21">
        <v>0</v>
      </c>
      <c r="DE21">
        <v>0</v>
      </c>
      <c r="DI21" t="s">
        <v>42</v>
      </c>
      <c r="DJ21" t="s">
        <v>43</v>
      </c>
      <c r="DK21">
        <v>0</v>
      </c>
      <c r="DL21">
        <v>0</v>
      </c>
    </row>
    <row r="22" spans="1:116">
      <c r="A22" t="s">
        <v>44</v>
      </c>
      <c r="B22" t="s">
        <v>43</v>
      </c>
      <c r="C22">
        <v>0</v>
      </c>
      <c r="D22">
        <v>0</v>
      </c>
      <c r="H22" t="s">
        <v>44</v>
      </c>
      <c r="I22" t="s">
        <v>43</v>
      </c>
      <c r="J22">
        <v>0</v>
      </c>
      <c r="K22">
        <v>0</v>
      </c>
      <c r="O22" t="s">
        <v>44</v>
      </c>
      <c r="P22" t="s">
        <v>43</v>
      </c>
      <c r="Q22">
        <v>0</v>
      </c>
      <c r="R22">
        <v>0</v>
      </c>
      <c r="V22" t="s">
        <v>44</v>
      </c>
      <c r="W22" t="s">
        <v>43</v>
      </c>
      <c r="X22">
        <v>0</v>
      </c>
      <c r="Y22">
        <v>0</v>
      </c>
      <c r="AC22" t="s">
        <v>44</v>
      </c>
      <c r="AD22" t="s">
        <v>43</v>
      </c>
      <c r="AE22">
        <v>0</v>
      </c>
      <c r="AF22">
        <v>0</v>
      </c>
      <c r="AJ22" t="s">
        <v>44</v>
      </c>
      <c r="AK22" t="s">
        <v>43</v>
      </c>
      <c r="AL22">
        <v>0</v>
      </c>
      <c r="AM22">
        <v>0</v>
      </c>
      <c r="AQ22" t="s">
        <v>44</v>
      </c>
      <c r="AR22" t="s">
        <v>43</v>
      </c>
      <c r="AS22">
        <v>0</v>
      </c>
      <c r="AT22">
        <v>0</v>
      </c>
      <c r="AX22" t="s">
        <v>44</v>
      </c>
      <c r="AY22" t="s">
        <v>43</v>
      </c>
      <c r="AZ22">
        <v>0</v>
      </c>
      <c r="BA22">
        <v>0</v>
      </c>
      <c r="BE22" t="s">
        <v>44</v>
      </c>
      <c r="BF22" t="s">
        <v>43</v>
      </c>
      <c r="BG22">
        <v>0</v>
      </c>
      <c r="BH22">
        <v>0</v>
      </c>
      <c r="BL22" t="s">
        <v>44</v>
      </c>
      <c r="BM22" t="s">
        <v>43</v>
      </c>
      <c r="BN22">
        <v>0</v>
      </c>
      <c r="BO22">
        <v>0</v>
      </c>
      <c r="BS22" t="s">
        <v>44</v>
      </c>
      <c r="BT22" t="s">
        <v>43</v>
      </c>
      <c r="BU22">
        <v>0</v>
      </c>
      <c r="BV22">
        <v>0</v>
      </c>
      <c r="BZ22" t="s">
        <v>44</v>
      </c>
      <c r="CA22" t="s">
        <v>43</v>
      </c>
      <c r="CB22">
        <v>0</v>
      </c>
      <c r="CC22">
        <v>0</v>
      </c>
      <c r="CG22" t="s">
        <v>44</v>
      </c>
      <c r="CH22" t="s">
        <v>43</v>
      </c>
      <c r="CI22">
        <v>0</v>
      </c>
      <c r="CJ22">
        <v>0</v>
      </c>
      <c r="CN22" t="s">
        <v>44</v>
      </c>
      <c r="CO22" t="s">
        <v>43</v>
      </c>
      <c r="CP22">
        <v>0</v>
      </c>
      <c r="CQ22">
        <v>0</v>
      </c>
      <c r="CU22" t="s">
        <v>44</v>
      </c>
      <c r="CV22" t="s">
        <v>43</v>
      </c>
      <c r="CW22">
        <v>0</v>
      </c>
      <c r="CX22">
        <v>0</v>
      </c>
      <c r="DB22" t="s">
        <v>44</v>
      </c>
      <c r="DC22" t="s">
        <v>43</v>
      </c>
      <c r="DD22">
        <v>0</v>
      </c>
      <c r="DE22">
        <v>0</v>
      </c>
      <c r="DI22" t="s">
        <v>44</v>
      </c>
      <c r="DJ22" t="s">
        <v>43</v>
      </c>
      <c r="DK22">
        <v>0</v>
      </c>
      <c r="DL22">
        <v>0</v>
      </c>
    </row>
    <row r="23" spans="1:116">
      <c r="A23" t="s">
        <v>45</v>
      </c>
      <c r="B23" t="s">
        <v>43</v>
      </c>
      <c r="C23">
        <v>0</v>
      </c>
      <c r="D23">
        <v>0</v>
      </c>
      <c r="H23" t="s">
        <v>45</v>
      </c>
      <c r="I23" t="s">
        <v>43</v>
      </c>
      <c r="J23">
        <v>0</v>
      </c>
      <c r="K23">
        <v>0</v>
      </c>
      <c r="O23" t="s">
        <v>45</v>
      </c>
      <c r="P23" t="s">
        <v>43</v>
      </c>
      <c r="Q23">
        <v>0</v>
      </c>
      <c r="R23">
        <v>0</v>
      </c>
      <c r="V23" t="s">
        <v>45</v>
      </c>
      <c r="W23" t="s">
        <v>43</v>
      </c>
      <c r="X23">
        <v>0</v>
      </c>
      <c r="Y23">
        <v>0</v>
      </c>
      <c r="AC23" t="s">
        <v>45</v>
      </c>
      <c r="AD23" t="s">
        <v>43</v>
      </c>
      <c r="AE23">
        <v>0</v>
      </c>
      <c r="AF23">
        <v>0</v>
      </c>
      <c r="AJ23" t="s">
        <v>45</v>
      </c>
      <c r="AK23" t="s">
        <v>43</v>
      </c>
      <c r="AL23">
        <v>0</v>
      </c>
      <c r="AM23">
        <v>0</v>
      </c>
      <c r="AO23" t="s">
        <v>46</v>
      </c>
      <c r="AQ23" t="s">
        <v>45</v>
      </c>
      <c r="AR23" t="s">
        <v>43</v>
      </c>
      <c r="AS23">
        <v>0</v>
      </c>
      <c r="AT23">
        <v>0</v>
      </c>
      <c r="AX23" t="s">
        <v>45</v>
      </c>
      <c r="AY23" t="s">
        <v>43</v>
      </c>
      <c r="AZ23">
        <v>0</v>
      </c>
      <c r="BA23">
        <v>0</v>
      </c>
      <c r="BE23" t="s">
        <v>45</v>
      </c>
      <c r="BF23" t="s">
        <v>43</v>
      </c>
      <c r="BG23">
        <v>0</v>
      </c>
      <c r="BH23">
        <v>0</v>
      </c>
      <c r="BL23" t="s">
        <v>45</v>
      </c>
      <c r="BM23" t="s">
        <v>43</v>
      </c>
      <c r="BN23">
        <v>0</v>
      </c>
      <c r="BO23">
        <v>0</v>
      </c>
      <c r="BS23" t="s">
        <v>45</v>
      </c>
      <c r="BT23" t="s">
        <v>43</v>
      </c>
      <c r="BU23">
        <v>0</v>
      </c>
      <c r="BV23">
        <v>0</v>
      </c>
      <c r="BZ23" t="s">
        <v>45</v>
      </c>
      <c r="CA23" t="s">
        <v>43</v>
      </c>
      <c r="CB23">
        <v>0</v>
      </c>
      <c r="CC23">
        <v>0</v>
      </c>
      <c r="CG23" t="s">
        <v>45</v>
      </c>
      <c r="CH23" t="s">
        <v>43</v>
      </c>
      <c r="CI23">
        <v>0</v>
      </c>
      <c r="CJ23">
        <v>0</v>
      </c>
      <c r="CN23" t="s">
        <v>45</v>
      </c>
      <c r="CO23" t="s">
        <v>43</v>
      </c>
      <c r="CP23">
        <v>0</v>
      </c>
      <c r="CQ23">
        <v>0</v>
      </c>
      <c r="CU23" t="s">
        <v>45</v>
      </c>
      <c r="CV23" t="s">
        <v>43</v>
      </c>
      <c r="CW23">
        <v>0</v>
      </c>
      <c r="CX23">
        <v>0</v>
      </c>
      <c r="DB23" t="s">
        <v>45</v>
      </c>
      <c r="DC23" t="s">
        <v>43</v>
      </c>
      <c r="DD23">
        <v>0</v>
      </c>
      <c r="DE23">
        <v>0</v>
      </c>
      <c r="DI23" t="s">
        <v>45</v>
      </c>
      <c r="DJ23" t="s">
        <v>43</v>
      </c>
      <c r="DK23">
        <v>0</v>
      </c>
      <c r="DL23">
        <v>0</v>
      </c>
    </row>
    <row r="24" spans="1:116">
      <c r="A24" t="s">
        <v>47</v>
      </c>
      <c r="B24" t="s">
        <v>43</v>
      </c>
      <c r="C24">
        <v>0</v>
      </c>
      <c r="D24">
        <v>1</v>
      </c>
      <c r="H24" t="s">
        <v>47</v>
      </c>
      <c r="I24" t="s">
        <v>43</v>
      </c>
      <c r="J24">
        <v>0</v>
      </c>
      <c r="K24">
        <v>0</v>
      </c>
      <c r="O24" t="s">
        <v>47</v>
      </c>
      <c r="P24" t="s">
        <v>43</v>
      </c>
      <c r="Q24">
        <v>0</v>
      </c>
      <c r="R24">
        <v>1</v>
      </c>
      <c r="V24" t="s">
        <v>47</v>
      </c>
      <c r="W24" t="s">
        <v>43</v>
      </c>
      <c r="X24">
        <v>0</v>
      </c>
      <c r="Y24">
        <v>0</v>
      </c>
      <c r="AC24" t="s">
        <v>47</v>
      </c>
      <c r="AD24" t="s">
        <v>43</v>
      </c>
      <c r="AE24">
        <v>0</v>
      </c>
      <c r="AF24">
        <v>0</v>
      </c>
      <c r="AJ24" t="s">
        <v>47</v>
      </c>
      <c r="AK24" t="s">
        <v>43</v>
      </c>
      <c r="AL24">
        <v>0</v>
      </c>
      <c r="AM24">
        <v>0</v>
      </c>
      <c r="AQ24" t="s">
        <v>47</v>
      </c>
      <c r="AR24" t="s">
        <v>43</v>
      </c>
      <c r="AS24">
        <v>0</v>
      </c>
      <c r="AT24">
        <v>0</v>
      </c>
      <c r="AX24" t="s">
        <v>47</v>
      </c>
      <c r="AY24" t="s">
        <v>43</v>
      </c>
      <c r="AZ24">
        <v>0</v>
      </c>
      <c r="BA24">
        <v>0</v>
      </c>
      <c r="BE24" t="s">
        <v>47</v>
      </c>
      <c r="BF24" t="s">
        <v>43</v>
      </c>
      <c r="BG24">
        <v>0</v>
      </c>
      <c r="BH24">
        <v>0</v>
      </c>
      <c r="BL24" t="s">
        <v>47</v>
      </c>
      <c r="BM24" t="s">
        <v>43</v>
      </c>
      <c r="BN24">
        <v>0</v>
      </c>
      <c r="BO24">
        <v>0</v>
      </c>
      <c r="BS24" t="s">
        <v>47</v>
      </c>
      <c r="BT24" t="s">
        <v>43</v>
      </c>
      <c r="BU24">
        <v>0</v>
      </c>
      <c r="BV24">
        <v>0</v>
      </c>
      <c r="BZ24" t="s">
        <v>47</v>
      </c>
      <c r="CA24" t="s">
        <v>43</v>
      </c>
      <c r="CB24">
        <v>0</v>
      </c>
      <c r="CC24">
        <v>0</v>
      </c>
      <c r="CG24" t="s">
        <v>47</v>
      </c>
      <c r="CH24" t="s">
        <v>43</v>
      </c>
      <c r="CI24">
        <v>0</v>
      </c>
      <c r="CJ24">
        <v>0</v>
      </c>
      <c r="CN24" t="s">
        <v>47</v>
      </c>
      <c r="CO24" t="s">
        <v>43</v>
      </c>
      <c r="CP24">
        <v>0</v>
      </c>
      <c r="CQ24">
        <v>0</v>
      </c>
      <c r="CU24" t="s">
        <v>47</v>
      </c>
      <c r="CV24" t="s">
        <v>43</v>
      </c>
      <c r="CW24">
        <v>0</v>
      </c>
      <c r="CX24">
        <v>0</v>
      </c>
      <c r="DB24" t="s">
        <v>47</v>
      </c>
      <c r="DC24" t="s">
        <v>43</v>
      </c>
      <c r="DD24">
        <v>0</v>
      </c>
      <c r="DE24">
        <v>0</v>
      </c>
      <c r="DI24" t="s">
        <v>47</v>
      </c>
      <c r="DJ24" t="s">
        <v>43</v>
      </c>
      <c r="DK24">
        <v>0</v>
      </c>
      <c r="DL24">
        <v>0</v>
      </c>
    </row>
    <row r="25" spans="1:116">
      <c r="A25" t="s">
        <v>48</v>
      </c>
      <c r="B25" t="s">
        <v>43</v>
      </c>
      <c r="C25">
        <v>1</v>
      </c>
      <c r="D25">
        <v>0</v>
      </c>
      <c r="H25" t="s">
        <v>48</v>
      </c>
      <c r="I25" t="s">
        <v>43</v>
      </c>
      <c r="J25">
        <v>1</v>
      </c>
      <c r="K25">
        <v>0</v>
      </c>
      <c r="O25" t="s">
        <v>48</v>
      </c>
      <c r="P25" t="s">
        <v>43</v>
      </c>
      <c r="Q25">
        <v>0</v>
      </c>
      <c r="R25">
        <v>0</v>
      </c>
      <c r="V25" t="s">
        <v>48</v>
      </c>
      <c r="W25" t="s">
        <v>43</v>
      </c>
      <c r="X25">
        <v>0</v>
      </c>
      <c r="Y25">
        <v>0</v>
      </c>
      <c r="AC25" t="s">
        <v>48</v>
      </c>
      <c r="AD25" t="s">
        <v>43</v>
      </c>
      <c r="AE25">
        <v>0</v>
      </c>
      <c r="AF25">
        <v>0</v>
      </c>
      <c r="AJ25" t="s">
        <v>48</v>
      </c>
      <c r="AK25" t="s">
        <v>43</v>
      </c>
      <c r="AL25">
        <v>0</v>
      </c>
      <c r="AM25">
        <v>0</v>
      </c>
      <c r="AQ25" t="s">
        <v>48</v>
      </c>
      <c r="AR25" t="s">
        <v>43</v>
      </c>
      <c r="AS25">
        <v>0</v>
      </c>
      <c r="AT25">
        <v>0</v>
      </c>
      <c r="AX25" t="s">
        <v>48</v>
      </c>
      <c r="AY25" t="s">
        <v>43</v>
      </c>
      <c r="AZ25">
        <v>0</v>
      </c>
      <c r="BA25">
        <v>0</v>
      </c>
      <c r="BE25" t="s">
        <v>48</v>
      </c>
      <c r="BF25" t="s">
        <v>43</v>
      </c>
      <c r="BG25">
        <v>0</v>
      </c>
      <c r="BH25">
        <v>0</v>
      </c>
      <c r="BL25" t="s">
        <v>48</v>
      </c>
      <c r="BM25" t="s">
        <v>43</v>
      </c>
      <c r="BN25">
        <v>0</v>
      </c>
      <c r="BO25">
        <v>0</v>
      </c>
      <c r="BS25" t="s">
        <v>48</v>
      </c>
      <c r="BT25" t="s">
        <v>43</v>
      </c>
      <c r="BU25">
        <v>0</v>
      </c>
      <c r="BV25">
        <v>0</v>
      </c>
      <c r="BZ25" t="s">
        <v>48</v>
      </c>
      <c r="CA25" t="s">
        <v>43</v>
      </c>
      <c r="CB25">
        <v>0</v>
      </c>
      <c r="CC25">
        <v>0</v>
      </c>
      <c r="CG25" t="s">
        <v>48</v>
      </c>
      <c r="CH25" t="s">
        <v>43</v>
      </c>
      <c r="CI25">
        <v>0</v>
      </c>
      <c r="CJ25">
        <v>0</v>
      </c>
      <c r="CN25" t="s">
        <v>48</v>
      </c>
      <c r="CO25" t="s">
        <v>43</v>
      </c>
      <c r="CP25">
        <v>0</v>
      </c>
      <c r="CQ25">
        <v>0</v>
      </c>
      <c r="CU25" t="s">
        <v>48</v>
      </c>
      <c r="CV25" t="s">
        <v>43</v>
      </c>
      <c r="CW25">
        <v>0</v>
      </c>
      <c r="CX25">
        <v>0</v>
      </c>
      <c r="DB25" t="s">
        <v>48</v>
      </c>
      <c r="DC25" t="s">
        <v>43</v>
      </c>
      <c r="DD25">
        <v>0</v>
      </c>
      <c r="DE25">
        <v>0</v>
      </c>
      <c r="DI25" t="s">
        <v>48</v>
      </c>
      <c r="DJ25" t="s">
        <v>43</v>
      </c>
      <c r="DK25">
        <v>0</v>
      </c>
      <c r="DL25">
        <v>0</v>
      </c>
    </row>
    <row r="26" spans="1:116">
      <c r="A26" t="s">
        <v>49</v>
      </c>
      <c r="B26" t="s">
        <v>43</v>
      </c>
      <c r="C26">
        <v>0</v>
      </c>
      <c r="D26">
        <v>0</v>
      </c>
      <c r="H26" t="s">
        <v>49</v>
      </c>
      <c r="I26" t="s">
        <v>43</v>
      </c>
      <c r="J26">
        <v>0</v>
      </c>
      <c r="K26">
        <v>0</v>
      </c>
      <c r="O26" t="s">
        <v>49</v>
      </c>
      <c r="P26" t="s">
        <v>43</v>
      </c>
      <c r="Q26">
        <v>0</v>
      </c>
      <c r="R26">
        <v>0</v>
      </c>
      <c r="V26" t="s">
        <v>49</v>
      </c>
      <c r="W26" t="s">
        <v>43</v>
      </c>
      <c r="X26">
        <v>0</v>
      </c>
      <c r="Y26">
        <v>0</v>
      </c>
      <c r="AC26" t="s">
        <v>49</v>
      </c>
      <c r="AD26" t="s">
        <v>43</v>
      </c>
      <c r="AE26">
        <v>0</v>
      </c>
      <c r="AF26">
        <v>0</v>
      </c>
      <c r="AJ26" t="s">
        <v>49</v>
      </c>
      <c r="AK26" t="s">
        <v>43</v>
      </c>
      <c r="AL26">
        <v>0</v>
      </c>
      <c r="AM26">
        <v>0</v>
      </c>
      <c r="AQ26" t="s">
        <v>49</v>
      </c>
      <c r="AR26" t="s">
        <v>43</v>
      </c>
      <c r="AS26">
        <v>0</v>
      </c>
      <c r="AT26">
        <v>0</v>
      </c>
      <c r="AX26" t="s">
        <v>49</v>
      </c>
      <c r="AY26" t="s">
        <v>43</v>
      </c>
      <c r="AZ26">
        <v>0</v>
      </c>
      <c r="BA26">
        <v>0</v>
      </c>
      <c r="BE26" t="s">
        <v>49</v>
      </c>
      <c r="BF26" t="s">
        <v>43</v>
      </c>
      <c r="BG26">
        <v>0</v>
      </c>
      <c r="BH26">
        <v>0</v>
      </c>
      <c r="BL26" t="s">
        <v>49</v>
      </c>
      <c r="BM26" t="s">
        <v>43</v>
      </c>
      <c r="BN26">
        <v>0</v>
      </c>
      <c r="BO26">
        <v>0</v>
      </c>
      <c r="BS26" t="s">
        <v>49</v>
      </c>
      <c r="BT26" t="s">
        <v>43</v>
      </c>
      <c r="BU26">
        <v>0</v>
      </c>
      <c r="BV26">
        <v>0</v>
      </c>
      <c r="BZ26" t="s">
        <v>49</v>
      </c>
      <c r="CA26" t="s">
        <v>43</v>
      </c>
      <c r="CB26">
        <v>0</v>
      </c>
      <c r="CC26">
        <v>0</v>
      </c>
      <c r="CG26" t="s">
        <v>49</v>
      </c>
      <c r="CH26" t="s">
        <v>43</v>
      </c>
      <c r="CI26">
        <v>0</v>
      </c>
      <c r="CJ26">
        <v>0</v>
      </c>
      <c r="CN26" t="s">
        <v>49</v>
      </c>
      <c r="CO26" t="s">
        <v>43</v>
      </c>
      <c r="CP26">
        <v>0</v>
      </c>
      <c r="CQ26">
        <v>0</v>
      </c>
      <c r="CU26" t="s">
        <v>49</v>
      </c>
      <c r="CV26" t="s">
        <v>43</v>
      </c>
      <c r="CW26">
        <v>0</v>
      </c>
      <c r="CX26">
        <v>0</v>
      </c>
      <c r="DB26" t="s">
        <v>49</v>
      </c>
      <c r="DC26" t="s">
        <v>43</v>
      </c>
      <c r="DD26">
        <v>0</v>
      </c>
      <c r="DE26">
        <v>0</v>
      </c>
      <c r="DI26" t="s">
        <v>49</v>
      </c>
      <c r="DJ26" t="s">
        <v>43</v>
      </c>
      <c r="DK26">
        <v>0</v>
      </c>
      <c r="DL26">
        <v>0</v>
      </c>
    </row>
    <row r="27" spans="1:116">
      <c r="A27" t="s">
        <v>50</v>
      </c>
      <c r="B27" t="s">
        <v>43</v>
      </c>
      <c r="C27">
        <v>0</v>
      </c>
      <c r="D27">
        <v>0</v>
      </c>
      <c r="H27" t="s">
        <v>50</v>
      </c>
      <c r="I27" t="s">
        <v>43</v>
      </c>
      <c r="J27">
        <v>0</v>
      </c>
      <c r="K27">
        <v>0</v>
      </c>
      <c r="O27" t="s">
        <v>50</v>
      </c>
      <c r="P27" t="s">
        <v>43</v>
      </c>
      <c r="Q27">
        <v>0</v>
      </c>
      <c r="R27">
        <v>0</v>
      </c>
      <c r="V27" t="s">
        <v>50</v>
      </c>
      <c r="W27" t="s">
        <v>43</v>
      </c>
      <c r="X27">
        <v>0</v>
      </c>
      <c r="Y27">
        <v>0</v>
      </c>
      <c r="AC27" t="s">
        <v>50</v>
      </c>
      <c r="AD27" t="s">
        <v>43</v>
      </c>
      <c r="AE27">
        <v>0</v>
      </c>
      <c r="AF27">
        <v>0</v>
      </c>
      <c r="AH27" t="s">
        <v>51</v>
      </c>
      <c r="AJ27" t="s">
        <v>50</v>
      </c>
      <c r="AK27" t="s">
        <v>43</v>
      </c>
      <c r="AL27">
        <v>0</v>
      </c>
      <c r="AM27">
        <v>0</v>
      </c>
      <c r="AQ27" t="s">
        <v>50</v>
      </c>
      <c r="AR27" t="s">
        <v>43</v>
      </c>
      <c r="AS27">
        <v>0</v>
      </c>
      <c r="AT27">
        <v>1</v>
      </c>
      <c r="AX27" t="s">
        <v>50</v>
      </c>
      <c r="AY27" t="s">
        <v>43</v>
      </c>
      <c r="AZ27">
        <v>0</v>
      </c>
      <c r="BA27">
        <v>0</v>
      </c>
      <c r="BE27" t="s">
        <v>50</v>
      </c>
      <c r="BF27" t="s">
        <v>43</v>
      </c>
      <c r="BG27">
        <v>0</v>
      </c>
      <c r="BH27">
        <v>0</v>
      </c>
      <c r="BJ27" t="s">
        <v>46</v>
      </c>
      <c r="BL27" t="s">
        <v>50</v>
      </c>
      <c r="BM27" t="s">
        <v>43</v>
      </c>
      <c r="BN27">
        <v>0</v>
      </c>
      <c r="BO27">
        <v>0</v>
      </c>
      <c r="BS27" t="s">
        <v>50</v>
      </c>
      <c r="BT27" t="s">
        <v>43</v>
      </c>
      <c r="BU27">
        <v>0</v>
      </c>
      <c r="BV27">
        <v>0</v>
      </c>
      <c r="BZ27" t="s">
        <v>50</v>
      </c>
      <c r="CA27" t="s">
        <v>43</v>
      </c>
      <c r="CB27">
        <v>0</v>
      </c>
      <c r="CC27">
        <v>0</v>
      </c>
      <c r="CG27" t="s">
        <v>50</v>
      </c>
      <c r="CH27" t="s">
        <v>43</v>
      </c>
      <c r="CI27">
        <v>0</v>
      </c>
      <c r="CJ27">
        <v>0</v>
      </c>
      <c r="CN27" t="s">
        <v>50</v>
      </c>
      <c r="CO27" t="s">
        <v>43</v>
      </c>
      <c r="CP27">
        <v>0</v>
      </c>
      <c r="CQ27">
        <v>0</v>
      </c>
      <c r="CU27" t="s">
        <v>50</v>
      </c>
      <c r="CV27" t="s">
        <v>43</v>
      </c>
      <c r="CW27">
        <v>0</v>
      </c>
      <c r="CX27">
        <v>0</v>
      </c>
      <c r="DB27" t="s">
        <v>50</v>
      </c>
      <c r="DC27" t="s">
        <v>43</v>
      </c>
      <c r="DD27">
        <v>0</v>
      </c>
      <c r="DE27">
        <v>0</v>
      </c>
      <c r="DI27" t="s">
        <v>50</v>
      </c>
      <c r="DJ27" t="s">
        <v>43</v>
      </c>
      <c r="DK27">
        <v>0</v>
      </c>
      <c r="DL27">
        <v>0</v>
      </c>
    </row>
    <row r="28" spans="1:116">
      <c r="A28" t="s">
        <v>52</v>
      </c>
      <c r="B28" t="s">
        <v>43</v>
      </c>
      <c r="C28">
        <v>0</v>
      </c>
      <c r="D28">
        <v>0</v>
      </c>
      <c r="H28" t="s">
        <v>52</v>
      </c>
      <c r="I28" t="s">
        <v>43</v>
      </c>
      <c r="J28">
        <v>1</v>
      </c>
      <c r="K28">
        <v>0</v>
      </c>
      <c r="O28" t="s">
        <v>52</v>
      </c>
      <c r="P28" t="s">
        <v>43</v>
      </c>
      <c r="Q28">
        <v>1</v>
      </c>
      <c r="R28">
        <v>0</v>
      </c>
      <c r="V28" t="s">
        <v>52</v>
      </c>
      <c r="W28" t="s">
        <v>43</v>
      </c>
      <c r="X28">
        <v>1</v>
      </c>
      <c r="Y28">
        <v>0</v>
      </c>
      <c r="AC28" t="s">
        <v>52</v>
      </c>
      <c r="AD28" t="s">
        <v>43</v>
      </c>
      <c r="AE28">
        <v>1</v>
      </c>
      <c r="AF28">
        <v>0</v>
      </c>
      <c r="AJ28" t="s">
        <v>52</v>
      </c>
      <c r="AK28" t="s">
        <v>43</v>
      </c>
      <c r="AL28">
        <v>1</v>
      </c>
      <c r="AM28">
        <v>0</v>
      </c>
      <c r="AQ28" t="s">
        <v>52</v>
      </c>
      <c r="AR28" t="s">
        <v>43</v>
      </c>
      <c r="AS28">
        <v>1</v>
      </c>
      <c r="AT28">
        <v>0</v>
      </c>
      <c r="AX28" t="s">
        <v>52</v>
      </c>
      <c r="AY28" t="s">
        <v>43</v>
      </c>
      <c r="AZ28">
        <v>0</v>
      </c>
      <c r="BA28">
        <v>0</v>
      </c>
      <c r="BE28" t="s">
        <v>52</v>
      </c>
      <c r="BF28" t="s">
        <v>43</v>
      </c>
      <c r="BG28">
        <v>1</v>
      </c>
      <c r="BH28">
        <v>0</v>
      </c>
      <c r="BL28" t="s">
        <v>52</v>
      </c>
      <c r="BM28" t="s">
        <v>43</v>
      </c>
      <c r="BN28">
        <v>1</v>
      </c>
      <c r="BO28">
        <v>0</v>
      </c>
      <c r="BS28" t="s">
        <v>52</v>
      </c>
      <c r="BT28" t="s">
        <v>43</v>
      </c>
      <c r="BU28">
        <v>0</v>
      </c>
      <c r="BV28">
        <v>0</v>
      </c>
      <c r="BZ28" t="s">
        <v>52</v>
      </c>
      <c r="CA28" t="s">
        <v>43</v>
      </c>
      <c r="CB28">
        <v>0</v>
      </c>
      <c r="CC28">
        <v>0</v>
      </c>
      <c r="CG28" t="s">
        <v>52</v>
      </c>
      <c r="CH28" t="s">
        <v>43</v>
      </c>
      <c r="CI28">
        <v>0</v>
      </c>
      <c r="CJ28">
        <v>0</v>
      </c>
      <c r="CN28" t="s">
        <v>52</v>
      </c>
      <c r="CO28" t="s">
        <v>43</v>
      </c>
      <c r="CP28">
        <v>0</v>
      </c>
      <c r="CQ28">
        <v>0</v>
      </c>
      <c r="CU28" t="s">
        <v>52</v>
      </c>
      <c r="CV28" t="s">
        <v>43</v>
      </c>
      <c r="CW28">
        <v>0</v>
      </c>
      <c r="CX28">
        <v>1</v>
      </c>
      <c r="DB28" t="s">
        <v>52</v>
      </c>
      <c r="DC28" t="s">
        <v>43</v>
      </c>
      <c r="DD28">
        <v>0</v>
      </c>
      <c r="DE28">
        <v>0</v>
      </c>
      <c r="DI28" t="s">
        <v>52</v>
      </c>
      <c r="DJ28" t="s">
        <v>43</v>
      </c>
      <c r="DK28">
        <v>0</v>
      </c>
      <c r="DL28">
        <v>0</v>
      </c>
    </row>
    <row r="29" spans="1:116">
      <c r="A29" t="s">
        <v>53</v>
      </c>
      <c r="B29" t="s">
        <v>43</v>
      </c>
      <c r="C29">
        <v>0</v>
      </c>
      <c r="D29">
        <v>0</v>
      </c>
      <c r="H29" t="s">
        <v>53</v>
      </c>
      <c r="I29" t="s">
        <v>43</v>
      </c>
      <c r="J29">
        <v>0</v>
      </c>
      <c r="K29">
        <v>0</v>
      </c>
      <c r="O29" t="s">
        <v>53</v>
      </c>
      <c r="P29" t="s">
        <v>43</v>
      </c>
      <c r="Q29">
        <v>0</v>
      </c>
      <c r="R29">
        <v>1</v>
      </c>
      <c r="V29" t="s">
        <v>53</v>
      </c>
      <c r="W29" t="s">
        <v>43</v>
      </c>
      <c r="X29">
        <v>0</v>
      </c>
      <c r="Y29">
        <v>0</v>
      </c>
      <c r="AC29" t="s">
        <v>53</v>
      </c>
      <c r="AD29" t="s">
        <v>43</v>
      </c>
      <c r="AE29">
        <v>0</v>
      </c>
      <c r="AF29">
        <v>0</v>
      </c>
      <c r="AJ29" t="s">
        <v>53</v>
      </c>
      <c r="AK29" t="s">
        <v>43</v>
      </c>
      <c r="AL29">
        <v>0</v>
      </c>
      <c r="AM29">
        <v>0</v>
      </c>
      <c r="AQ29" t="s">
        <v>53</v>
      </c>
      <c r="AR29" t="s">
        <v>43</v>
      </c>
      <c r="AS29">
        <v>0</v>
      </c>
      <c r="AT29">
        <v>0</v>
      </c>
      <c r="AX29" t="s">
        <v>53</v>
      </c>
      <c r="AY29" t="s">
        <v>43</v>
      </c>
      <c r="AZ29">
        <v>0</v>
      </c>
      <c r="BA29">
        <v>0</v>
      </c>
      <c r="BE29" t="s">
        <v>53</v>
      </c>
      <c r="BF29" t="s">
        <v>43</v>
      </c>
      <c r="BG29">
        <v>0</v>
      </c>
      <c r="BH29">
        <v>0</v>
      </c>
      <c r="BL29" t="s">
        <v>53</v>
      </c>
      <c r="BM29" t="s">
        <v>43</v>
      </c>
      <c r="BN29">
        <v>0</v>
      </c>
      <c r="BO29">
        <v>0</v>
      </c>
      <c r="BS29" t="s">
        <v>53</v>
      </c>
      <c r="BT29" t="s">
        <v>43</v>
      </c>
      <c r="BU29">
        <v>0</v>
      </c>
      <c r="BV29">
        <v>1</v>
      </c>
      <c r="BZ29" t="s">
        <v>53</v>
      </c>
      <c r="CA29" t="s">
        <v>43</v>
      </c>
      <c r="CB29">
        <v>0</v>
      </c>
      <c r="CC29">
        <v>0</v>
      </c>
      <c r="CG29" t="s">
        <v>53</v>
      </c>
      <c r="CH29" t="s">
        <v>43</v>
      </c>
      <c r="CI29">
        <v>0</v>
      </c>
      <c r="CJ29">
        <v>0</v>
      </c>
      <c r="CN29" t="s">
        <v>53</v>
      </c>
      <c r="CO29" t="s">
        <v>43</v>
      </c>
      <c r="CP29">
        <v>0</v>
      </c>
      <c r="CQ29">
        <v>0</v>
      </c>
      <c r="CU29" t="s">
        <v>53</v>
      </c>
      <c r="CV29" t="s">
        <v>43</v>
      </c>
      <c r="CW29">
        <v>0</v>
      </c>
      <c r="CX29">
        <v>0</v>
      </c>
      <c r="DB29" t="s">
        <v>53</v>
      </c>
      <c r="DC29" t="s">
        <v>43</v>
      </c>
      <c r="DD29">
        <v>0</v>
      </c>
      <c r="DE29">
        <v>0</v>
      </c>
      <c r="DI29" t="s">
        <v>53</v>
      </c>
      <c r="DJ29" t="s">
        <v>43</v>
      </c>
      <c r="DK29">
        <v>0</v>
      </c>
      <c r="DL29">
        <v>0</v>
      </c>
    </row>
    <row r="30" spans="1:116">
      <c r="A30" t="s">
        <v>54</v>
      </c>
      <c r="B30" t="s">
        <v>43</v>
      </c>
      <c r="C30">
        <v>2</v>
      </c>
      <c r="D30">
        <v>0</v>
      </c>
      <c r="H30" t="s">
        <v>54</v>
      </c>
      <c r="I30" t="s">
        <v>43</v>
      </c>
      <c r="J30">
        <v>2</v>
      </c>
      <c r="K30">
        <v>0</v>
      </c>
      <c r="O30" t="s">
        <v>54</v>
      </c>
      <c r="P30" t="s">
        <v>43</v>
      </c>
      <c r="Q30">
        <v>0</v>
      </c>
      <c r="R30">
        <v>0</v>
      </c>
      <c r="V30" t="s">
        <v>54</v>
      </c>
      <c r="W30" t="s">
        <v>43</v>
      </c>
      <c r="X30">
        <v>1</v>
      </c>
      <c r="Y30">
        <v>0</v>
      </c>
      <c r="AC30" t="s">
        <v>54</v>
      </c>
      <c r="AD30" t="s">
        <v>43</v>
      </c>
      <c r="AE30">
        <v>1</v>
      </c>
      <c r="AF30">
        <v>0</v>
      </c>
      <c r="AJ30" t="s">
        <v>54</v>
      </c>
      <c r="AK30" t="s">
        <v>43</v>
      </c>
      <c r="AL30">
        <v>1</v>
      </c>
      <c r="AM30">
        <v>0</v>
      </c>
      <c r="AQ30" t="s">
        <v>54</v>
      </c>
      <c r="AR30" t="s">
        <v>43</v>
      </c>
      <c r="AS30">
        <v>1</v>
      </c>
      <c r="AT30">
        <v>0</v>
      </c>
      <c r="AX30" t="s">
        <v>54</v>
      </c>
      <c r="AY30" t="s">
        <v>43</v>
      </c>
      <c r="AZ30">
        <v>0</v>
      </c>
      <c r="BA30">
        <v>0</v>
      </c>
      <c r="BE30" t="s">
        <v>54</v>
      </c>
      <c r="BF30" t="s">
        <v>43</v>
      </c>
      <c r="BG30">
        <v>0</v>
      </c>
      <c r="BH30">
        <v>0</v>
      </c>
      <c r="BL30" t="s">
        <v>54</v>
      </c>
      <c r="BM30" t="s">
        <v>43</v>
      </c>
      <c r="BN30">
        <v>0</v>
      </c>
      <c r="BO30">
        <v>0</v>
      </c>
      <c r="BS30" t="s">
        <v>54</v>
      </c>
      <c r="BT30" t="s">
        <v>43</v>
      </c>
      <c r="BU30">
        <v>0</v>
      </c>
      <c r="BV30">
        <v>0</v>
      </c>
      <c r="BZ30" t="s">
        <v>54</v>
      </c>
      <c r="CA30" t="s">
        <v>43</v>
      </c>
      <c r="CB30">
        <v>0</v>
      </c>
      <c r="CC30">
        <v>0</v>
      </c>
      <c r="CG30" t="s">
        <v>54</v>
      </c>
      <c r="CH30" t="s">
        <v>43</v>
      </c>
      <c r="CI30">
        <v>0</v>
      </c>
      <c r="CJ30">
        <v>0</v>
      </c>
      <c r="CN30" t="s">
        <v>54</v>
      </c>
      <c r="CO30" t="s">
        <v>43</v>
      </c>
      <c r="CP30">
        <v>0</v>
      </c>
      <c r="CQ30">
        <v>0</v>
      </c>
      <c r="CU30" t="s">
        <v>54</v>
      </c>
      <c r="CV30" t="s">
        <v>43</v>
      </c>
      <c r="CW30">
        <v>0</v>
      </c>
      <c r="CX30">
        <v>0</v>
      </c>
      <c r="DB30" t="s">
        <v>54</v>
      </c>
      <c r="DC30" t="s">
        <v>43</v>
      </c>
      <c r="DD30">
        <v>0</v>
      </c>
      <c r="DE30">
        <v>0</v>
      </c>
      <c r="DI30" t="s">
        <v>54</v>
      </c>
      <c r="DJ30" t="s">
        <v>43</v>
      </c>
      <c r="DK30">
        <v>0</v>
      </c>
      <c r="DL30">
        <v>0</v>
      </c>
    </row>
    <row r="31" spans="1:116">
      <c r="A31" t="s">
        <v>38</v>
      </c>
      <c r="C31">
        <f>C21+C22+C23+C24+C25+C26+C27+C28+C29+C30</f>
        <v>3</v>
      </c>
      <c r="D31">
        <f>D21+D22+D23+D24+D25+D26+D27+D28+D29+D30</f>
        <v>1</v>
      </c>
      <c r="H31" t="s">
        <v>38</v>
      </c>
      <c r="J31">
        <f>J21+J22+J23+J24+J25+J26+J27+J28+J29+J30</f>
        <v>4</v>
      </c>
      <c r="K31">
        <f>K21+K22+K23+K24+K25+K26+K27+K28+K29+K30</f>
        <v>0</v>
      </c>
      <c r="O31" t="s">
        <v>38</v>
      </c>
      <c r="Q31">
        <f>Q21+Q22+Q23+Q24+Q25+Q26+Q27+Q28+Q29+Q30</f>
        <v>1</v>
      </c>
      <c r="R31">
        <f>R21+R22+R23+R24+R25+R26+R27+R28+R29+R30</f>
        <v>2</v>
      </c>
      <c r="V31" t="s">
        <v>38</v>
      </c>
      <c r="X31">
        <f>X21+X22+X23+X24+X25+X26+X27+X28+X29+X30</f>
        <v>2</v>
      </c>
      <c r="Y31">
        <f>Y21+Y22+Y23+Y24+Y25+Y26+Y27+Y28+Y29+Y30</f>
        <v>0</v>
      </c>
      <c r="AC31" t="s">
        <v>38</v>
      </c>
      <c r="AE31">
        <f>AE21+AE22+AE23+AE24+AE25+AE26+AE27+AE28+AE29+AE30</f>
        <v>2</v>
      </c>
      <c r="AF31">
        <f>AF21+AF22+AF23+AF24+AF25+AF26+AF27+AF28+AF29+AF30</f>
        <v>0</v>
      </c>
      <c r="AJ31" t="s">
        <v>38</v>
      </c>
      <c r="AL31">
        <f>AL21+AL22+AL23+AL24+AL25+AL26+AL27+AL28+AL29+AL30</f>
        <v>2</v>
      </c>
      <c r="AM31">
        <f>AM21+AM22+AM23+AM24+AM25+AM26+AM27+AM28+AM29+AM30</f>
        <v>0</v>
      </c>
      <c r="AQ31" t="s">
        <v>38</v>
      </c>
      <c r="AS31">
        <f>AS21+AS22+AS23+AS24+AS25+AS26+AS27+AS28+AS29+AS30</f>
        <v>2</v>
      </c>
      <c r="AT31">
        <f>AT21+AT22+AT23+AT24+AT25+AT26+AT27+AT28+AT29+AT30</f>
        <v>1</v>
      </c>
      <c r="AX31" t="s">
        <v>38</v>
      </c>
      <c r="AZ31">
        <f>AZ21+AZ22+AZ23+AZ24+AZ25+AZ26+AZ27+AZ28+AZ29+AZ30</f>
        <v>0</v>
      </c>
      <c r="BA31">
        <f>BA21+BA22+BA23+BA24+BA25+BA26+BA27+BA28+BA29+BA30</f>
        <v>0</v>
      </c>
      <c r="BE31" t="s">
        <v>38</v>
      </c>
      <c r="BG31">
        <f>BG21+BG22+BG23+BG24+BG25+BG26+BG27+BG28+BG29+BG30</f>
        <v>1</v>
      </c>
      <c r="BH31">
        <f>BH21+BH22+BH23+BH24+BH25+BH26+BH27+BH28+BH29+BH30</f>
        <v>0</v>
      </c>
      <c r="BL31" t="s">
        <v>38</v>
      </c>
      <c r="BN31">
        <f>BN21+BN22+BN23+BN24+BN25+BN26+BN27+BN28+BN29+BN30</f>
        <v>1</v>
      </c>
      <c r="BO31">
        <f>BO21+BO22+BO23+BO24+BO25+BO26+BO27+BO28+BO29+BO30</f>
        <v>0</v>
      </c>
      <c r="BS31" t="s">
        <v>38</v>
      </c>
      <c r="BU31">
        <f>BU21+BU22+BU23+BU24+BU25+BU26+BU27+BU28+BU29+BU30</f>
        <v>0</v>
      </c>
      <c r="BV31">
        <f>BV21+BV22+BV23+BV24+BV25+BV26+BV27+BV28+BV29+BV30</f>
        <v>1</v>
      </c>
      <c r="BZ31" t="s">
        <v>38</v>
      </c>
      <c r="CB31">
        <f>CB21+CB22+CB23+CB24+CB25+CB26+CB27+CB28+CB29+CB30</f>
        <v>0</v>
      </c>
      <c r="CC31">
        <f>CC21+CC22+CC23+CC24+CC25+CC26+CC27+CC28+CC29+CC30</f>
        <v>0</v>
      </c>
      <c r="CG31" t="s">
        <v>38</v>
      </c>
      <c r="CI31">
        <f>CI21+CI22+CI23+CI24+CI25+CI26+CI27+CI28+CI29+CI30</f>
        <v>0</v>
      </c>
      <c r="CJ31">
        <f>CJ21+CJ22+CJ23+CJ24+CJ25+CJ26+CJ27+CJ28+CJ29+CJ30</f>
        <v>0</v>
      </c>
      <c r="CN31" t="s">
        <v>38</v>
      </c>
      <c r="CP31">
        <f>CP21+CP22+CP23+CP24+CP25+CP26+CP27+CP28+CP29+CP30</f>
        <v>0</v>
      </c>
      <c r="CQ31">
        <f>CQ21+CQ22+CQ23+CQ24+CQ25+CQ26+CQ27+CQ28+CQ29+CQ30</f>
        <v>0</v>
      </c>
      <c r="CU31" t="s">
        <v>38</v>
      </c>
      <c r="CW31">
        <f>CW21+CW22+CW23+CW24+CW25+CW26+CW27+CW28+CW29+CW30</f>
        <v>0</v>
      </c>
      <c r="CX31">
        <f>CX21+CX22+CX23+CX24+CX25+CX26+CX27+CX28+CX29+CX30</f>
        <v>1</v>
      </c>
      <c r="DB31" t="s">
        <v>38</v>
      </c>
      <c r="DD31">
        <f>DD21+DD22+DD23+DD24+DD25+DD26+DD27+DD28+DD29+DD30</f>
        <v>0</v>
      </c>
      <c r="DE31">
        <f>DE21+DE22+DE23+DE24+DE25+DE26+DE27+DE28+DE29+DE30</f>
        <v>0</v>
      </c>
      <c r="DI31" t="s">
        <v>38</v>
      </c>
      <c r="DK31">
        <f>DK21+DK22+DK23+DK24+DK25+DK26+DK27+DK28+DK29+DK30</f>
        <v>0</v>
      </c>
      <c r="DL31">
        <f>DL21+DL22+DL23+DL24+DL25+DL26+DL27+DL28+DL29+DL30</f>
        <v>0</v>
      </c>
    </row>
    <row r="32" spans="1:116" ht="18">
      <c r="A32" t="s">
        <v>39</v>
      </c>
      <c r="C32">
        <f>C31*10</f>
        <v>30</v>
      </c>
      <c r="D32" s="5">
        <f>D31*10</f>
        <v>10</v>
      </c>
      <c r="H32" t="s">
        <v>39</v>
      </c>
      <c r="J32">
        <f>J31*10</f>
        <v>40</v>
      </c>
      <c r="K32" s="5">
        <f>K31*10</f>
        <v>0</v>
      </c>
      <c r="O32" t="s">
        <v>39</v>
      </c>
      <c r="Q32">
        <f>Q31*10</f>
        <v>10</v>
      </c>
      <c r="R32" s="5">
        <f>R31*10</f>
        <v>20</v>
      </c>
      <c r="V32" t="s">
        <v>39</v>
      </c>
      <c r="X32">
        <f>X31*10</f>
        <v>20</v>
      </c>
      <c r="Y32" s="5">
        <f>Y31*10</f>
        <v>0</v>
      </c>
      <c r="AC32" t="s">
        <v>39</v>
      </c>
      <c r="AE32">
        <f>AE31*10</f>
        <v>20</v>
      </c>
      <c r="AF32" s="5">
        <f>AF31*10</f>
        <v>0</v>
      </c>
      <c r="AJ32" t="s">
        <v>39</v>
      </c>
      <c r="AL32">
        <f>AL31*10</f>
        <v>20</v>
      </c>
      <c r="AM32" s="5">
        <f>AM31*10</f>
        <v>0</v>
      </c>
      <c r="AQ32" t="s">
        <v>39</v>
      </c>
      <c r="AS32">
        <f>AS31*10</f>
        <v>20</v>
      </c>
      <c r="AT32" s="5">
        <f>AT31*10</f>
        <v>10</v>
      </c>
      <c r="AX32" t="s">
        <v>39</v>
      </c>
      <c r="AZ32">
        <f>AZ31*10</f>
        <v>0</v>
      </c>
      <c r="BA32" s="5">
        <f>BA31*10</f>
        <v>0</v>
      </c>
      <c r="BE32" t="s">
        <v>39</v>
      </c>
      <c r="BG32">
        <f>BG31*10</f>
        <v>10</v>
      </c>
      <c r="BH32" s="5">
        <f>BH31*10</f>
        <v>0</v>
      </c>
      <c r="BL32" t="s">
        <v>39</v>
      </c>
      <c r="BN32">
        <f>BN31*10</f>
        <v>10</v>
      </c>
      <c r="BO32" s="5">
        <f>BO31*10</f>
        <v>0</v>
      </c>
      <c r="BS32" t="s">
        <v>39</v>
      </c>
      <c r="BU32">
        <f>BU31*10</f>
        <v>0</v>
      </c>
      <c r="BV32" s="5">
        <f>BV31*10</f>
        <v>10</v>
      </c>
      <c r="BZ32" t="s">
        <v>39</v>
      </c>
      <c r="CB32">
        <f>CB31*10</f>
        <v>0</v>
      </c>
      <c r="CC32" s="5">
        <f>CC31*10</f>
        <v>0</v>
      </c>
      <c r="CG32" t="s">
        <v>39</v>
      </c>
      <c r="CI32">
        <f>CI31*10</f>
        <v>0</v>
      </c>
      <c r="CJ32" s="5">
        <f>CJ31*10</f>
        <v>0</v>
      </c>
      <c r="CN32" t="s">
        <v>39</v>
      </c>
      <c r="CP32">
        <f>CP31*10</f>
        <v>0</v>
      </c>
      <c r="CQ32" s="5">
        <f>CQ31*10</f>
        <v>0</v>
      </c>
      <c r="CU32" t="s">
        <v>39</v>
      </c>
      <c r="CW32">
        <f>CW31*10</f>
        <v>0</v>
      </c>
      <c r="CX32" s="5">
        <f>CX31*10</f>
        <v>10</v>
      </c>
      <c r="DB32" t="s">
        <v>39</v>
      </c>
      <c r="DD32">
        <f>DD31*10</f>
        <v>0</v>
      </c>
      <c r="DE32" s="5">
        <f>DE31*10</f>
        <v>0</v>
      </c>
      <c r="DI32" t="s">
        <v>39</v>
      </c>
      <c r="DK32">
        <f>DK31*10</f>
        <v>0</v>
      </c>
      <c r="DL32" s="5">
        <f>DL31*10</f>
        <v>0</v>
      </c>
    </row>
    <row r="33" spans="1:118">
      <c r="A33" t="s">
        <v>40</v>
      </c>
      <c r="C33">
        <f>AVERAGE(C21:C30)</f>
        <v>0.3</v>
      </c>
      <c r="D33">
        <f>AVERAGE(D21:D30)</f>
        <v>0.1</v>
      </c>
      <c r="H33" t="s">
        <v>40</v>
      </c>
      <c r="J33">
        <f>AVERAGE(J21:J30)</f>
        <v>0.4</v>
      </c>
      <c r="K33">
        <f>AVERAGE(K21:K30)</f>
        <v>0</v>
      </c>
      <c r="O33" t="s">
        <v>40</v>
      </c>
      <c r="Q33">
        <f>AVERAGE(Q21:Q30)</f>
        <v>0.1</v>
      </c>
      <c r="R33">
        <f>AVERAGE(R21:R30)</f>
        <v>0.2</v>
      </c>
      <c r="V33" t="s">
        <v>40</v>
      </c>
      <c r="X33">
        <f>AVERAGE(X21:X30)</f>
        <v>0.2</v>
      </c>
      <c r="Y33">
        <f>AVERAGE(Y21:Y30)</f>
        <v>0</v>
      </c>
      <c r="AC33" t="s">
        <v>40</v>
      </c>
      <c r="AE33">
        <f>AVERAGE(AE21:AE30)</f>
        <v>0.2</v>
      </c>
      <c r="AF33">
        <f>AVERAGE(AF21:AF30)</f>
        <v>0</v>
      </c>
      <c r="AJ33" t="s">
        <v>40</v>
      </c>
      <c r="AL33">
        <f>AVERAGE(AL21:AL30)</f>
        <v>0.2</v>
      </c>
      <c r="AM33">
        <f>AVERAGE(AM21:AM30)</f>
        <v>0</v>
      </c>
      <c r="AQ33" t="s">
        <v>40</v>
      </c>
      <c r="AS33">
        <f>AVERAGE(AS21:AS30)</f>
        <v>0.2</v>
      </c>
      <c r="AT33">
        <f>AVERAGE(AT21:AT30)</f>
        <v>0.1</v>
      </c>
      <c r="AX33" t="s">
        <v>40</v>
      </c>
      <c r="AZ33">
        <f>AVERAGE(AZ21:AZ30)</f>
        <v>0</v>
      </c>
      <c r="BA33">
        <f>AVERAGE(BA21:BA30)</f>
        <v>0</v>
      </c>
      <c r="BE33" t="s">
        <v>40</v>
      </c>
      <c r="BG33">
        <f>AVERAGE(BG21:BG30)</f>
        <v>0.1</v>
      </c>
      <c r="BH33">
        <f>AVERAGE(BH21:BH30)</f>
        <v>0</v>
      </c>
      <c r="BL33" t="s">
        <v>40</v>
      </c>
      <c r="BN33">
        <f>AVERAGE(BN21:BN30)</f>
        <v>0.1</v>
      </c>
      <c r="BO33">
        <f>AVERAGE(BO21:BO30)</f>
        <v>0</v>
      </c>
      <c r="BS33" t="s">
        <v>40</v>
      </c>
      <c r="BU33">
        <f>AVERAGE(BU21:BU30)</f>
        <v>0</v>
      </c>
      <c r="BV33">
        <f>AVERAGE(BV21:BV30)</f>
        <v>0.1</v>
      </c>
      <c r="BZ33" t="s">
        <v>40</v>
      </c>
      <c r="CB33">
        <f>AVERAGE(CB21:CB30)</f>
        <v>0</v>
      </c>
      <c r="CC33">
        <f>AVERAGE(CC21:CC30)</f>
        <v>0</v>
      </c>
      <c r="CG33" t="s">
        <v>40</v>
      </c>
      <c r="CI33">
        <f>AVERAGE(CI21:CI30)</f>
        <v>0</v>
      </c>
      <c r="CJ33">
        <f>AVERAGE(CJ21:CJ30)</f>
        <v>0</v>
      </c>
      <c r="CN33" t="s">
        <v>40</v>
      </c>
      <c r="CP33">
        <f>AVERAGE(CP21:CP30)</f>
        <v>0</v>
      </c>
      <c r="CQ33">
        <f>AVERAGE(CQ21:CQ30)</f>
        <v>0</v>
      </c>
      <c r="CU33" t="s">
        <v>40</v>
      </c>
      <c r="CW33">
        <f>AVERAGE(CW21:CW30)</f>
        <v>0</v>
      </c>
      <c r="CX33">
        <f>AVERAGE(CX21:CX30)</f>
        <v>0.1</v>
      </c>
      <c r="DB33" t="s">
        <v>40</v>
      </c>
      <c r="DD33">
        <f>AVERAGE(DD21:DD30)</f>
        <v>0</v>
      </c>
      <c r="DE33">
        <f>AVERAGE(DE21:DE30)</f>
        <v>0</v>
      </c>
      <c r="DI33" t="s">
        <v>40</v>
      </c>
      <c r="DK33">
        <f>AVERAGE(DK21:DK30)</f>
        <v>0</v>
      </c>
      <c r="DL33">
        <f>AVERAGE(DL21:DL30)</f>
        <v>0</v>
      </c>
    </row>
    <row r="34" spans="1:118">
      <c r="A34" t="s">
        <v>41</v>
      </c>
      <c r="C34">
        <f>(C33/3)*100</f>
        <v>10</v>
      </c>
      <c r="D34">
        <f>(D33/3)*100</f>
        <v>3.3333333333333335</v>
      </c>
      <c r="H34" t="s">
        <v>41</v>
      </c>
      <c r="J34">
        <f>(J33/1)*100</f>
        <v>40</v>
      </c>
      <c r="K34">
        <f>(K33/1)*100</f>
        <v>0</v>
      </c>
      <c r="O34" t="s">
        <v>41</v>
      </c>
      <c r="Q34">
        <f>(Q33/1)*100</f>
        <v>10</v>
      </c>
      <c r="R34">
        <f>(R33/1)*100</f>
        <v>20</v>
      </c>
      <c r="V34" t="s">
        <v>41</v>
      </c>
      <c r="X34">
        <f>(X33/1)*100</f>
        <v>20</v>
      </c>
      <c r="Y34">
        <f>(Y33/1)*100</f>
        <v>0</v>
      </c>
      <c r="AC34" t="s">
        <v>41</v>
      </c>
      <c r="AE34">
        <f>(AE33/2)*100</f>
        <v>10</v>
      </c>
      <c r="AF34">
        <f>(AF33/2)*100</f>
        <v>0</v>
      </c>
      <c r="AJ34" t="s">
        <v>41</v>
      </c>
      <c r="AL34">
        <f>(AL33/1)*100</f>
        <v>20</v>
      </c>
      <c r="AM34">
        <f>(AM33/1)*100</f>
        <v>0</v>
      </c>
      <c r="AQ34" t="s">
        <v>41</v>
      </c>
      <c r="AS34">
        <f>(AS33/1)*100</f>
        <v>20</v>
      </c>
      <c r="AT34">
        <f>(AT33/1)*100</f>
        <v>10</v>
      </c>
      <c r="AX34" t="s">
        <v>41</v>
      </c>
      <c r="AZ34">
        <f>(AZ33/1)*100</f>
        <v>0</v>
      </c>
      <c r="BA34">
        <f>(BA33/1)*100</f>
        <v>0</v>
      </c>
      <c r="BE34" t="s">
        <v>41</v>
      </c>
      <c r="BG34">
        <f>(BG33/1)*100</f>
        <v>10</v>
      </c>
      <c r="BH34">
        <f>(BH33/1)*100</f>
        <v>0</v>
      </c>
      <c r="BL34" t="s">
        <v>41</v>
      </c>
      <c r="BN34">
        <f>(BN33/4)*100</f>
        <v>2.5</v>
      </c>
      <c r="BO34">
        <f>(BO33/4)*100</f>
        <v>0</v>
      </c>
      <c r="BS34" t="s">
        <v>41</v>
      </c>
      <c r="BU34">
        <f>(BU33/4)*100</f>
        <v>0</v>
      </c>
      <c r="BV34">
        <f>(BV33/4)*100</f>
        <v>2.5</v>
      </c>
      <c r="BZ34" t="s">
        <v>41</v>
      </c>
      <c r="CB34">
        <f>(CB33/3)*100</f>
        <v>0</v>
      </c>
      <c r="CC34">
        <f>(CC33/3)*100</f>
        <v>0</v>
      </c>
      <c r="CG34" t="s">
        <v>41</v>
      </c>
      <c r="CI34">
        <f>(CI33/3)*100</f>
        <v>0</v>
      </c>
      <c r="CJ34">
        <f>(CJ33/3)*100</f>
        <v>0</v>
      </c>
      <c r="CN34" t="s">
        <v>41</v>
      </c>
      <c r="CP34">
        <f>(CP33/3)*100</f>
        <v>0</v>
      </c>
      <c r="CQ34">
        <f>(CQ33/3)*100</f>
        <v>0</v>
      </c>
      <c r="CU34" t="s">
        <v>41</v>
      </c>
      <c r="CW34">
        <v>0</v>
      </c>
      <c r="CX34">
        <f>SUM(CX33,)/4*100</f>
        <v>2.5</v>
      </c>
      <c r="DB34" t="s">
        <v>41</v>
      </c>
      <c r="DD34">
        <v>0</v>
      </c>
      <c r="DE34">
        <f>SUM(DE33,)/4*100</f>
        <v>0</v>
      </c>
      <c r="DI34" t="s">
        <v>41</v>
      </c>
      <c r="DK34">
        <v>0</v>
      </c>
      <c r="DL34">
        <f>SUM(DL33,)/4*100</f>
        <v>0</v>
      </c>
    </row>
    <row r="37" spans="1:118">
      <c r="A37" t="s">
        <v>55</v>
      </c>
      <c r="B37" t="s">
        <v>56</v>
      </c>
      <c r="E37">
        <v>0</v>
      </c>
      <c r="F37">
        <v>12</v>
      </c>
      <c r="H37" t="s">
        <v>55</v>
      </c>
      <c r="I37" t="s">
        <v>56</v>
      </c>
      <c r="L37">
        <v>1</v>
      </c>
      <c r="M37">
        <v>1</v>
      </c>
      <c r="O37" t="s">
        <v>55</v>
      </c>
      <c r="P37" t="s">
        <v>56</v>
      </c>
      <c r="S37">
        <v>1</v>
      </c>
      <c r="T37">
        <v>0</v>
      </c>
      <c r="V37" t="s">
        <v>55</v>
      </c>
      <c r="W37" t="s">
        <v>56</v>
      </c>
      <c r="Z37">
        <v>1</v>
      </c>
      <c r="AA37">
        <v>3</v>
      </c>
      <c r="AC37" t="s">
        <v>55</v>
      </c>
      <c r="AD37" t="s">
        <v>56</v>
      </c>
      <c r="AG37">
        <v>0</v>
      </c>
      <c r="AH37">
        <v>2</v>
      </c>
      <c r="AJ37" t="s">
        <v>55</v>
      </c>
      <c r="AK37" t="s">
        <v>56</v>
      </c>
      <c r="AN37">
        <v>0</v>
      </c>
      <c r="AO37">
        <v>0</v>
      </c>
      <c r="AQ37" t="s">
        <v>55</v>
      </c>
      <c r="AR37" t="s">
        <v>56</v>
      </c>
      <c r="AU37">
        <v>0</v>
      </c>
      <c r="AV37">
        <v>0</v>
      </c>
      <c r="AX37" t="s">
        <v>55</v>
      </c>
      <c r="AY37" t="s">
        <v>56</v>
      </c>
      <c r="BB37">
        <v>0</v>
      </c>
      <c r="BC37">
        <v>0</v>
      </c>
      <c r="BE37" t="s">
        <v>55</v>
      </c>
      <c r="BF37" t="s">
        <v>56</v>
      </c>
      <c r="BI37">
        <v>1</v>
      </c>
      <c r="BJ37">
        <v>0</v>
      </c>
      <c r="BL37" t="s">
        <v>55</v>
      </c>
      <c r="BM37" t="s">
        <v>56</v>
      </c>
      <c r="BP37">
        <v>0</v>
      </c>
      <c r="BQ37">
        <v>0</v>
      </c>
      <c r="BS37" t="s">
        <v>55</v>
      </c>
      <c r="BT37" t="s">
        <v>56</v>
      </c>
      <c r="BW37">
        <v>0</v>
      </c>
      <c r="BX37">
        <v>0</v>
      </c>
      <c r="BZ37" t="s">
        <v>55</v>
      </c>
      <c r="CA37" t="s">
        <v>56</v>
      </c>
      <c r="CD37">
        <v>0</v>
      </c>
      <c r="CE37">
        <v>0</v>
      </c>
      <c r="CG37" t="s">
        <v>55</v>
      </c>
      <c r="CH37" t="s">
        <v>56</v>
      </c>
      <c r="CK37">
        <v>0</v>
      </c>
      <c r="CL37">
        <v>0</v>
      </c>
      <c r="CN37" t="s">
        <v>55</v>
      </c>
      <c r="CO37" t="s">
        <v>56</v>
      </c>
      <c r="CR37">
        <v>0</v>
      </c>
      <c r="CS37">
        <v>0</v>
      </c>
      <c r="CU37" t="s">
        <v>55</v>
      </c>
      <c r="CV37" t="s">
        <v>56</v>
      </c>
      <c r="CY37">
        <v>0</v>
      </c>
      <c r="CZ37">
        <v>0</v>
      </c>
      <c r="DB37" t="s">
        <v>55</v>
      </c>
      <c r="DC37" t="s">
        <v>56</v>
      </c>
      <c r="DF37">
        <v>0</v>
      </c>
      <c r="DG37">
        <v>0</v>
      </c>
      <c r="DI37" t="s">
        <v>55</v>
      </c>
      <c r="DJ37" t="s">
        <v>56</v>
      </c>
      <c r="DM37">
        <v>0</v>
      </c>
      <c r="DN37">
        <v>0</v>
      </c>
    </row>
    <row r="38" spans="1:118">
      <c r="A38" t="s">
        <v>57</v>
      </c>
      <c r="B38" t="s">
        <v>56</v>
      </c>
      <c r="E38">
        <v>4</v>
      </c>
      <c r="F38">
        <v>3</v>
      </c>
      <c r="H38" t="s">
        <v>57</v>
      </c>
      <c r="I38" t="s">
        <v>56</v>
      </c>
      <c r="L38">
        <v>0</v>
      </c>
      <c r="M38">
        <v>0</v>
      </c>
      <c r="O38" t="s">
        <v>57</v>
      </c>
      <c r="P38" t="s">
        <v>56</v>
      </c>
      <c r="S38">
        <v>2</v>
      </c>
      <c r="T38">
        <v>1</v>
      </c>
      <c r="V38" t="s">
        <v>57</v>
      </c>
      <c r="W38" t="s">
        <v>56</v>
      </c>
      <c r="Z38">
        <v>1</v>
      </c>
      <c r="AA38">
        <v>0</v>
      </c>
      <c r="AC38" t="s">
        <v>57</v>
      </c>
      <c r="AD38" t="s">
        <v>56</v>
      </c>
      <c r="AG38">
        <v>0</v>
      </c>
      <c r="AH38">
        <v>2</v>
      </c>
      <c r="AJ38" t="s">
        <v>57</v>
      </c>
      <c r="AK38" t="s">
        <v>56</v>
      </c>
      <c r="AN38">
        <v>0</v>
      </c>
      <c r="AO38">
        <v>0</v>
      </c>
      <c r="AQ38" t="s">
        <v>57</v>
      </c>
      <c r="AR38" t="s">
        <v>56</v>
      </c>
      <c r="AU38">
        <v>0</v>
      </c>
      <c r="AV38">
        <v>0</v>
      </c>
      <c r="AX38" t="s">
        <v>57</v>
      </c>
      <c r="AY38" t="s">
        <v>56</v>
      </c>
      <c r="BB38">
        <v>0</v>
      </c>
      <c r="BC38">
        <v>0</v>
      </c>
      <c r="BE38" t="s">
        <v>57</v>
      </c>
      <c r="BF38" t="s">
        <v>56</v>
      </c>
      <c r="BI38">
        <v>0</v>
      </c>
      <c r="BJ38">
        <v>0</v>
      </c>
      <c r="BL38" t="s">
        <v>57</v>
      </c>
      <c r="BM38" t="s">
        <v>56</v>
      </c>
      <c r="BP38">
        <v>0</v>
      </c>
      <c r="BQ38">
        <v>2</v>
      </c>
      <c r="BS38" t="s">
        <v>57</v>
      </c>
      <c r="BT38" t="s">
        <v>56</v>
      </c>
      <c r="BW38">
        <v>0</v>
      </c>
      <c r="BX38">
        <v>0</v>
      </c>
      <c r="BZ38" t="s">
        <v>57</v>
      </c>
      <c r="CA38" t="s">
        <v>56</v>
      </c>
      <c r="CD38">
        <v>0</v>
      </c>
      <c r="CE38">
        <v>0</v>
      </c>
      <c r="CG38" t="s">
        <v>57</v>
      </c>
      <c r="CH38" t="s">
        <v>56</v>
      </c>
      <c r="CK38">
        <v>0</v>
      </c>
      <c r="CL38">
        <v>0</v>
      </c>
      <c r="CN38" t="s">
        <v>57</v>
      </c>
      <c r="CO38" t="s">
        <v>56</v>
      </c>
      <c r="CR38">
        <v>0</v>
      </c>
      <c r="CS38">
        <v>0</v>
      </c>
      <c r="CU38" t="s">
        <v>57</v>
      </c>
      <c r="CV38" t="s">
        <v>56</v>
      </c>
      <c r="CY38">
        <v>0</v>
      </c>
      <c r="CZ38">
        <v>0</v>
      </c>
      <c r="DB38" t="s">
        <v>57</v>
      </c>
      <c r="DC38" t="s">
        <v>56</v>
      </c>
      <c r="DF38">
        <v>0</v>
      </c>
      <c r="DG38">
        <v>0</v>
      </c>
      <c r="DI38" t="s">
        <v>57</v>
      </c>
      <c r="DJ38" t="s">
        <v>56</v>
      </c>
      <c r="DM38">
        <v>0</v>
      </c>
      <c r="DN38">
        <v>0</v>
      </c>
    </row>
    <row r="39" spans="1:118">
      <c r="A39" t="s">
        <v>58</v>
      </c>
      <c r="B39" t="s">
        <v>56</v>
      </c>
      <c r="E39">
        <v>1</v>
      </c>
      <c r="F39">
        <v>12</v>
      </c>
      <c r="H39" t="s">
        <v>58</v>
      </c>
      <c r="I39" t="s">
        <v>56</v>
      </c>
      <c r="L39">
        <v>0</v>
      </c>
      <c r="M39">
        <v>3</v>
      </c>
      <c r="O39" t="s">
        <v>58</v>
      </c>
      <c r="P39" t="s">
        <v>56</v>
      </c>
      <c r="T39">
        <v>1</v>
      </c>
      <c r="V39" t="s">
        <v>58</v>
      </c>
      <c r="W39" t="s">
        <v>56</v>
      </c>
      <c r="Z39">
        <v>0</v>
      </c>
      <c r="AA39">
        <v>0</v>
      </c>
      <c r="AC39" t="s">
        <v>58</v>
      </c>
      <c r="AD39" t="s">
        <v>56</v>
      </c>
      <c r="AG39">
        <v>0</v>
      </c>
      <c r="AH39">
        <v>1</v>
      </c>
      <c r="AJ39" t="s">
        <v>58</v>
      </c>
      <c r="AK39" t="s">
        <v>56</v>
      </c>
      <c r="AN39">
        <v>0</v>
      </c>
      <c r="AO39">
        <v>0</v>
      </c>
      <c r="AQ39" t="s">
        <v>58</v>
      </c>
      <c r="AR39" t="s">
        <v>56</v>
      </c>
      <c r="AU39">
        <v>0</v>
      </c>
      <c r="AV39">
        <v>0</v>
      </c>
      <c r="AX39" t="s">
        <v>58</v>
      </c>
      <c r="AY39" t="s">
        <v>56</v>
      </c>
      <c r="BB39">
        <v>0</v>
      </c>
      <c r="BC39">
        <v>0</v>
      </c>
      <c r="BE39" t="s">
        <v>58</v>
      </c>
      <c r="BF39" t="s">
        <v>56</v>
      </c>
      <c r="BI39">
        <v>0</v>
      </c>
      <c r="BJ39">
        <v>0</v>
      </c>
      <c r="BL39" t="s">
        <v>58</v>
      </c>
      <c r="BM39" t="s">
        <v>56</v>
      </c>
      <c r="BP39">
        <v>0</v>
      </c>
      <c r="BQ39">
        <v>0</v>
      </c>
      <c r="BS39" t="s">
        <v>58</v>
      </c>
      <c r="BT39" t="s">
        <v>56</v>
      </c>
      <c r="BW39">
        <v>0</v>
      </c>
      <c r="BX39">
        <v>0</v>
      </c>
      <c r="BZ39" t="s">
        <v>58</v>
      </c>
      <c r="CA39" t="s">
        <v>56</v>
      </c>
      <c r="CD39">
        <v>0</v>
      </c>
      <c r="CE39">
        <v>0</v>
      </c>
      <c r="CG39" t="s">
        <v>58</v>
      </c>
      <c r="CH39" t="s">
        <v>56</v>
      </c>
      <c r="CK39">
        <v>0</v>
      </c>
      <c r="CL39">
        <v>0</v>
      </c>
      <c r="CN39" t="s">
        <v>58</v>
      </c>
      <c r="CO39" t="s">
        <v>56</v>
      </c>
      <c r="CR39">
        <v>0</v>
      </c>
      <c r="CS39">
        <v>0</v>
      </c>
      <c r="CU39" t="s">
        <v>58</v>
      </c>
      <c r="CV39" t="s">
        <v>56</v>
      </c>
      <c r="CY39">
        <v>0</v>
      </c>
      <c r="CZ39">
        <v>0</v>
      </c>
      <c r="DB39" t="s">
        <v>58</v>
      </c>
      <c r="DC39" t="s">
        <v>56</v>
      </c>
      <c r="DF39">
        <v>0</v>
      </c>
      <c r="DG39">
        <v>0</v>
      </c>
      <c r="DI39" t="s">
        <v>58</v>
      </c>
      <c r="DJ39" t="s">
        <v>56</v>
      </c>
      <c r="DM39">
        <v>0</v>
      </c>
      <c r="DN39">
        <v>0</v>
      </c>
    </row>
    <row r="40" spans="1:118">
      <c r="A40" t="s">
        <v>59</v>
      </c>
      <c r="B40" t="s">
        <v>56</v>
      </c>
      <c r="E40">
        <v>3</v>
      </c>
      <c r="F40">
        <v>16</v>
      </c>
      <c r="H40" t="s">
        <v>59</v>
      </c>
      <c r="I40" t="s">
        <v>56</v>
      </c>
      <c r="K40" t="s">
        <v>60</v>
      </c>
      <c r="L40">
        <v>2</v>
      </c>
      <c r="M40">
        <v>3</v>
      </c>
      <c r="O40" t="s">
        <v>59</v>
      </c>
      <c r="P40" t="s">
        <v>56</v>
      </c>
      <c r="S40">
        <v>1</v>
      </c>
      <c r="T40">
        <v>0</v>
      </c>
      <c r="V40" t="s">
        <v>59</v>
      </c>
      <c r="W40" t="s">
        <v>56</v>
      </c>
      <c r="Z40">
        <v>2</v>
      </c>
      <c r="AA40">
        <v>0</v>
      </c>
      <c r="AC40" t="s">
        <v>59</v>
      </c>
      <c r="AD40" t="s">
        <v>56</v>
      </c>
      <c r="AG40">
        <v>0</v>
      </c>
      <c r="AH40">
        <v>3</v>
      </c>
      <c r="AJ40" t="s">
        <v>59</v>
      </c>
      <c r="AK40" t="s">
        <v>56</v>
      </c>
      <c r="AN40">
        <v>1</v>
      </c>
      <c r="AO40">
        <v>0</v>
      </c>
      <c r="AQ40" t="s">
        <v>59</v>
      </c>
      <c r="AR40" t="s">
        <v>56</v>
      </c>
      <c r="AU40">
        <v>0</v>
      </c>
      <c r="AV40">
        <v>0</v>
      </c>
      <c r="AX40" t="s">
        <v>59</v>
      </c>
      <c r="AY40" t="s">
        <v>56</v>
      </c>
      <c r="BB40">
        <v>0</v>
      </c>
      <c r="BC40">
        <v>0</v>
      </c>
      <c r="BE40" t="s">
        <v>59</v>
      </c>
      <c r="BF40" t="s">
        <v>56</v>
      </c>
      <c r="BI40">
        <v>0</v>
      </c>
      <c r="BJ40">
        <v>0</v>
      </c>
      <c r="BL40" t="s">
        <v>59</v>
      </c>
      <c r="BM40" t="s">
        <v>56</v>
      </c>
      <c r="BP40">
        <v>0</v>
      </c>
      <c r="BQ40">
        <v>0</v>
      </c>
      <c r="BS40" t="s">
        <v>59</v>
      </c>
      <c r="BT40" t="s">
        <v>56</v>
      </c>
      <c r="BW40">
        <v>0</v>
      </c>
      <c r="BX40">
        <v>0</v>
      </c>
      <c r="BZ40" t="s">
        <v>59</v>
      </c>
      <c r="CA40" t="s">
        <v>56</v>
      </c>
      <c r="CD40">
        <v>0</v>
      </c>
      <c r="CE40">
        <v>0</v>
      </c>
      <c r="CG40" t="s">
        <v>59</v>
      </c>
      <c r="CH40" t="s">
        <v>56</v>
      </c>
      <c r="CK40">
        <v>0</v>
      </c>
      <c r="CL40">
        <v>0</v>
      </c>
      <c r="CN40" t="s">
        <v>59</v>
      </c>
      <c r="CO40" t="s">
        <v>56</v>
      </c>
      <c r="CR40">
        <v>0</v>
      </c>
      <c r="CS40">
        <v>0</v>
      </c>
      <c r="CU40" t="s">
        <v>59</v>
      </c>
      <c r="CV40" t="s">
        <v>56</v>
      </c>
      <c r="CY40">
        <v>0</v>
      </c>
      <c r="CZ40">
        <v>0</v>
      </c>
      <c r="DB40" t="s">
        <v>59</v>
      </c>
      <c r="DC40" t="s">
        <v>56</v>
      </c>
      <c r="DF40">
        <v>0</v>
      </c>
      <c r="DG40">
        <v>0</v>
      </c>
      <c r="DI40" t="s">
        <v>59</v>
      </c>
      <c r="DJ40" t="s">
        <v>56</v>
      </c>
      <c r="DM40">
        <v>0</v>
      </c>
      <c r="DN40">
        <v>0</v>
      </c>
    </row>
    <row r="41" spans="1:118">
      <c r="A41" t="s">
        <v>61</v>
      </c>
      <c r="B41" t="s">
        <v>56</v>
      </c>
      <c r="E41">
        <v>8</v>
      </c>
      <c r="F41">
        <v>5</v>
      </c>
      <c r="H41" t="s">
        <v>61</v>
      </c>
      <c r="I41" t="s">
        <v>56</v>
      </c>
      <c r="L41">
        <v>0</v>
      </c>
      <c r="M41">
        <v>0</v>
      </c>
      <c r="O41" t="s">
        <v>61</v>
      </c>
      <c r="P41" t="s">
        <v>56</v>
      </c>
      <c r="S41">
        <v>0</v>
      </c>
      <c r="T41">
        <v>0</v>
      </c>
      <c r="V41" t="s">
        <v>61</v>
      </c>
      <c r="W41" t="s">
        <v>56</v>
      </c>
      <c r="Z41">
        <v>1</v>
      </c>
      <c r="AA41">
        <v>0</v>
      </c>
      <c r="AC41" t="s">
        <v>61</v>
      </c>
      <c r="AD41" t="s">
        <v>56</v>
      </c>
      <c r="AG41">
        <v>0</v>
      </c>
      <c r="AH41">
        <v>0</v>
      </c>
      <c r="AJ41" t="s">
        <v>61</v>
      </c>
      <c r="AK41" t="s">
        <v>56</v>
      </c>
      <c r="AN41">
        <v>0</v>
      </c>
      <c r="AO41">
        <v>0</v>
      </c>
      <c r="AQ41" t="s">
        <v>61</v>
      </c>
      <c r="AR41" t="s">
        <v>56</v>
      </c>
      <c r="AU41">
        <v>0</v>
      </c>
      <c r="AV41">
        <v>0</v>
      </c>
      <c r="AX41" t="s">
        <v>61</v>
      </c>
      <c r="AY41" t="s">
        <v>56</v>
      </c>
      <c r="BB41">
        <v>0</v>
      </c>
      <c r="BC41">
        <v>0</v>
      </c>
      <c r="BE41" t="s">
        <v>61</v>
      </c>
      <c r="BF41" t="s">
        <v>56</v>
      </c>
      <c r="BI41">
        <v>0</v>
      </c>
      <c r="BJ41">
        <v>0</v>
      </c>
      <c r="BL41" t="s">
        <v>61</v>
      </c>
      <c r="BM41" t="s">
        <v>56</v>
      </c>
      <c r="BP41">
        <v>0</v>
      </c>
      <c r="BQ41">
        <v>1</v>
      </c>
      <c r="BS41" t="s">
        <v>61</v>
      </c>
      <c r="BT41" t="s">
        <v>56</v>
      </c>
      <c r="BW41">
        <v>1</v>
      </c>
      <c r="BX41">
        <v>0</v>
      </c>
      <c r="BZ41" t="s">
        <v>61</v>
      </c>
      <c r="CA41" t="s">
        <v>56</v>
      </c>
      <c r="CD41">
        <v>0</v>
      </c>
      <c r="CE41">
        <v>0</v>
      </c>
      <c r="CG41" t="s">
        <v>61</v>
      </c>
      <c r="CH41" t="s">
        <v>56</v>
      </c>
      <c r="CK41">
        <v>0</v>
      </c>
      <c r="CL41">
        <v>0</v>
      </c>
      <c r="CN41" t="s">
        <v>61</v>
      </c>
      <c r="CO41" t="s">
        <v>56</v>
      </c>
      <c r="CR41">
        <v>0</v>
      </c>
      <c r="CS41">
        <v>0</v>
      </c>
      <c r="CU41" t="s">
        <v>61</v>
      </c>
      <c r="CV41" t="s">
        <v>56</v>
      </c>
      <c r="CY41">
        <v>0</v>
      </c>
      <c r="CZ41">
        <v>0</v>
      </c>
      <c r="DB41" t="s">
        <v>61</v>
      </c>
      <c r="DC41" t="s">
        <v>56</v>
      </c>
      <c r="DF41">
        <v>0</v>
      </c>
      <c r="DG41">
        <v>0</v>
      </c>
      <c r="DI41" t="s">
        <v>61</v>
      </c>
      <c r="DJ41" t="s">
        <v>56</v>
      </c>
      <c r="DM41">
        <v>0</v>
      </c>
      <c r="DN41">
        <v>0</v>
      </c>
    </row>
    <row r="42" spans="1:118">
      <c r="A42" t="s">
        <v>62</v>
      </c>
      <c r="B42" t="s">
        <v>56</v>
      </c>
      <c r="E42">
        <v>0</v>
      </c>
      <c r="F42">
        <v>10</v>
      </c>
      <c r="H42" t="s">
        <v>62</v>
      </c>
      <c r="I42" t="s">
        <v>56</v>
      </c>
      <c r="L42">
        <v>0</v>
      </c>
      <c r="M42">
        <v>0</v>
      </c>
      <c r="O42" t="s">
        <v>62</v>
      </c>
      <c r="P42" t="s">
        <v>56</v>
      </c>
      <c r="S42">
        <v>1</v>
      </c>
      <c r="T42">
        <v>0</v>
      </c>
      <c r="V42" t="s">
        <v>62</v>
      </c>
      <c r="W42" t="s">
        <v>56</v>
      </c>
      <c r="Z42">
        <v>0</v>
      </c>
      <c r="AA42">
        <v>0</v>
      </c>
      <c r="AC42" t="s">
        <v>62</v>
      </c>
      <c r="AD42" t="s">
        <v>56</v>
      </c>
      <c r="AG42">
        <v>0</v>
      </c>
      <c r="AH42">
        <v>0</v>
      </c>
      <c r="AJ42" t="s">
        <v>62</v>
      </c>
      <c r="AK42" t="s">
        <v>56</v>
      </c>
      <c r="AN42">
        <v>0</v>
      </c>
      <c r="AO42">
        <v>0</v>
      </c>
      <c r="AQ42" t="s">
        <v>62</v>
      </c>
      <c r="AR42" t="s">
        <v>56</v>
      </c>
      <c r="AU42">
        <v>0</v>
      </c>
      <c r="AV42">
        <v>0</v>
      </c>
      <c r="AX42" t="s">
        <v>62</v>
      </c>
      <c r="AY42" t="s">
        <v>56</v>
      </c>
      <c r="BB42">
        <v>0</v>
      </c>
      <c r="BC42">
        <v>0</v>
      </c>
      <c r="BE42" t="s">
        <v>62</v>
      </c>
      <c r="BF42" t="s">
        <v>56</v>
      </c>
      <c r="BI42">
        <v>0</v>
      </c>
      <c r="BJ42">
        <v>0</v>
      </c>
      <c r="BL42" t="s">
        <v>62</v>
      </c>
      <c r="BM42" t="s">
        <v>56</v>
      </c>
      <c r="BP42">
        <v>0</v>
      </c>
      <c r="BQ42">
        <v>1</v>
      </c>
      <c r="BS42" t="s">
        <v>62</v>
      </c>
      <c r="BT42" t="s">
        <v>56</v>
      </c>
      <c r="BW42">
        <v>0</v>
      </c>
      <c r="BX42">
        <v>0</v>
      </c>
      <c r="BZ42" t="s">
        <v>62</v>
      </c>
      <c r="CA42" t="s">
        <v>56</v>
      </c>
      <c r="CD42">
        <v>0</v>
      </c>
      <c r="CE42">
        <v>0</v>
      </c>
      <c r="CG42" t="s">
        <v>62</v>
      </c>
      <c r="CH42" t="s">
        <v>56</v>
      </c>
      <c r="CK42">
        <v>0</v>
      </c>
      <c r="CL42">
        <v>0</v>
      </c>
      <c r="CN42" t="s">
        <v>62</v>
      </c>
      <c r="CO42" t="s">
        <v>56</v>
      </c>
      <c r="CR42">
        <v>0</v>
      </c>
      <c r="CS42">
        <v>0</v>
      </c>
      <c r="CU42" t="s">
        <v>62</v>
      </c>
      <c r="CV42" t="s">
        <v>56</v>
      </c>
      <c r="CY42">
        <v>0</v>
      </c>
      <c r="CZ42">
        <v>0</v>
      </c>
      <c r="DB42" t="s">
        <v>62</v>
      </c>
      <c r="DC42" t="s">
        <v>56</v>
      </c>
      <c r="DF42">
        <v>0</v>
      </c>
      <c r="DG42">
        <v>0</v>
      </c>
      <c r="DI42" t="s">
        <v>62</v>
      </c>
      <c r="DJ42" t="s">
        <v>56</v>
      </c>
      <c r="DM42">
        <v>0</v>
      </c>
      <c r="DN42">
        <v>0</v>
      </c>
    </row>
    <row r="43" spans="1:118">
      <c r="A43" t="s">
        <v>63</v>
      </c>
      <c r="B43" t="s">
        <v>56</v>
      </c>
      <c r="E43">
        <v>0</v>
      </c>
      <c r="F43">
        <v>17</v>
      </c>
      <c r="H43" t="s">
        <v>63</v>
      </c>
      <c r="I43" t="s">
        <v>56</v>
      </c>
      <c r="K43" t="s">
        <v>60</v>
      </c>
      <c r="L43">
        <v>0</v>
      </c>
      <c r="M43">
        <v>1</v>
      </c>
      <c r="O43" t="s">
        <v>63</v>
      </c>
      <c r="P43" t="s">
        <v>56</v>
      </c>
      <c r="S43">
        <v>1</v>
      </c>
      <c r="T43">
        <v>0</v>
      </c>
      <c r="V43" t="s">
        <v>63</v>
      </c>
      <c r="W43" t="s">
        <v>56</v>
      </c>
      <c r="Z43">
        <v>2</v>
      </c>
      <c r="AA43">
        <v>0</v>
      </c>
      <c r="AC43" t="s">
        <v>63</v>
      </c>
      <c r="AD43" t="s">
        <v>56</v>
      </c>
      <c r="AG43">
        <v>0</v>
      </c>
      <c r="AH43">
        <v>0</v>
      </c>
      <c r="AJ43" t="s">
        <v>63</v>
      </c>
      <c r="AK43" t="s">
        <v>56</v>
      </c>
      <c r="AN43">
        <v>3</v>
      </c>
      <c r="AO43">
        <v>0</v>
      </c>
      <c r="AQ43" t="s">
        <v>63</v>
      </c>
      <c r="AR43" t="s">
        <v>56</v>
      </c>
      <c r="AU43">
        <v>0</v>
      </c>
      <c r="AV43">
        <v>0</v>
      </c>
      <c r="AX43" t="s">
        <v>63</v>
      </c>
      <c r="AY43" t="s">
        <v>56</v>
      </c>
      <c r="BB43">
        <v>0</v>
      </c>
      <c r="BC43">
        <v>0</v>
      </c>
      <c r="BE43" t="s">
        <v>63</v>
      </c>
      <c r="BF43" t="s">
        <v>56</v>
      </c>
      <c r="BH43" t="s">
        <v>60</v>
      </c>
      <c r="BI43">
        <v>1</v>
      </c>
      <c r="BJ43">
        <v>0</v>
      </c>
      <c r="BL43" t="s">
        <v>63</v>
      </c>
      <c r="BM43" t="s">
        <v>56</v>
      </c>
      <c r="BP43">
        <v>0</v>
      </c>
      <c r="BQ43">
        <v>0</v>
      </c>
      <c r="BS43" t="s">
        <v>63</v>
      </c>
      <c r="BT43" t="s">
        <v>56</v>
      </c>
      <c r="BW43">
        <v>0</v>
      </c>
      <c r="BX43">
        <v>0</v>
      </c>
      <c r="BZ43" t="s">
        <v>63</v>
      </c>
      <c r="CA43" t="s">
        <v>56</v>
      </c>
      <c r="CD43">
        <v>0</v>
      </c>
      <c r="CE43">
        <v>0</v>
      </c>
      <c r="CG43" t="s">
        <v>63</v>
      </c>
      <c r="CH43" t="s">
        <v>56</v>
      </c>
      <c r="CK43">
        <v>0</v>
      </c>
      <c r="CL43">
        <v>0</v>
      </c>
      <c r="CN43" t="s">
        <v>63</v>
      </c>
      <c r="CO43" t="s">
        <v>56</v>
      </c>
      <c r="CR43">
        <v>0</v>
      </c>
      <c r="CS43">
        <v>0</v>
      </c>
      <c r="CU43" t="s">
        <v>63</v>
      </c>
      <c r="CV43" t="s">
        <v>56</v>
      </c>
      <c r="CY43">
        <v>0</v>
      </c>
      <c r="CZ43">
        <v>0</v>
      </c>
      <c r="DB43" t="s">
        <v>63</v>
      </c>
      <c r="DC43" t="s">
        <v>56</v>
      </c>
      <c r="DF43">
        <v>0</v>
      </c>
      <c r="DG43">
        <v>0</v>
      </c>
      <c r="DI43" t="s">
        <v>63</v>
      </c>
      <c r="DJ43" t="s">
        <v>56</v>
      </c>
      <c r="DM43">
        <v>0</v>
      </c>
      <c r="DN43">
        <v>0</v>
      </c>
    </row>
    <row r="44" spans="1:118">
      <c r="A44" t="s">
        <v>64</v>
      </c>
      <c r="B44" t="s">
        <v>56</v>
      </c>
      <c r="E44">
        <v>0</v>
      </c>
      <c r="F44">
        <v>11</v>
      </c>
      <c r="H44" t="s">
        <v>64</v>
      </c>
      <c r="I44" t="s">
        <v>56</v>
      </c>
      <c r="L44">
        <v>0</v>
      </c>
      <c r="M44">
        <v>0</v>
      </c>
      <c r="O44" t="s">
        <v>64</v>
      </c>
      <c r="P44" t="s">
        <v>56</v>
      </c>
      <c r="S44">
        <v>0</v>
      </c>
      <c r="T44">
        <v>1</v>
      </c>
      <c r="V44" t="s">
        <v>64</v>
      </c>
      <c r="W44" t="s">
        <v>56</v>
      </c>
      <c r="Z44">
        <v>0</v>
      </c>
      <c r="AA44">
        <v>0</v>
      </c>
      <c r="AC44" t="s">
        <v>64</v>
      </c>
      <c r="AD44" t="s">
        <v>56</v>
      </c>
      <c r="AG44">
        <v>0</v>
      </c>
      <c r="AH44">
        <v>0</v>
      </c>
      <c r="AJ44" t="s">
        <v>64</v>
      </c>
      <c r="AK44" t="s">
        <v>56</v>
      </c>
      <c r="AN44">
        <v>0</v>
      </c>
      <c r="AO44">
        <v>0</v>
      </c>
      <c r="AQ44" t="s">
        <v>64</v>
      </c>
      <c r="AR44" t="s">
        <v>56</v>
      </c>
      <c r="AU44">
        <v>1</v>
      </c>
      <c r="AV44">
        <v>0</v>
      </c>
      <c r="AX44" t="s">
        <v>64</v>
      </c>
      <c r="AY44" t="s">
        <v>56</v>
      </c>
      <c r="BB44">
        <v>0</v>
      </c>
      <c r="BC44">
        <v>0</v>
      </c>
      <c r="BE44" t="s">
        <v>64</v>
      </c>
      <c r="BF44" t="s">
        <v>56</v>
      </c>
      <c r="BI44">
        <v>0</v>
      </c>
      <c r="BJ44">
        <v>0</v>
      </c>
      <c r="BL44" t="s">
        <v>64</v>
      </c>
      <c r="BM44" t="s">
        <v>56</v>
      </c>
      <c r="BP44">
        <v>0</v>
      </c>
      <c r="BQ44">
        <v>0</v>
      </c>
      <c r="BS44" t="s">
        <v>64</v>
      </c>
      <c r="BT44" t="s">
        <v>56</v>
      </c>
      <c r="BW44">
        <v>0</v>
      </c>
      <c r="BX44">
        <v>0</v>
      </c>
      <c r="BZ44" t="s">
        <v>64</v>
      </c>
      <c r="CA44" t="s">
        <v>56</v>
      </c>
      <c r="CD44">
        <v>0</v>
      </c>
      <c r="CE44">
        <v>0</v>
      </c>
      <c r="CG44" t="s">
        <v>64</v>
      </c>
      <c r="CH44" t="s">
        <v>56</v>
      </c>
      <c r="CK44">
        <v>0</v>
      </c>
      <c r="CL44">
        <v>0</v>
      </c>
      <c r="CN44" t="s">
        <v>64</v>
      </c>
      <c r="CO44" t="s">
        <v>56</v>
      </c>
      <c r="CR44">
        <v>0</v>
      </c>
      <c r="CS44">
        <v>0</v>
      </c>
      <c r="CU44" t="s">
        <v>64</v>
      </c>
      <c r="CV44" t="s">
        <v>56</v>
      </c>
      <c r="CY44">
        <v>0</v>
      </c>
      <c r="CZ44">
        <v>0</v>
      </c>
      <c r="DB44" t="s">
        <v>64</v>
      </c>
      <c r="DC44" t="s">
        <v>56</v>
      </c>
      <c r="DF44">
        <v>0</v>
      </c>
      <c r="DG44">
        <v>0</v>
      </c>
      <c r="DI44" t="s">
        <v>64</v>
      </c>
      <c r="DJ44" t="s">
        <v>56</v>
      </c>
      <c r="DM44">
        <v>0</v>
      </c>
      <c r="DN44">
        <v>0</v>
      </c>
    </row>
    <row r="45" spans="1:118">
      <c r="A45" t="s">
        <v>65</v>
      </c>
      <c r="B45" t="s">
        <v>56</v>
      </c>
      <c r="E45">
        <v>0</v>
      </c>
      <c r="F45">
        <v>18</v>
      </c>
      <c r="H45" t="s">
        <v>65</v>
      </c>
      <c r="I45" t="s">
        <v>56</v>
      </c>
      <c r="L45">
        <v>0</v>
      </c>
      <c r="M45">
        <v>0</v>
      </c>
      <c r="O45" t="s">
        <v>65</v>
      </c>
      <c r="P45" t="s">
        <v>56</v>
      </c>
      <c r="S45">
        <v>0</v>
      </c>
      <c r="T45">
        <v>0</v>
      </c>
      <c r="V45" t="s">
        <v>65</v>
      </c>
      <c r="W45" t="s">
        <v>56</v>
      </c>
      <c r="Z45">
        <v>1</v>
      </c>
      <c r="AA45">
        <v>0</v>
      </c>
      <c r="AC45" t="s">
        <v>65</v>
      </c>
      <c r="AD45" t="s">
        <v>56</v>
      </c>
      <c r="AG45">
        <v>0</v>
      </c>
      <c r="AH45">
        <v>0</v>
      </c>
      <c r="AJ45" t="s">
        <v>65</v>
      </c>
      <c r="AK45" t="s">
        <v>56</v>
      </c>
      <c r="AN45">
        <v>0</v>
      </c>
      <c r="AO45">
        <v>0</v>
      </c>
      <c r="AQ45" t="s">
        <v>65</v>
      </c>
      <c r="AR45" t="s">
        <v>56</v>
      </c>
      <c r="AU45">
        <v>0</v>
      </c>
      <c r="AV45">
        <v>0</v>
      </c>
      <c r="AX45" t="s">
        <v>65</v>
      </c>
      <c r="AY45" t="s">
        <v>56</v>
      </c>
      <c r="BB45">
        <v>0</v>
      </c>
      <c r="BC45">
        <v>0</v>
      </c>
      <c r="BE45" t="s">
        <v>65</v>
      </c>
      <c r="BF45" t="s">
        <v>56</v>
      </c>
      <c r="BI45">
        <v>0</v>
      </c>
      <c r="BJ45">
        <v>0</v>
      </c>
      <c r="BL45" t="s">
        <v>65</v>
      </c>
      <c r="BM45" t="s">
        <v>56</v>
      </c>
      <c r="BP45">
        <v>0</v>
      </c>
      <c r="BQ45">
        <v>0</v>
      </c>
      <c r="BS45" t="s">
        <v>65</v>
      </c>
      <c r="BT45" t="s">
        <v>56</v>
      </c>
      <c r="BW45">
        <v>0</v>
      </c>
      <c r="BX45">
        <v>0</v>
      </c>
      <c r="BZ45" t="s">
        <v>65</v>
      </c>
      <c r="CA45" t="s">
        <v>56</v>
      </c>
      <c r="CD45">
        <v>0</v>
      </c>
      <c r="CE45">
        <v>0</v>
      </c>
      <c r="CG45" t="s">
        <v>65</v>
      </c>
      <c r="CH45" t="s">
        <v>56</v>
      </c>
      <c r="CK45">
        <v>0</v>
      </c>
      <c r="CL45">
        <v>0</v>
      </c>
      <c r="CN45" t="s">
        <v>65</v>
      </c>
      <c r="CO45" t="s">
        <v>56</v>
      </c>
      <c r="CR45">
        <v>0</v>
      </c>
      <c r="CS45">
        <v>0</v>
      </c>
      <c r="CU45" t="s">
        <v>65</v>
      </c>
      <c r="CV45" t="s">
        <v>56</v>
      </c>
      <c r="CY45">
        <v>0</v>
      </c>
      <c r="CZ45">
        <v>0</v>
      </c>
      <c r="DB45" t="s">
        <v>65</v>
      </c>
      <c r="DC45" t="s">
        <v>56</v>
      </c>
      <c r="DF45">
        <v>0</v>
      </c>
      <c r="DG45">
        <v>0</v>
      </c>
      <c r="DI45" t="s">
        <v>65</v>
      </c>
      <c r="DJ45" t="s">
        <v>56</v>
      </c>
      <c r="DM45">
        <v>0</v>
      </c>
      <c r="DN45">
        <v>0</v>
      </c>
    </row>
    <row r="46" spans="1:118">
      <c r="A46" t="s">
        <v>66</v>
      </c>
      <c r="B46" t="s">
        <v>56</v>
      </c>
      <c r="E46">
        <v>0</v>
      </c>
      <c r="F46">
        <v>10</v>
      </c>
      <c r="H46" t="s">
        <v>66</v>
      </c>
      <c r="I46" t="s">
        <v>56</v>
      </c>
      <c r="L46">
        <v>0</v>
      </c>
      <c r="M46">
        <v>0</v>
      </c>
      <c r="O46" t="s">
        <v>66</v>
      </c>
      <c r="P46" t="s">
        <v>56</v>
      </c>
      <c r="S46">
        <v>0</v>
      </c>
      <c r="T46">
        <v>1</v>
      </c>
      <c r="V46" t="s">
        <v>66</v>
      </c>
      <c r="W46" t="s">
        <v>56</v>
      </c>
      <c r="Z46">
        <v>0</v>
      </c>
      <c r="AA46">
        <v>0</v>
      </c>
      <c r="AC46" t="s">
        <v>66</v>
      </c>
      <c r="AD46" t="s">
        <v>56</v>
      </c>
      <c r="AG46">
        <v>0</v>
      </c>
      <c r="AH46">
        <v>0</v>
      </c>
      <c r="AJ46" t="s">
        <v>66</v>
      </c>
      <c r="AK46" t="s">
        <v>56</v>
      </c>
      <c r="AN46">
        <v>0</v>
      </c>
      <c r="AO46">
        <v>0</v>
      </c>
      <c r="AQ46" t="s">
        <v>66</v>
      </c>
      <c r="AR46" t="s">
        <v>56</v>
      </c>
      <c r="AU46">
        <v>0</v>
      </c>
      <c r="AV46">
        <v>0</v>
      </c>
      <c r="AX46" t="s">
        <v>66</v>
      </c>
      <c r="AY46" t="s">
        <v>56</v>
      </c>
      <c r="BB46">
        <v>0</v>
      </c>
      <c r="BC46">
        <v>0</v>
      </c>
      <c r="BE46" t="s">
        <v>66</v>
      </c>
      <c r="BF46" t="s">
        <v>56</v>
      </c>
      <c r="BI46">
        <v>1</v>
      </c>
      <c r="BJ46">
        <v>0</v>
      </c>
      <c r="BL46" t="s">
        <v>66</v>
      </c>
      <c r="BM46" t="s">
        <v>56</v>
      </c>
      <c r="BP46">
        <v>0</v>
      </c>
      <c r="BQ46">
        <v>0</v>
      </c>
      <c r="BS46" t="s">
        <v>66</v>
      </c>
      <c r="BT46" t="s">
        <v>56</v>
      </c>
      <c r="BW46">
        <v>0</v>
      </c>
      <c r="BX46">
        <v>0</v>
      </c>
      <c r="BZ46" t="s">
        <v>66</v>
      </c>
      <c r="CA46" t="s">
        <v>56</v>
      </c>
      <c r="CD46">
        <v>0</v>
      </c>
      <c r="CE46">
        <v>0</v>
      </c>
      <c r="CG46" t="s">
        <v>66</v>
      </c>
      <c r="CH46" t="s">
        <v>56</v>
      </c>
      <c r="CK46">
        <v>0</v>
      </c>
      <c r="CL46">
        <v>0</v>
      </c>
      <c r="CN46" t="s">
        <v>66</v>
      </c>
      <c r="CO46" t="s">
        <v>56</v>
      </c>
      <c r="CR46">
        <v>0</v>
      </c>
      <c r="CS46">
        <v>0</v>
      </c>
      <c r="CU46" t="s">
        <v>66</v>
      </c>
      <c r="CV46" t="s">
        <v>56</v>
      </c>
      <c r="CY46">
        <v>0</v>
      </c>
      <c r="CZ46">
        <v>0</v>
      </c>
      <c r="DB46" t="s">
        <v>66</v>
      </c>
      <c r="DC46" t="s">
        <v>56</v>
      </c>
      <c r="DF46">
        <v>0</v>
      </c>
      <c r="DG46">
        <v>0</v>
      </c>
      <c r="DI46" t="s">
        <v>66</v>
      </c>
      <c r="DJ46" t="s">
        <v>56</v>
      </c>
      <c r="DM46">
        <v>0</v>
      </c>
      <c r="DN46">
        <v>0</v>
      </c>
    </row>
    <row r="47" spans="1:118">
      <c r="A47" t="s">
        <v>38</v>
      </c>
      <c r="E47">
        <f>E37+E38+E39+E40+E41+E42+E43+E44+E45+E46</f>
        <v>16</v>
      </c>
      <c r="F47">
        <f>F37+F38+F39+F40+F41+F42+F43+F44+F45+F46</f>
        <v>114</v>
      </c>
      <c r="H47" t="s">
        <v>38</v>
      </c>
      <c r="L47">
        <f>L37+L38+L39+L40+L41+L42+L43+L44+L45+L46</f>
        <v>3</v>
      </c>
      <c r="M47">
        <f>M37+M38+M39+M40+M41+M42+M43+M44+M45+M46</f>
        <v>8</v>
      </c>
      <c r="O47" t="s">
        <v>38</v>
      </c>
      <c r="S47">
        <f>S37+S38+S39+S40+S41+S42+S43+S44+S45+S46</f>
        <v>6</v>
      </c>
      <c r="T47">
        <f>T37+T38+T39+T40+T41+T42+T43+T44+T45+T46</f>
        <v>4</v>
      </c>
      <c r="V47" t="s">
        <v>38</v>
      </c>
      <c r="Z47">
        <f>Z37+Z38+Z39+Z40+Z41+Z42+Z43+Z44+Z45+Z46</f>
        <v>8</v>
      </c>
      <c r="AA47">
        <f>AA37+AA38+AA39+AA40+AA41+AA42+AA43+AA44+AA45+AA46</f>
        <v>3</v>
      </c>
      <c r="AC47" t="s">
        <v>38</v>
      </c>
      <c r="AG47">
        <f>AG37+AG38+AG39+AG40+AG41+AG42+AG43+AG44+AG45+AG46</f>
        <v>0</v>
      </c>
      <c r="AH47">
        <f>AH37+AH38+AH39+AH40+AH41+AH42+AH43+AH44+AH45+AH46</f>
        <v>8</v>
      </c>
      <c r="AJ47" t="s">
        <v>38</v>
      </c>
      <c r="AN47">
        <f>AN37+AN38+AN39+AN40+AN41+AN42+AN43+AN44+AN45+AN46</f>
        <v>4</v>
      </c>
      <c r="AO47">
        <f>AO37+AO38+AO39+AO40+AO41+AO42+AO43+AO44+AO45+AO46</f>
        <v>0</v>
      </c>
      <c r="AQ47" t="s">
        <v>38</v>
      </c>
      <c r="AU47">
        <f>AU37+AU38+AU39+AU40+AU41+AU42+AU43+AU44+AU45+AU46</f>
        <v>1</v>
      </c>
      <c r="AV47">
        <f>AV37+AV38+AV39+AV40+AV41+AV42+AV43+AV44+AV45+AV46</f>
        <v>0</v>
      </c>
      <c r="AX47" t="s">
        <v>38</v>
      </c>
      <c r="BB47">
        <f>BB37+BB38+BB39+BB40+BB41+BB42+BB43+BB44+BB45+BB46</f>
        <v>0</v>
      </c>
      <c r="BC47">
        <f>BC37+BC38+BC39+BC40+BC41+BC42+BC43+BC44+BC45+BC46</f>
        <v>0</v>
      </c>
      <c r="BE47" t="s">
        <v>38</v>
      </c>
      <c r="BI47">
        <f>BI37+BI38+BI39+BI40+BI41+BI42+BI43+BI44+BI45+BI46</f>
        <v>3</v>
      </c>
      <c r="BJ47">
        <f>BJ37+BJ38+BJ39+BJ40+BJ41+BJ42+BJ43+BJ44+BJ45+BJ46</f>
        <v>0</v>
      </c>
      <c r="BL47" t="s">
        <v>38</v>
      </c>
      <c r="BP47">
        <f>BP37+BP38+BP39+BP40+BP41+BP42+BP43+BP44+BP45+BP46</f>
        <v>0</v>
      </c>
      <c r="BQ47">
        <f>BQ37+BQ38+BQ39+BQ40+BQ41+BQ42+BQ43+BQ44+BQ45+BQ46</f>
        <v>4</v>
      </c>
      <c r="BS47" t="s">
        <v>38</v>
      </c>
      <c r="BW47">
        <f>BW37+BW38+BW39+BW40+BW41+BW42+BW43+BW44+BW45+BW46</f>
        <v>1</v>
      </c>
      <c r="BX47">
        <f>BX37+BX38+BX39+BX40+BX41+BX42+BX43+BX44+BX45+BX46</f>
        <v>0</v>
      </c>
      <c r="BZ47" t="s">
        <v>38</v>
      </c>
      <c r="CD47">
        <f>CD37+CD38+CD39+CD40+CD41+CD42+CD43+CD44+CD45+CD46</f>
        <v>0</v>
      </c>
      <c r="CE47">
        <f>CE37+CE38+CE39+CE40+CE41+CE42+CE43+CE44+CE45+CE46</f>
        <v>0</v>
      </c>
      <c r="CG47" t="s">
        <v>38</v>
      </c>
      <c r="CK47">
        <f>CK37+CK38+CK39+CK40+CK41+CK42+CK43+CK44+CK45+CK46</f>
        <v>0</v>
      </c>
      <c r="CL47">
        <f>CL37+CL38+CL39+CL40+CL41+CL42+CL43+CL44+CL45+CL46</f>
        <v>0</v>
      </c>
      <c r="CN47" t="s">
        <v>38</v>
      </c>
      <c r="CR47">
        <f>CR37+CR38+CR39+CR40+CR41+CR42+CR43+CR44+CR45+CR46</f>
        <v>0</v>
      </c>
      <c r="CS47">
        <f>CS37+CS38+CS39+CS40+CS41+CS42+CS43+CS44+CS45+CS46</f>
        <v>0</v>
      </c>
      <c r="CU47" t="s">
        <v>38</v>
      </c>
      <c r="CY47">
        <f>CY37+CY38+CY39+CY40+CY41+CY42+CY43+CY44+CY45+CY46</f>
        <v>0</v>
      </c>
      <c r="CZ47">
        <f>CZ37+CZ38+CZ39+CZ40+CZ41+CZ42+CZ43+CZ44+CZ45+CZ46</f>
        <v>0</v>
      </c>
      <c r="DB47" t="s">
        <v>38</v>
      </c>
      <c r="DF47">
        <f>DF37+DF38+DF39+DF40+DF41+DF42+DF43+DF44+DF45+DF46</f>
        <v>0</v>
      </c>
      <c r="DG47">
        <f>DG37+DG38+DG39+DG40+DG41+DG42+DG43+DG44+DG45+DG46</f>
        <v>0</v>
      </c>
      <c r="DI47" t="s">
        <v>38</v>
      </c>
      <c r="DM47">
        <f>DM37+DM38+DM39+DM40+DM41+DM42+DM43+DM44+DM45+DM46</f>
        <v>0</v>
      </c>
      <c r="DN47">
        <f>DN37+DN38+DN39+DN40+DN41+DN42+DN43+DN44+DN45+DN46</f>
        <v>0</v>
      </c>
    </row>
    <row r="48" spans="1:118" ht="18">
      <c r="A48" t="s">
        <v>39</v>
      </c>
      <c r="E48">
        <f>E47*10</f>
        <v>160</v>
      </c>
      <c r="F48" s="5">
        <f>F47*10</f>
        <v>1140</v>
      </c>
      <c r="H48" t="s">
        <v>39</v>
      </c>
      <c r="L48">
        <f>L47*10</f>
        <v>30</v>
      </c>
      <c r="M48" s="5">
        <f>M47*10</f>
        <v>80</v>
      </c>
      <c r="O48" t="s">
        <v>39</v>
      </c>
      <c r="S48">
        <f>S47*10</f>
        <v>60</v>
      </c>
      <c r="T48" s="5">
        <f>T47*10</f>
        <v>40</v>
      </c>
      <c r="V48" t="s">
        <v>39</v>
      </c>
      <c r="Z48">
        <f>Z47*10</f>
        <v>80</v>
      </c>
      <c r="AA48" s="5">
        <f>AA47*10</f>
        <v>30</v>
      </c>
      <c r="AC48" t="s">
        <v>39</v>
      </c>
      <c r="AG48">
        <f>AG47*10</f>
        <v>0</v>
      </c>
      <c r="AH48" s="5">
        <f>AH47*10</f>
        <v>80</v>
      </c>
      <c r="AJ48" t="s">
        <v>39</v>
      </c>
      <c r="AN48">
        <f>AN47*10</f>
        <v>40</v>
      </c>
      <c r="AO48" s="5">
        <f>AO47*10</f>
        <v>0</v>
      </c>
      <c r="AQ48" t="s">
        <v>39</v>
      </c>
      <c r="AU48">
        <f>AU47*10</f>
        <v>10</v>
      </c>
      <c r="AV48" s="5">
        <f>AV47*10</f>
        <v>0</v>
      </c>
      <c r="AX48" t="s">
        <v>39</v>
      </c>
      <c r="BB48">
        <f>BB47*10</f>
        <v>0</v>
      </c>
      <c r="BC48" s="5">
        <f>BC47*10</f>
        <v>0</v>
      </c>
      <c r="BE48" t="s">
        <v>39</v>
      </c>
      <c r="BI48">
        <f>BI47*10</f>
        <v>30</v>
      </c>
      <c r="BJ48" s="5">
        <f>BJ47*10</f>
        <v>0</v>
      </c>
      <c r="BL48" t="s">
        <v>39</v>
      </c>
      <c r="BP48">
        <f>BP47*10</f>
        <v>0</v>
      </c>
      <c r="BQ48" s="5">
        <f>BQ47*10</f>
        <v>40</v>
      </c>
      <c r="BS48" t="s">
        <v>39</v>
      </c>
      <c r="BW48">
        <f>BW47*10</f>
        <v>10</v>
      </c>
      <c r="BX48" s="5">
        <f>BX47*10</f>
        <v>0</v>
      </c>
      <c r="BZ48" t="s">
        <v>39</v>
      </c>
      <c r="CD48">
        <f>CD47*10</f>
        <v>0</v>
      </c>
      <c r="CE48" s="5">
        <f>CE47*10</f>
        <v>0</v>
      </c>
      <c r="CG48" t="s">
        <v>39</v>
      </c>
      <c r="CK48">
        <f>CK47*10</f>
        <v>0</v>
      </c>
      <c r="CL48" s="5">
        <f>CL47*10</f>
        <v>0</v>
      </c>
      <c r="CN48" t="s">
        <v>39</v>
      </c>
      <c r="CR48">
        <f>CR47*10</f>
        <v>0</v>
      </c>
      <c r="CS48" s="5">
        <f>CS47*10</f>
        <v>0</v>
      </c>
      <c r="CU48" t="s">
        <v>39</v>
      </c>
      <c r="CY48">
        <f>CY47*10</f>
        <v>0</v>
      </c>
      <c r="CZ48" s="5">
        <f>CZ47*10</f>
        <v>0</v>
      </c>
      <c r="DB48" t="s">
        <v>39</v>
      </c>
      <c r="DF48">
        <f>DF47*10</f>
        <v>0</v>
      </c>
      <c r="DG48" s="5">
        <f>DG47*10</f>
        <v>0</v>
      </c>
      <c r="DI48" t="s">
        <v>39</v>
      </c>
      <c r="DM48">
        <f>DM47*10</f>
        <v>0</v>
      </c>
      <c r="DN48" s="5">
        <f>DN47*10</f>
        <v>0</v>
      </c>
    </row>
    <row r="49" spans="1:118">
      <c r="A49" t="s">
        <v>40</v>
      </c>
      <c r="E49">
        <f>AVERAGE(E37:E46)</f>
        <v>1.6</v>
      </c>
      <c r="F49">
        <f>AVERAGE(F37:F46)</f>
        <v>11.4</v>
      </c>
      <c r="H49" t="s">
        <v>40</v>
      </c>
      <c r="L49">
        <f>AVERAGE(L37:L46)</f>
        <v>0.3</v>
      </c>
      <c r="M49">
        <f>AVERAGE(M37:M46)</f>
        <v>0.8</v>
      </c>
      <c r="O49" t="s">
        <v>40</v>
      </c>
      <c r="S49">
        <f>AVERAGE(S37:S46)</f>
        <v>0.66666666666666663</v>
      </c>
      <c r="T49">
        <f>AVERAGE(T37:T46)</f>
        <v>0.4</v>
      </c>
      <c r="V49" t="s">
        <v>40</v>
      </c>
      <c r="Z49">
        <f>AVERAGE(Z37:Z46)</f>
        <v>0.8</v>
      </c>
      <c r="AA49">
        <f>AVERAGE(AA37:AA46)</f>
        <v>0.3</v>
      </c>
      <c r="AC49" t="s">
        <v>40</v>
      </c>
      <c r="AG49">
        <f>AVERAGE(AG37:AG46)</f>
        <v>0</v>
      </c>
      <c r="AH49">
        <f>AVERAGE(AH37:AH46)</f>
        <v>0.8</v>
      </c>
      <c r="AJ49" t="s">
        <v>40</v>
      </c>
      <c r="AN49">
        <f>AVERAGE(AN37:AN46)</f>
        <v>0.4</v>
      </c>
      <c r="AO49">
        <f>AVERAGE(AO37:AO46)</f>
        <v>0</v>
      </c>
      <c r="AQ49" t="s">
        <v>40</v>
      </c>
      <c r="AU49">
        <f>(AU46/1)*100</f>
        <v>0</v>
      </c>
      <c r="AV49">
        <f>(AV46/1)*100</f>
        <v>0</v>
      </c>
      <c r="AX49" t="s">
        <v>40</v>
      </c>
      <c r="BB49">
        <f>AVERAGE(BB37:BB46)</f>
        <v>0</v>
      </c>
      <c r="BC49">
        <f>AVERAGE(BC37:BC46)</f>
        <v>0</v>
      </c>
      <c r="BE49" t="s">
        <v>40</v>
      </c>
      <c r="BI49">
        <f>AVERAGE(BI37:BI46)</f>
        <v>0.3</v>
      </c>
      <c r="BJ49">
        <f>AVERAGE(BJ37:BJ46)</f>
        <v>0</v>
      </c>
      <c r="BL49" t="s">
        <v>40</v>
      </c>
      <c r="BP49">
        <f>AVERAGE(BP37:BP46)</f>
        <v>0</v>
      </c>
      <c r="BQ49">
        <f>AVERAGE(BQ37:BQ46)</f>
        <v>0.4</v>
      </c>
      <c r="BS49" t="s">
        <v>40</v>
      </c>
      <c r="BW49">
        <f>AVERAGE(BW37:BW46)</f>
        <v>0.1</v>
      </c>
      <c r="BX49">
        <f>AVERAGE(BX37:BX46)</f>
        <v>0</v>
      </c>
      <c r="BZ49" t="s">
        <v>40</v>
      </c>
      <c r="CD49">
        <f>AVERAGE(CD37:CD46)</f>
        <v>0</v>
      </c>
      <c r="CE49">
        <f>AVERAGE(CE37:CE46)</f>
        <v>0</v>
      </c>
      <c r="CG49" t="s">
        <v>40</v>
      </c>
      <c r="CK49">
        <f>AVERAGE(CK37:CK46)</f>
        <v>0</v>
      </c>
      <c r="CL49">
        <f>AVERAGE(CL37:CL46)</f>
        <v>0</v>
      </c>
      <c r="CN49" t="s">
        <v>40</v>
      </c>
      <c r="CR49">
        <f>AVERAGE(CR37:CR46)</f>
        <v>0</v>
      </c>
      <c r="CS49">
        <f>AVERAGE(CS37:CS46)</f>
        <v>0</v>
      </c>
      <c r="CU49" t="s">
        <v>40</v>
      </c>
      <c r="CY49">
        <f>AVERAGE(CY37:CY46)</f>
        <v>0</v>
      </c>
      <c r="CZ49">
        <f>AVERAGE(CZ37:CZ46)</f>
        <v>0</v>
      </c>
      <c r="DB49" t="s">
        <v>40</v>
      </c>
      <c r="DF49">
        <f>AVERAGE(DF37:DF46)</f>
        <v>0</v>
      </c>
      <c r="DG49">
        <f>AVERAGE(DG37:DG46)</f>
        <v>0</v>
      </c>
      <c r="DI49" t="s">
        <v>40</v>
      </c>
      <c r="DM49">
        <f>AVERAGE(DM37:DM46)</f>
        <v>0</v>
      </c>
      <c r="DN49">
        <f>AVERAGE(DN37:DN46)</f>
        <v>0</v>
      </c>
    </row>
    <row r="50" spans="1:118">
      <c r="A50" t="s">
        <v>41</v>
      </c>
      <c r="E50">
        <f>(E49/3)*100</f>
        <v>53.333333333333336</v>
      </c>
      <c r="F50">
        <f>(F49/3)*100</f>
        <v>380</v>
      </c>
      <c r="H50" t="s">
        <v>41</v>
      </c>
      <c r="L50">
        <f>(L49/1)*100</f>
        <v>30</v>
      </c>
      <c r="M50">
        <f>(M49/1)*100</f>
        <v>80</v>
      </c>
      <c r="O50" t="s">
        <v>41</v>
      </c>
      <c r="S50">
        <f>(S49/1)*100</f>
        <v>66.666666666666657</v>
      </c>
      <c r="T50">
        <f>(T49/1)*100</f>
        <v>40</v>
      </c>
      <c r="V50" t="s">
        <v>41</v>
      </c>
      <c r="Z50">
        <f>(Z49/1)*100</f>
        <v>80</v>
      </c>
      <c r="AA50">
        <f>(AA49/1)*100</f>
        <v>30</v>
      </c>
      <c r="AC50" t="s">
        <v>41</v>
      </c>
      <c r="AG50">
        <f>(AG49/2)*100</f>
        <v>0</v>
      </c>
      <c r="AH50">
        <f>(AH49/2)*100</f>
        <v>40</v>
      </c>
      <c r="AJ50" t="s">
        <v>41</v>
      </c>
      <c r="AN50">
        <f>(AN49/1)*100</f>
        <v>40</v>
      </c>
      <c r="AO50">
        <f>(AO49/1)*100</f>
        <v>0</v>
      </c>
      <c r="AQ50" t="s">
        <v>41</v>
      </c>
      <c r="AX50" t="s">
        <v>41</v>
      </c>
      <c r="BB50">
        <f>(BB49/1)*100</f>
        <v>0</v>
      </c>
      <c r="BC50">
        <f>(BC49/1)*100</f>
        <v>0</v>
      </c>
      <c r="BE50" t="s">
        <v>41</v>
      </c>
      <c r="BI50">
        <f>(BI49/1)*100</f>
        <v>30</v>
      </c>
      <c r="BJ50">
        <f>(BJ49/1)*100</f>
        <v>0</v>
      </c>
      <c r="BL50" t="s">
        <v>41</v>
      </c>
      <c r="BP50">
        <f>(BP49/4)*100</f>
        <v>0</v>
      </c>
      <c r="BQ50">
        <f>(BQ49/4)*100</f>
        <v>10</v>
      </c>
      <c r="BS50" t="s">
        <v>41</v>
      </c>
      <c r="BW50">
        <f>(BW49/4)*100</f>
        <v>2.5</v>
      </c>
      <c r="BX50">
        <f>(BX49/4)*100</f>
        <v>0</v>
      </c>
      <c r="BZ50" t="s">
        <v>41</v>
      </c>
      <c r="CD50">
        <f>(CD49/3)*100</f>
        <v>0</v>
      </c>
      <c r="CE50">
        <f>(CE49/3)*100</f>
        <v>0</v>
      </c>
      <c r="CG50" t="s">
        <v>41</v>
      </c>
      <c r="CK50">
        <f>(CK49/3)*100</f>
        <v>0</v>
      </c>
      <c r="CL50">
        <f>(CL49/3)*100</f>
        <v>0</v>
      </c>
      <c r="CN50" t="s">
        <v>41</v>
      </c>
      <c r="CR50">
        <f>(CR49/3)*100</f>
        <v>0</v>
      </c>
      <c r="CS50">
        <f>(CS49/3)*100</f>
        <v>0</v>
      </c>
      <c r="CU50" t="s">
        <v>41</v>
      </c>
      <c r="CY50">
        <v>0</v>
      </c>
      <c r="CZ50">
        <f>SUM(CZ49,)/4*100</f>
        <v>0</v>
      </c>
      <c r="DB50" t="s">
        <v>41</v>
      </c>
      <c r="DF50">
        <v>0</v>
      </c>
      <c r="DG50">
        <f>SUM(DG49,)/4*100</f>
        <v>0</v>
      </c>
      <c r="DI50" t="s">
        <v>41</v>
      </c>
      <c r="DM50">
        <v>0</v>
      </c>
      <c r="DN50">
        <f>SUM(DN49,)/4*100</f>
        <v>0</v>
      </c>
    </row>
    <row r="53" spans="1:118">
      <c r="A53" t="s">
        <v>67</v>
      </c>
      <c r="B53" t="s">
        <v>68</v>
      </c>
      <c r="C53">
        <v>0</v>
      </c>
      <c r="D53">
        <v>0</v>
      </c>
      <c r="E53">
        <v>3</v>
      </c>
      <c r="F53">
        <v>7</v>
      </c>
      <c r="H53" t="s">
        <v>67</v>
      </c>
      <c r="I53" t="s">
        <v>68</v>
      </c>
      <c r="J53">
        <v>0</v>
      </c>
      <c r="K53">
        <v>0</v>
      </c>
      <c r="L53">
        <v>2</v>
      </c>
      <c r="M53">
        <v>0</v>
      </c>
      <c r="O53" t="s">
        <v>67</v>
      </c>
      <c r="P53" t="s">
        <v>68</v>
      </c>
      <c r="Q53">
        <v>0</v>
      </c>
      <c r="R53">
        <v>0</v>
      </c>
      <c r="S53">
        <v>2</v>
      </c>
      <c r="T53">
        <v>0</v>
      </c>
      <c r="V53" t="s">
        <v>67</v>
      </c>
      <c r="W53" t="s">
        <v>68</v>
      </c>
      <c r="X53">
        <v>0</v>
      </c>
      <c r="Y53">
        <v>0</v>
      </c>
      <c r="Z53">
        <v>0</v>
      </c>
      <c r="AA53">
        <v>0</v>
      </c>
      <c r="AC53" t="s">
        <v>67</v>
      </c>
      <c r="AD53" t="s">
        <v>68</v>
      </c>
      <c r="AE53">
        <v>0</v>
      </c>
      <c r="AF53">
        <v>0</v>
      </c>
      <c r="AG53">
        <v>0</v>
      </c>
      <c r="AH53">
        <v>0</v>
      </c>
      <c r="AJ53" t="s">
        <v>67</v>
      </c>
      <c r="AK53" t="s">
        <v>68</v>
      </c>
      <c r="AL53">
        <v>0</v>
      </c>
      <c r="AM53">
        <v>0</v>
      </c>
      <c r="AN53">
        <v>0</v>
      </c>
      <c r="AO53">
        <v>1</v>
      </c>
      <c r="AQ53" t="s">
        <v>67</v>
      </c>
      <c r="AR53" t="s">
        <v>68</v>
      </c>
      <c r="AS53">
        <v>0</v>
      </c>
      <c r="AT53">
        <v>0</v>
      </c>
      <c r="AU53">
        <v>0</v>
      </c>
      <c r="AV53">
        <v>0</v>
      </c>
      <c r="AX53" t="s">
        <v>67</v>
      </c>
      <c r="AY53" t="s">
        <v>68</v>
      </c>
      <c r="AZ53">
        <v>0</v>
      </c>
      <c r="BA53">
        <v>0</v>
      </c>
      <c r="BB53">
        <v>0</v>
      </c>
      <c r="BC53">
        <v>0</v>
      </c>
      <c r="BE53" t="s">
        <v>67</v>
      </c>
      <c r="BF53" t="s">
        <v>68</v>
      </c>
      <c r="BG53">
        <v>0</v>
      </c>
      <c r="BH53">
        <v>0</v>
      </c>
      <c r="BI53">
        <v>0</v>
      </c>
      <c r="BJ53">
        <v>0</v>
      </c>
      <c r="BL53" t="s">
        <v>67</v>
      </c>
      <c r="BM53" t="s">
        <v>68</v>
      </c>
      <c r="BN53">
        <v>0</v>
      </c>
      <c r="BO53">
        <v>0</v>
      </c>
      <c r="BP53">
        <v>0</v>
      </c>
      <c r="BQ53">
        <v>0</v>
      </c>
      <c r="BS53" t="s">
        <v>67</v>
      </c>
      <c r="BT53" t="s">
        <v>68</v>
      </c>
      <c r="BU53">
        <v>0</v>
      </c>
      <c r="BV53">
        <v>0</v>
      </c>
      <c r="BW53">
        <v>0</v>
      </c>
      <c r="BX53">
        <v>0</v>
      </c>
      <c r="BZ53" t="s">
        <v>67</v>
      </c>
      <c r="CA53" t="s">
        <v>68</v>
      </c>
      <c r="CB53">
        <v>0</v>
      </c>
      <c r="CC53">
        <v>0</v>
      </c>
      <c r="CD53">
        <v>0</v>
      </c>
      <c r="CE53">
        <v>0</v>
      </c>
      <c r="CG53" t="s">
        <v>67</v>
      </c>
      <c r="CH53" t="s">
        <v>68</v>
      </c>
      <c r="CI53">
        <v>0</v>
      </c>
      <c r="CJ53">
        <v>0</v>
      </c>
      <c r="CK53">
        <v>0</v>
      </c>
      <c r="CL53">
        <v>0</v>
      </c>
      <c r="CN53" t="s">
        <v>67</v>
      </c>
      <c r="CO53" t="s">
        <v>68</v>
      </c>
      <c r="CP53">
        <v>0</v>
      </c>
      <c r="CQ53">
        <v>0</v>
      </c>
      <c r="CR53">
        <v>0</v>
      </c>
      <c r="CS53">
        <v>0</v>
      </c>
      <c r="CU53" t="s">
        <v>67</v>
      </c>
      <c r="CV53" t="s">
        <v>68</v>
      </c>
      <c r="CW53">
        <v>0</v>
      </c>
      <c r="CX53">
        <v>0</v>
      </c>
      <c r="CY53">
        <v>0</v>
      </c>
      <c r="CZ53">
        <v>0</v>
      </c>
      <c r="DB53" t="s">
        <v>67</v>
      </c>
      <c r="DC53" t="s">
        <v>68</v>
      </c>
      <c r="DD53">
        <v>0</v>
      </c>
      <c r="DE53">
        <v>0</v>
      </c>
      <c r="DF53">
        <v>0</v>
      </c>
      <c r="DG53">
        <v>0</v>
      </c>
      <c r="DI53" t="s">
        <v>67</v>
      </c>
      <c r="DJ53" t="s">
        <v>68</v>
      </c>
      <c r="DK53">
        <v>0</v>
      </c>
      <c r="DL53">
        <v>0</v>
      </c>
      <c r="DM53">
        <v>0</v>
      </c>
      <c r="DN53">
        <v>0</v>
      </c>
    </row>
    <row r="54" spans="1:118">
      <c r="A54" t="s">
        <v>69</v>
      </c>
      <c r="B54" t="s">
        <v>68</v>
      </c>
      <c r="C54">
        <v>0</v>
      </c>
      <c r="D54">
        <v>0</v>
      </c>
      <c r="E54">
        <v>3</v>
      </c>
      <c r="F54">
        <v>7</v>
      </c>
      <c r="H54" t="s">
        <v>69</v>
      </c>
      <c r="I54" t="s">
        <v>68</v>
      </c>
      <c r="J54">
        <v>0</v>
      </c>
      <c r="K54">
        <v>0</v>
      </c>
      <c r="L54">
        <v>0</v>
      </c>
      <c r="M54">
        <v>1</v>
      </c>
      <c r="O54" t="s">
        <v>69</v>
      </c>
      <c r="P54" t="s">
        <v>68</v>
      </c>
      <c r="Q54">
        <v>0</v>
      </c>
      <c r="R54">
        <v>0</v>
      </c>
      <c r="S54">
        <v>0</v>
      </c>
      <c r="T54">
        <v>0</v>
      </c>
      <c r="V54" t="s">
        <v>69</v>
      </c>
      <c r="W54" t="s">
        <v>68</v>
      </c>
      <c r="X54">
        <v>0</v>
      </c>
      <c r="Y54">
        <v>0</v>
      </c>
      <c r="Z54">
        <v>0</v>
      </c>
      <c r="AA54">
        <v>0</v>
      </c>
      <c r="AC54" t="s">
        <v>69</v>
      </c>
      <c r="AD54" t="s">
        <v>68</v>
      </c>
      <c r="AE54">
        <v>0</v>
      </c>
      <c r="AF54">
        <v>0</v>
      </c>
      <c r="AG54">
        <v>0</v>
      </c>
      <c r="AH54">
        <v>0</v>
      </c>
      <c r="AJ54" t="s">
        <v>69</v>
      </c>
      <c r="AK54" t="s">
        <v>68</v>
      </c>
      <c r="AL54">
        <v>0</v>
      </c>
      <c r="AM54">
        <v>0</v>
      </c>
      <c r="AN54">
        <v>0</v>
      </c>
      <c r="AO54">
        <v>0</v>
      </c>
      <c r="AQ54" t="s">
        <v>69</v>
      </c>
      <c r="AR54" t="s">
        <v>68</v>
      </c>
      <c r="AS54">
        <v>0</v>
      </c>
      <c r="AT54">
        <v>0</v>
      </c>
      <c r="AU54">
        <v>0</v>
      </c>
      <c r="AV54">
        <v>0</v>
      </c>
      <c r="AX54" t="s">
        <v>69</v>
      </c>
      <c r="AY54" t="s">
        <v>68</v>
      </c>
      <c r="AZ54">
        <v>0</v>
      </c>
      <c r="BA54">
        <v>0</v>
      </c>
      <c r="BB54">
        <v>0</v>
      </c>
      <c r="BC54">
        <v>0</v>
      </c>
      <c r="BE54" t="s">
        <v>69</v>
      </c>
      <c r="BF54" t="s">
        <v>68</v>
      </c>
      <c r="BG54">
        <v>0</v>
      </c>
      <c r="BH54">
        <v>0</v>
      </c>
      <c r="BI54">
        <v>0</v>
      </c>
      <c r="BJ54">
        <v>0</v>
      </c>
      <c r="BL54" t="s">
        <v>69</v>
      </c>
      <c r="BM54" t="s">
        <v>68</v>
      </c>
      <c r="BN54">
        <v>0</v>
      </c>
      <c r="BO54">
        <v>0</v>
      </c>
      <c r="BP54">
        <v>0</v>
      </c>
      <c r="BQ54">
        <v>0</v>
      </c>
      <c r="BS54" t="s">
        <v>69</v>
      </c>
      <c r="BT54" t="s">
        <v>68</v>
      </c>
      <c r="BU54">
        <v>0</v>
      </c>
      <c r="BV54">
        <v>0</v>
      </c>
      <c r="BW54">
        <v>0</v>
      </c>
      <c r="BX54">
        <v>0</v>
      </c>
      <c r="BZ54" t="s">
        <v>69</v>
      </c>
      <c r="CA54" t="s">
        <v>68</v>
      </c>
      <c r="CB54">
        <v>0</v>
      </c>
      <c r="CC54">
        <v>0</v>
      </c>
      <c r="CD54">
        <v>0</v>
      </c>
      <c r="CE54">
        <v>0</v>
      </c>
      <c r="CG54" t="s">
        <v>69</v>
      </c>
      <c r="CH54" t="s">
        <v>68</v>
      </c>
      <c r="CI54">
        <v>0</v>
      </c>
      <c r="CJ54">
        <v>0</v>
      </c>
      <c r="CK54">
        <v>0</v>
      </c>
      <c r="CL54">
        <v>0</v>
      </c>
      <c r="CN54" t="s">
        <v>69</v>
      </c>
      <c r="CO54" t="s">
        <v>68</v>
      </c>
      <c r="CP54">
        <v>0</v>
      </c>
      <c r="CQ54">
        <v>0</v>
      </c>
      <c r="CR54">
        <v>0</v>
      </c>
      <c r="CS54">
        <v>0</v>
      </c>
      <c r="CU54" t="s">
        <v>69</v>
      </c>
      <c r="CV54" t="s">
        <v>68</v>
      </c>
      <c r="CW54">
        <v>0</v>
      </c>
      <c r="CX54">
        <v>0</v>
      </c>
      <c r="CY54">
        <v>0</v>
      </c>
      <c r="CZ54">
        <v>0</v>
      </c>
      <c r="DB54" t="s">
        <v>69</v>
      </c>
      <c r="DC54" t="s">
        <v>68</v>
      </c>
      <c r="DD54">
        <v>0</v>
      </c>
      <c r="DE54">
        <v>0</v>
      </c>
      <c r="DF54">
        <v>0</v>
      </c>
      <c r="DG54">
        <v>0</v>
      </c>
      <c r="DI54" t="s">
        <v>69</v>
      </c>
      <c r="DJ54" t="s">
        <v>68</v>
      </c>
      <c r="DK54">
        <v>0</v>
      </c>
      <c r="DL54">
        <v>0</v>
      </c>
      <c r="DM54">
        <v>0</v>
      </c>
      <c r="DN54">
        <v>0</v>
      </c>
    </row>
    <row r="55" spans="1:118">
      <c r="A55" t="s">
        <v>70</v>
      </c>
      <c r="B55" t="s">
        <v>68</v>
      </c>
      <c r="C55">
        <v>3</v>
      </c>
      <c r="D55">
        <v>0</v>
      </c>
      <c r="E55">
        <v>2</v>
      </c>
      <c r="F55">
        <v>7</v>
      </c>
      <c r="H55" t="s">
        <v>70</v>
      </c>
      <c r="I55" t="s">
        <v>68</v>
      </c>
      <c r="J55">
        <v>1</v>
      </c>
      <c r="K55">
        <v>0</v>
      </c>
      <c r="M55">
        <v>1</v>
      </c>
      <c r="O55" t="s">
        <v>70</v>
      </c>
      <c r="P55" t="s">
        <v>68</v>
      </c>
      <c r="Q55">
        <v>2</v>
      </c>
      <c r="R55">
        <v>0</v>
      </c>
      <c r="S55">
        <v>0</v>
      </c>
      <c r="T55">
        <v>0</v>
      </c>
      <c r="V55" t="s">
        <v>70</v>
      </c>
      <c r="W55" t="s">
        <v>68</v>
      </c>
      <c r="X55">
        <v>0</v>
      </c>
      <c r="Y55">
        <v>0</v>
      </c>
      <c r="Z55">
        <v>1</v>
      </c>
      <c r="AA55">
        <v>1</v>
      </c>
      <c r="AC55" t="s">
        <v>70</v>
      </c>
      <c r="AD55" t="s">
        <v>68</v>
      </c>
      <c r="AE55">
        <v>1</v>
      </c>
      <c r="AF55">
        <v>0</v>
      </c>
      <c r="AG55">
        <v>1</v>
      </c>
      <c r="AH55">
        <v>0</v>
      </c>
      <c r="AJ55" t="s">
        <v>70</v>
      </c>
      <c r="AK55" t="s">
        <v>68</v>
      </c>
      <c r="AL55">
        <v>0</v>
      </c>
      <c r="AM55">
        <v>0</v>
      </c>
      <c r="AN55">
        <v>0</v>
      </c>
      <c r="AO55">
        <v>0</v>
      </c>
      <c r="AQ55" t="s">
        <v>70</v>
      </c>
      <c r="AR55" t="s">
        <v>68</v>
      </c>
      <c r="AS55">
        <v>1</v>
      </c>
      <c r="AT55">
        <v>0</v>
      </c>
      <c r="AU55">
        <v>0</v>
      </c>
      <c r="AV55">
        <v>0</v>
      </c>
      <c r="AX55" t="s">
        <v>70</v>
      </c>
      <c r="AY55" t="s">
        <v>68</v>
      </c>
      <c r="AZ55">
        <v>1</v>
      </c>
      <c r="BA55">
        <v>0</v>
      </c>
      <c r="BB55">
        <v>0</v>
      </c>
      <c r="BC55">
        <v>0</v>
      </c>
      <c r="BE55" t="s">
        <v>70</v>
      </c>
      <c r="BF55" t="s">
        <v>68</v>
      </c>
      <c r="BG55">
        <v>1</v>
      </c>
      <c r="BH55">
        <v>0</v>
      </c>
      <c r="BI55">
        <v>0</v>
      </c>
      <c r="BJ55">
        <v>0</v>
      </c>
      <c r="BL55" t="s">
        <v>70</v>
      </c>
      <c r="BM55" t="s">
        <v>68</v>
      </c>
      <c r="BN55">
        <v>1</v>
      </c>
      <c r="BO55">
        <v>0</v>
      </c>
      <c r="BP55">
        <v>1</v>
      </c>
      <c r="BQ55">
        <v>1</v>
      </c>
      <c r="BS55" t="s">
        <v>70</v>
      </c>
      <c r="BT55" t="s">
        <v>68</v>
      </c>
      <c r="BU55">
        <v>0</v>
      </c>
      <c r="BV55">
        <v>0</v>
      </c>
      <c r="BW55">
        <v>0</v>
      </c>
      <c r="BX55">
        <v>0</v>
      </c>
      <c r="BZ55" t="s">
        <v>70</v>
      </c>
      <c r="CA55" t="s">
        <v>68</v>
      </c>
      <c r="CB55">
        <v>0</v>
      </c>
      <c r="CC55">
        <v>0</v>
      </c>
      <c r="CD55">
        <v>0</v>
      </c>
      <c r="CE55">
        <v>0</v>
      </c>
      <c r="CG55" t="s">
        <v>70</v>
      </c>
      <c r="CH55" t="s">
        <v>68</v>
      </c>
      <c r="CI55">
        <v>0</v>
      </c>
      <c r="CJ55">
        <v>0</v>
      </c>
      <c r="CK55">
        <v>0</v>
      </c>
      <c r="CL55">
        <v>0</v>
      </c>
      <c r="CN55" t="s">
        <v>70</v>
      </c>
      <c r="CO55" t="s">
        <v>68</v>
      </c>
      <c r="CP55">
        <v>0</v>
      </c>
      <c r="CQ55">
        <v>0</v>
      </c>
      <c r="CR55">
        <v>0</v>
      </c>
      <c r="CS55">
        <v>0</v>
      </c>
      <c r="CU55" t="s">
        <v>70</v>
      </c>
      <c r="CV55" t="s">
        <v>68</v>
      </c>
      <c r="CW55">
        <v>0</v>
      </c>
      <c r="CX55">
        <v>0</v>
      </c>
      <c r="CY55">
        <v>0</v>
      </c>
      <c r="CZ55">
        <v>0</v>
      </c>
      <c r="DB55" t="s">
        <v>70</v>
      </c>
      <c r="DC55" t="s">
        <v>68</v>
      </c>
      <c r="DD55">
        <v>0</v>
      </c>
      <c r="DE55">
        <v>0</v>
      </c>
      <c r="DF55">
        <v>0</v>
      </c>
      <c r="DG55">
        <v>0</v>
      </c>
      <c r="DI55" t="s">
        <v>70</v>
      </c>
      <c r="DJ55" t="s">
        <v>68</v>
      </c>
      <c r="DK55">
        <v>0</v>
      </c>
      <c r="DL55">
        <v>0</v>
      </c>
      <c r="DM55">
        <v>0</v>
      </c>
      <c r="DN55">
        <v>0</v>
      </c>
    </row>
    <row r="56" spans="1:118">
      <c r="A56" t="s">
        <v>71</v>
      </c>
      <c r="B56" t="s">
        <v>68</v>
      </c>
      <c r="C56">
        <v>0</v>
      </c>
      <c r="D56">
        <v>0</v>
      </c>
      <c r="E56">
        <v>4</v>
      </c>
      <c r="F56">
        <v>7</v>
      </c>
      <c r="H56" t="s">
        <v>71</v>
      </c>
      <c r="I56" t="s">
        <v>68</v>
      </c>
      <c r="J56">
        <v>0</v>
      </c>
      <c r="K56">
        <v>0</v>
      </c>
      <c r="L56">
        <v>1</v>
      </c>
      <c r="M56">
        <v>1</v>
      </c>
      <c r="O56" t="s">
        <v>71</v>
      </c>
      <c r="P56" t="s">
        <v>68</v>
      </c>
      <c r="Q56">
        <v>0</v>
      </c>
      <c r="R56">
        <v>0</v>
      </c>
      <c r="S56">
        <v>0</v>
      </c>
      <c r="T56">
        <v>0</v>
      </c>
      <c r="V56" t="s">
        <v>71</v>
      </c>
      <c r="W56" t="s">
        <v>68</v>
      </c>
      <c r="X56">
        <v>0</v>
      </c>
      <c r="Y56">
        <v>0</v>
      </c>
      <c r="Z56">
        <v>0</v>
      </c>
      <c r="AA56">
        <v>0</v>
      </c>
      <c r="AC56" t="s">
        <v>71</v>
      </c>
      <c r="AD56" t="s">
        <v>68</v>
      </c>
      <c r="AE56">
        <v>0</v>
      </c>
      <c r="AF56">
        <v>0</v>
      </c>
      <c r="AG56">
        <v>0</v>
      </c>
      <c r="AH56">
        <v>1</v>
      </c>
      <c r="AJ56" t="s">
        <v>71</v>
      </c>
      <c r="AK56" t="s">
        <v>68</v>
      </c>
      <c r="AL56">
        <v>0</v>
      </c>
      <c r="AM56">
        <v>0</v>
      </c>
      <c r="AN56">
        <v>0</v>
      </c>
      <c r="AO56">
        <v>0</v>
      </c>
      <c r="AQ56" t="s">
        <v>71</v>
      </c>
      <c r="AR56" t="s">
        <v>68</v>
      </c>
      <c r="AS56">
        <v>0</v>
      </c>
      <c r="AT56">
        <v>0</v>
      </c>
      <c r="AU56">
        <v>0</v>
      </c>
      <c r="AV56">
        <v>0</v>
      </c>
      <c r="AX56" t="s">
        <v>71</v>
      </c>
      <c r="AY56" t="s">
        <v>68</v>
      </c>
      <c r="AZ56">
        <v>0</v>
      </c>
      <c r="BA56">
        <v>0</v>
      </c>
      <c r="BB56">
        <v>0</v>
      </c>
      <c r="BC56">
        <v>0</v>
      </c>
      <c r="BE56" t="s">
        <v>71</v>
      </c>
      <c r="BF56" t="s">
        <v>68</v>
      </c>
      <c r="BG56">
        <v>0</v>
      </c>
      <c r="BH56">
        <v>0</v>
      </c>
      <c r="BI56">
        <v>0</v>
      </c>
      <c r="BJ56">
        <v>0</v>
      </c>
      <c r="BL56" t="s">
        <v>71</v>
      </c>
      <c r="BM56" t="s">
        <v>68</v>
      </c>
      <c r="BN56">
        <v>0</v>
      </c>
      <c r="BO56">
        <v>0</v>
      </c>
      <c r="BP56">
        <v>0</v>
      </c>
      <c r="BQ56">
        <v>0</v>
      </c>
      <c r="BS56" t="s">
        <v>71</v>
      </c>
      <c r="BT56" t="s">
        <v>68</v>
      </c>
      <c r="BU56">
        <v>0</v>
      </c>
      <c r="BV56">
        <v>0</v>
      </c>
      <c r="BW56">
        <v>0</v>
      </c>
      <c r="BX56">
        <v>0</v>
      </c>
      <c r="BZ56" t="s">
        <v>71</v>
      </c>
      <c r="CA56" t="s">
        <v>68</v>
      </c>
      <c r="CB56">
        <v>0</v>
      </c>
      <c r="CC56">
        <v>0</v>
      </c>
      <c r="CD56">
        <v>0</v>
      </c>
      <c r="CE56">
        <v>0</v>
      </c>
      <c r="CG56" t="s">
        <v>71</v>
      </c>
      <c r="CH56" t="s">
        <v>68</v>
      </c>
      <c r="CI56">
        <v>0</v>
      </c>
      <c r="CJ56">
        <v>0</v>
      </c>
      <c r="CK56">
        <v>0</v>
      </c>
      <c r="CL56">
        <v>0</v>
      </c>
      <c r="CN56" t="s">
        <v>71</v>
      </c>
      <c r="CO56" t="s">
        <v>68</v>
      </c>
      <c r="CP56">
        <v>0</v>
      </c>
      <c r="CQ56">
        <v>0</v>
      </c>
      <c r="CR56">
        <v>0</v>
      </c>
      <c r="CS56">
        <v>0</v>
      </c>
      <c r="CU56" t="s">
        <v>71</v>
      </c>
      <c r="CV56" t="s">
        <v>68</v>
      </c>
      <c r="CW56">
        <v>0</v>
      </c>
      <c r="CX56">
        <v>0</v>
      </c>
      <c r="CY56">
        <v>0</v>
      </c>
      <c r="CZ56">
        <v>0</v>
      </c>
      <c r="DB56" t="s">
        <v>71</v>
      </c>
      <c r="DC56" t="s">
        <v>68</v>
      </c>
      <c r="DD56">
        <v>0</v>
      </c>
      <c r="DE56">
        <v>0</v>
      </c>
      <c r="DF56">
        <v>0</v>
      </c>
      <c r="DG56">
        <v>0</v>
      </c>
      <c r="DI56" t="s">
        <v>71</v>
      </c>
      <c r="DJ56" t="s">
        <v>68</v>
      </c>
      <c r="DK56">
        <v>0</v>
      </c>
      <c r="DL56">
        <v>0</v>
      </c>
      <c r="DM56">
        <v>0</v>
      </c>
      <c r="DN56">
        <v>0</v>
      </c>
    </row>
    <row r="57" spans="1:118">
      <c r="A57" t="s">
        <v>72</v>
      </c>
      <c r="B57" t="s">
        <v>68</v>
      </c>
      <c r="C57">
        <v>0</v>
      </c>
      <c r="D57">
        <v>0</v>
      </c>
      <c r="E57">
        <v>1</v>
      </c>
      <c r="F57">
        <v>6</v>
      </c>
      <c r="H57" t="s">
        <v>72</v>
      </c>
      <c r="I57" t="s">
        <v>68</v>
      </c>
      <c r="J57">
        <v>0</v>
      </c>
      <c r="K57">
        <v>0</v>
      </c>
      <c r="L57">
        <v>0</v>
      </c>
      <c r="M57">
        <v>1</v>
      </c>
      <c r="O57" t="s">
        <v>72</v>
      </c>
      <c r="P57" t="s">
        <v>68</v>
      </c>
      <c r="Q57">
        <v>0</v>
      </c>
      <c r="R57">
        <v>0</v>
      </c>
      <c r="S57">
        <v>1</v>
      </c>
      <c r="T57">
        <v>0</v>
      </c>
      <c r="V57" t="s">
        <v>72</v>
      </c>
      <c r="W57" t="s">
        <v>68</v>
      </c>
      <c r="X57">
        <v>0</v>
      </c>
      <c r="Y57">
        <v>0</v>
      </c>
      <c r="Z57">
        <v>1</v>
      </c>
      <c r="AA57">
        <v>0</v>
      </c>
      <c r="AC57" t="s">
        <v>72</v>
      </c>
      <c r="AD57" t="s">
        <v>68</v>
      </c>
      <c r="AE57">
        <v>0</v>
      </c>
      <c r="AF57">
        <v>0</v>
      </c>
      <c r="AG57">
        <v>1</v>
      </c>
      <c r="AH57">
        <v>0</v>
      </c>
      <c r="AJ57" t="s">
        <v>72</v>
      </c>
      <c r="AK57" t="s">
        <v>68</v>
      </c>
      <c r="AL57">
        <v>0</v>
      </c>
      <c r="AM57">
        <v>0</v>
      </c>
      <c r="AN57">
        <v>0</v>
      </c>
      <c r="AO57">
        <v>0</v>
      </c>
      <c r="AQ57" t="s">
        <v>72</v>
      </c>
      <c r="AR57" t="s">
        <v>68</v>
      </c>
      <c r="AS57">
        <v>0</v>
      </c>
      <c r="AT57">
        <v>0</v>
      </c>
      <c r="AU57">
        <v>0</v>
      </c>
      <c r="AV57">
        <v>0</v>
      </c>
      <c r="AX57" t="s">
        <v>72</v>
      </c>
      <c r="AY57" t="s">
        <v>68</v>
      </c>
      <c r="AZ57">
        <v>0</v>
      </c>
      <c r="BA57">
        <v>0</v>
      </c>
      <c r="BB57">
        <v>0</v>
      </c>
      <c r="BC57">
        <v>0</v>
      </c>
      <c r="BE57" t="s">
        <v>72</v>
      </c>
      <c r="BF57" t="s">
        <v>68</v>
      </c>
      <c r="BG57">
        <v>0</v>
      </c>
      <c r="BH57">
        <v>0</v>
      </c>
      <c r="BI57">
        <v>0</v>
      </c>
      <c r="BJ57">
        <v>0</v>
      </c>
      <c r="BL57" t="s">
        <v>72</v>
      </c>
      <c r="BM57" t="s">
        <v>68</v>
      </c>
      <c r="BN57">
        <v>0</v>
      </c>
      <c r="BO57">
        <v>0</v>
      </c>
      <c r="BP57">
        <v>0</v>
      </c>
      <c r="BQ57">
        <v>0</v>
      </c>
      <c r="BS57" t="s">
        <v>72</v>
      </c>
      <c r="BT57" t="s">
        <v>68</v>
      </c>
      <c r="BU57">
        <v>0</v>
      </c>
      <c r="BV57">
        <v>0</v>
      </c>
      <c r="BW57">
        <v>0</v>
      </c>
      <c r="BX57">
        <v>0</v>
      </c>
      <c r="BZ57" t="s">
        <v>72</v>
      </c>
      <c r="CA57" t="s">
        <v>68</v>
      </c>
      <c r="CB57">
        <v>0</v>
      </c>
      <c r="CC57">
        <v>0</v>
      </c>
      <c r="CD57">
        <v>0</v>
      </c>
      <c r="CE57">
        <v>0</v>
      </c>
      <c r="CG57" t="s">
        <v>72</v>
      </c>
      <c r="CH57" t="s">
        <v>68</v>
      </c>
      <c r="CI57">
        <v>0</v>
      </c>
      <c r="CJ57">
        <v>0</v>
      </c>
      <c r="CK57">
        <v>0</v>
      </c>
      <c r="CL57">
        <v>0</v>
      </c>
      <c r="CN57" t="s">
        <v>72</v>
      </c>
      <c r="CO57" t="s">
        <v>68</v>
      </c>
      <c r="CP57">
        <v>0</v>
      </c>
      <c r="CQ57">
        <v>0</v>
      </c>
      <c r="CR57">
        <v>0</v>
      </c>
      <c r="CS57">
        <v>0</v>
      </c>
      <c r="CU57" t="s">
        <v>72</v>
      </c>
      <c r="CV57" t="s">
        <v>68</v>
      </c>
      <c r="CW57">
        <v>0</v>
      </c>
      <c r="CX57">
        <v>0</v>
      </c>
      <c r="CY57">
        <v>0</v>
      </c>
      <c r="CZ57">
        <v>0</v>
      </c>
      <c r="DB57" t="s">
        <v>72</v>
      </c>
      <c r="DC57" t="s">
        <v>68</v>
      </c>
      <c r="DD57">
        <v>0</v>
      </c>
      <c r="DE57">
        <v>0</v>
      </c>
      <c r="DF57">
        <v>0</v>
      </c>
      <c r="DG57">
        <v>0</v>
      </c>
      <c r="DI57" t="s">
        <v>72</v>
      </c>
      <c r="DJ57" t="s">
        <v>68</v>
      </c>
      <c r="DK57">
        <v>0</v>
      </c>
      <c r="DL57">
        <v>0</v>
      </c>
      <c r="DM57">
        <v>0</v>
      </c>
      <c r="DN57">
        <v>0</v>
      </c>
    </row>
    <row r="58" spans="1:118">
      <c r="A58" t="s">
        <v>73</v>
      </c>
      <c r="B58" t="s">
        <v>68</v>
      </c>
      <c r="C58">
        <v>0</v>
      </c>
      <c r="D58">
        <v>0</v>
      </c>
      <c r="E58">
        <v>4</v>
      </c>
      <c r="F58">
        <v>11</v>
      </c>
      <c r="H58" t="s">
        <v>73</v>
      </c>
      <c r="I58" t="s">
        <v>68</v>
      </c>
      <c r="J58">
        <v>0</v>
      </c>
      <c r="K58">
        <v>0</v>
      </c>
      <c r="L58">
        <v>1</v>
      </c>
      <c r="M58">
        <v>0</v>
      </c>
      <c r="O58" t="s">
        <v>73</v>
      </c>
      <c r="P58" t="s">
        <v>68</v>
      </c>
      <c r="Q58">
        <v>0</v>
      </c>
      <c r="R58">
        <v>0</v>
      </c>
      <c r="S58">
        <v>1</v>
      </c>
      <c r="T58">
        <v>0</v>
      </c>
      <c r="V58" t="s">
        <v>73</v>
      </c>
      <c r="W58" t="s">
        <v>68</v>
      </c>
      <c r="X58">
        <v>0</v>
      </c>
      <c r="Y58">
        <v>0</v>
      </c>
      <c r="Z58">
        <v>1</v>
      </c>
      <c r="AA58">
        <v>0</v>
      </c>
      <c r="AC58" t="s">
        <v>73</v>
      </c>
      <c r="AD58" t="s">
        <v>68</v>
      </c>
      <c r="AE58">
        <v>0</v>
      </c>
      <c r="AF58">
        <v>0</v>
      </c>
      <c r="AG58">
        <v>1</v>
      </c>
      <c r="AH58">
        <v>0</v>
      </c>
      <c r="AJ58" t="s">
        <v>73</v>
      </c>
      <c r="AK58" t="s">
        <v>68</v>
      </c>
      <c r="AL58">
        <v>0</v>
      </c>
      <c r="AM58">
        <v>0</v>
      </c>
      <c r="AN58">
        <v>0</v>
      </c>
      <c r="AO58">
        <v>0</v>
      </c>
      <c r="AQ58" t="s">
        <v>73</v>
      </c>
      <c r="AR58" t="s">
        <v>68</v>
      </c>
      <c r="AS58">
        <v>0</v>
      </c>
      <c r="AT58">
        <v>0</v>
      </c>
      <c r="AU58">
        <v>0</v>
      </c>
      <c r="AV58">
        <v>0</v>
      </c>
      <c r="AX58" t="s">
        <v>73</v>
      </c>
      <c r="AY58" t="s">
        <v>68</v>
      </c>
      <c r="AZ58">
        <v>0</v>
      </c>
      <c r="BA58">
        <v>0</v>
      </c>
      <c r="BB58">
        <v>0</v>
      </c>
      <c r="BC58">
        <v>0</v>
      </c>
      <c r="BE58" t="s">
        <v>73</v>
      </c>
      <c r="BF58" t="s">
        <v>68</v>
      </c>
      <c r="BG58">
        <v>0</v>
      </c>
      <c r="BH58">
        <v>0</v>
      </c>
      <c r="BI58">
        <v>0</v>
      </c>
      <c r="BJ58">
        <v>0</v>
      </c>
      <c r="BL58" t="s">
        <v>73</v>
      </c>
      <c r="BM58" t="s">
        <v>68</v>
      </c>
      <c r="BN58">
        <v>0</v>
      </c>
      <c r="BO58">
        <v>0</v>
      </c>
      <c r="BP58">
        <v>0</v>
      </c>
      <c r="BQ58">
        <v>0</v>
      </c>
      <c r="BS58" t="s">
        <v>73</v>
      </c>
      <c r="BT58" t="s">
        <v>68</v>
      </c>
      <c r="BU58">
        <v>0</v>
      </c>
      <c r="BV58">
        <v>0</v>
      </c>
      <c r="BW58">
        <v>0</v>
      </c>
      <c r="BX58">
        <v>0</v>
      </c>
      <c r="BZ58" t="s">
        <v>73</v>
      </c>
      <c r="CA58" t="s">
        <v>68</v>
      </c>
      <c r="CB58">
        <v>0</v>
      </c>
      <c r="CC58">
        <v>0</v>
      </c>
      <c r="CD58">
        <v>0</v>
      </c>
      <c r="CE58">
        <v>0</v>
      </c>
      <c r="CG58" t="s">
        <v>73</v>
      </c>
      <c r="CH58" t="s">
        <v>68</v>
      </c>
      <c r="CI58">
        <v>0</v>
      </c>
      <c r="CJ58">
        <v>0</v>
      </c>
      <c r="CK58">
        <v>0</v>
      </c>
      <c r="CL58">
        <v>0</v>
      </c>
      <c r="CN58" t="s">
        <v>73</v>
      </c>
      <c r="CO58" t="s">
        <v>68</v>
      </c>
      <c r="CP58">
        <v>0</v>
      </c>
      <c r="CQ58">
        <v>0</v>
      </c>
      <c r="CR58">
        <v>0</v>
      </c>
      <c r="CS58">
        <v>0</v>
      </c>
      <c r="CU58" t="s">
        <v>73</v>
      </c>
      <c r="CV58" t="s">
        <v>68</v>
      </c>
      <c r="CW58">
        <v>0</v>
      </c>
      <c r="CX58">
        <v>0</v>
      </c>
      <c r="CY58">
        <v>0</v>
      </c>
      <c r="CZ58">
        <v>0</v>
      </c>
      <c r="DB58" t="s">
        <v>73</v>
      </c>
      <c r="DC58" t="s">
        <v>68</v>
      </c>
      <c r="DD58">
        <v>0</v>
      </c>
      <c r="DE58">
        <v>0</v>
      </c>
      <c r="DF58">
        <v>0</v>
      </c>
      <c r="DG58">
        <v>0</v>
      </c>
      <c r="DI58" t="s">
        <v>73</v>
      </c>
      <c r="DJ58" t="s">
        <v>68</v>
      </c>
      <c r="DK58">
        <v>0</v>
      </c>
      <c r="DL58">
        <v>0</v>
      </c>
      <c r="DM58">
        <v>0</v>
      </c>
      <c r="DN58">
        <v>0</v>
      </c>
    </row>
    <row r="59" spans="1:118">
      <c r="A59" t="s">
        <v>74</v>
      </c>
      <c r="B59" t="s">
        <v>68</v>
      </c>
      <c r="C59">
        <v>0</v>
      </c>
      <c r="D59">
        <v>0</v>
      </c>
      <c r="E59">
        <v>11</v>
      </c>
      <c r="F59">
        <v>12</v>
      </c>
      <c r="H59" t="s">
        <v>74</v>
      </c>
      <c r="I59" t="s">
        <v>68</v>
      </c>
      <c r="J59">
        <v>0</v>
      </c>
      <c r="K59">
        <v>0</v>
      </c>
      <c r="L59">
        <v>0</v>
      </c>
      <c r="M59">
        <v>0</v>
      </c>
      <c r="O59" t="s">
        <v>74</v>
      </c>
      <c r="P59" t="s">
        <v>68</v>
      </c>
      <c r="Q59">
        <v>0</v>
      </c>
      <c r="R59">
        <v>0</v>
      </c>
      <c r="S59">
        <v>1</v>
      </c>
      <c r="T59">
        <v>0</v>
      </c>
      <c r="V59" t="s">
        <v>74</v>
      </c>
      <c r="W59" t="s">
        <v>68</v>
      </c>
      <c r="X59">
        <v>0</v>
      </c>
      <c r="Y59">
        <v>0</v>
      </c>
      <c r="Z59">
        <v>0</v>
      </c>
      <c r="AA59">
        <v>0</v>
      </c>
      <c r="AC59" t="s">
        <v>74</v>
      </c>
      <c r="AD59" t="s">
        <v>68</v>
      </c>
      <c r="AE59">
        <v>0</v>
      </c>
      <c r="AF59">
        <v>0</v>
      </c>
      <c r="AG59">
        <v>0</v>
      </c>
      <c r="AH59">
        <v>0</v>
      </c>
      <c r="AJ59" t="s">
        <v>74</v>
      </c>
      <c r="AK59" t="s">
        <v>68</v>
      </c>
      <c r="AL59">
        <v>0</v>
      </c>
      <c r="AM59">
        <v>0</v>
      </c>
      <c r="AN59">
        <v>0</v>
      </c>
      <c r="AO59">
        <v>0</v>
      </c>
      <c r="AQ59" t="s">
        <v>74</v>
      </c>
      <c r="AR59" t="s">
        <v>68</v>
      </c>
      <c r="AS59">
        <v>0</v>
      </c>
      <c r="AT59">
        <v>0</v>
      </c>
      <c r="AU59">
        <v>0</v>
      </c>
      <c r="AV59">
        <v>0</v>
      </c>
      <c r="AX59" t="s">
        <v>74</v>
      </c>
      <c r="AY59" t="s">
        <v>68</v>
      </c>
      <c r="AZ59">
        <v>0</v>
      </c>
      <c r="BA59">
        <v>0</v>
      </c>
      <c r="BB59">
        <v>0</v>
      </c>
      <c r="BC59">
        <v>0</v>
      </c>
      <c r="BE59" t="s">
        <v>74</v>
      </c>
      <c r="BF59" t="s">
        <v>68</v>
      </c>
      <c r="BG59">
        <v>0</v>
      </c>
      <c r="BH59">
        <v>0</v>
      </c>
      <c r="BI59">
        <v>0</v>
      </c>
      <c r="BJ59">
        <v>0</v>
      </c>
      <c r="BL59" t="s">
        <v>74</v>
      </c>
      <c r="BM59" t="s">
        <v>68</v>
      </c>
      <c r="BN59">
        <v>0</v>
      </c>
      <c r="BO59">
        <v>0</v>
      </c>
      <c r="BP59">
        <v>0</v>
      </c>
      <c r="BQ59">
        <v>0</v>
      </c>
      <c r="BS59" t="s">
        <v>74</v>
      </c>
      <c r="BT59" t="s">
        <v>68</v>
      </c>
      <c r="BU59">
        <v>0</v>
      </c>
      <c r="BV59">
        <v>0</v>
      </c>
      <c r="BW59">
        <v>0</v>
      </c>
      <c r="BX59">
        <v>0</v>
      </c>
      <c r="BZ59" t="s">
        <v>74</v>
      </c>
      <c r="CA59" t="s">
        <v>68</v>
      </c>
      <c r="CB59">
        <v>0</v>
      </c>
      <c r="CC59">
        <v>0</v>
      </c>
      <c r="CD59">
        <v>0</v>
      </c>
      <c r="CE59">
        <v>0</v>
      </c>
      <c r="CG59" t="s">
        <v>74</v>
      </c>
      <c r="CH59" t="s">
        <v>68</v>
      </c>
      <c r="CI59">
        <v>0</v>
      </c>
      <c r="CJ59">
        <v>0</v>
      </c>
      <c r="CK59">
        <v>0</v>
      </c>
      <c r="CL59">
        <v>0</v>
      </c>
      <c r="CN59" t="s">
        <v>74</v>
      </c>
      <c r="CO59" t="s">
        <v>68</v>
      </c>
      <c r="CP59">
        <v>0</v>
      </c>
      <c r="CQ59">
        <v>0</v>
      </c>
      <c r="CR59">
        <v>0</v>
      </c>
      <c r="CS59">
        <v>0</v>
      </c>
      <c r="CU59" t="s">
        <v>74</v>
      </c>
      <c r="CV59" t="s">
        <v>68</v>
      </c>
      <c r="CW59">
        <v>0</v>
      </c>
      <c r="CX59">
        <v>0</v>
      </c>
      <c r="CY59">
        <v>0</v>
      </c>
      <c r="CZ59">
        <v>0</v>
      </c>
      <c r="DB59" t="s">
        <v>74</v>
      </c>
      <c r="DC59" t="s">
        <v>68</v>
      </c>
      <c r="DD59">
        <v>0</v>
      </c>
      <c r="DE59">
        <v>0</v>
      </c>
      <c r="DF59">
        <v>0</v>
      </c>
      <c r="DG59">
        <v>0</v>
      </c>
      <c r="DI59" t="s">
        <v>74</v>
      </c>
      <c r="DJ59" t="s">
        <v>68</v>
      </c>
      <c r="DK59">
        <v>0</v>
      </c>
      <c r="DL59">
        <v>0</v>
      </c>
      <c r="DM59">
        <v>0</v>
      </c>
      <c r="DN59">
        <v>0</v>
      </c>
    </row>
    <row r="60" spans="1:118">
      <c r="A60" t="s">
        <v>75</v>
      </c>
      <c r="B60" t="s">
        <v>68</v>
      </c>
      <c r="C60">
        <v>0</v>
      </c>
      <c r="D60">
        <v>0</v>
      </c>
      <c r="E60">
        <v>0</v>
      </c>
      <c r="F60">
        <v>18</v>
      </c>
      <c r="H60" t="s">
        <v>75</v>
      </c>
      <c r="I60" t="s">
        <v>68</v>
      </c>
      <c r="J60">
        <v>0</v>
      </c>
      <c r="K60">
        <v>0</v>
      </c>
      <c r="L60">
        <v>0</v>
      </c>
      <c r="M60">
        <v>0</v>
      </c>
      <c r="O60" t="s">
        <v>75</v>
      </c>
      <c r="P60" t="s">
        <v>68</v>
      </c>
      <c r="Q60">
        <v>0</v>
      </c>
      <c r="R60">
        <v>0</v>
      </c>
      <c r="S60">
        <v>1</v>
      </c>
      <c r="T60">
        <v>0</v>
      </c>
      <c r="V60" t="s">
        <v>75</v>
      </c>
      <c r="W60" t="s">
        <v>68</v>
      </c>
      <c r="X60">
        <v>0</v>
      </c>
      <c r="Y60">
        <v>0</v>
      </c>
      <c r="Z60">
        <v>0</v>
      </c>
      <c r="AA60">
        <v>0</v>
      </c>
      <c r="AC60" t="s">
        <v>75</v>
      </c>
      <c r="AD60" t="s">
        <v>68</v>
      </c>
      <c r="AE60">
        <v>0</v>
      </c>
      <c r="AF60">
        <v>0</v>
      </c>
      <c r="AG60">
        <v>0</v>
      </c>
      <c r="AH60">
        <v>2</v>
      </c>
      <c r="AJ60" t="s">
        <v>75</v>
      </c>
      <c r="AK60" t="s">
        <v>68</v>
      </c>
      <c r="AL60">
        <v>1</v>
      </c>
      <c r="AM60">
        <v>0</v>
      </c>
      <c r="AN60">
        <v>0</v>
      </c>
      <c r="AO60">
        <v>0</v>
      </c>
      <c r="AQ60" t="s">
        <v>75</v>
      </c>
      <c r="AR60" t="s">
        <v>68</v>
      </c>
      <c r="AS60">
        <v>0</v>
      </c>
      <c r="AT60">
        <v>0</v>
      </c>
      <c r="AU60">
        <v>0</v>
      </c>
      <c r="AV60">
        <v>0</v>
      </c>
      <c r="AX60" t="s">
        <v>75</v>
      </c>
      <c r="AY60" t="s">
        <v>68</v>
      </c>
      <c r="AZ60">
        <v>0</v>
      </c>
      <c r="BA60">
        <v>0</v>
      </c>
      <c r="BB60">
        <v>0</v>
      </c>
      <c r="BC60">
        <v>0</v>
      </c>
      <c r="BE60" t="s">
        <v>75</v>
      </c>
      <c r="BF60" t="s">
        <v>68</v>
      </c>
      <c r="BG60">
        <v>0</v>
      </c>
      <c r="BH60">
        <v>0</v>
      </c>
      <c r="BI60">
        <v>0</v>
      </c>
      <c r="BJ60">
        <v>0</v>
      </c>
      <c r="BL60" t="s">
        <v>75</v>
      </c>
      <c r="BM60" t="s">
        <v>68</v>
      </c>
      <c r="BN60">
        <v>0</v>
      </c>
      <c r="BO60">
        <v>0</v>
      </c>
      <c r="BP60">
        <v>0</v>
      </c>
      <c r="BQ60">
        <v>1</v>
      </c>
      <c r="BS60" t="s">
        <v>75</v>
      </c>
      <c r="BT60" t="s">
        <v>68</v>
      </c>
      <c r="BU60">
        <v>0</v>
      </c>
      <c r="BV60">
        <v>0</v>
      </c>
      <c r="BW60">
        <v>0</v>
      </c>
      <c r="BX60">
        <v>0</v>
      </c>
      <c r="BZ60" t="s">
        <v>75</v>
      </c>
      <c r="CA60" t="s">
        <v>68</v>
      </c>
      <c r="CB60">
        <v>0</v>
      </c>
      <c r="CC60">
        <v>0</v>
      </c>
      <c r="CD60">
        <v>0</v>
      </c>
      <c r="CE60">
        <v>0</v>
      </c>
      <c r="CG60" t="s">
        <v>75</v>
      </c>
      <c r="CH60" t="s">
        <v>68</v>
      </c>
      <c r="CI60">
        <v>0</v>
      </c>
      <c r="CJ60">
        <v>0</v>
      </c>
      <c r="CK60">
        <v>0</v>
      </c>
      <c r="CL60">
        <v>0</v>
      </c>
      <c r="CN60" t="s">
        <v>75</v>
      </c>
      <c r="CO60" t="s">
        <v>68</v>
      </c>
      <c r="CP60">
        <v>0</v>
      </c>
      <c r="CQ60">
        <v>0</v>
      </c>
      <c r="CR60">
        <v>0</v>
      </c>
      <c r="CS60">
        <v>0</v>
      </c>
      <c r="CU60" t="s">
        <v>75</v>
      </c>
      <c r="CV60" t="s">
        <v>68</v>
      </c>
      <c r="CW60">
        <v>0</v>
      </c>
      <c r="CX60">
        <v>0</v>
      </c>
      <c r="CY60">
        <v>0</v>
      </c>
      <c r="CZ60">
        <v>0</v>
      </c>
      <c r="DB60" t="s">
        <v>75</v>
      </c>
      <c r="DC60" t="s">
        <v>68</v>
      </c>
      <c r="DD60">
        <v>0</v>
      </c>
      <c r="DE60">
        <v>0</v>
      </c>
      <c r="DF60">
        <v>0</v>
      </c>
      <c r="DG60">
        <v>0</v>
      </c>
      <c r="DI60" t="s">
        <v>75</v>
      </c>
      <c r="DJ60" t="s">
        <v>68</v>
      </c>
      <c r="DK60">
        <v>0</v>
      </c>
      <c r="DL60">
        <v>0</v>
      </c>
      <c r="DM60">
        <v>0</v>
      </c>
      <c r="DN60">
        <v>0</v>
      </c>
    </row>
    <row r="61" spans="1:118">
      <c r="A61" t="s">
        <v>76</v>
      </c>
      <c r="B61" t="s">
        <v>68</v>
      </c>
      <c r="C61">
        <v>0</v>
      </c>
      <c r="D61">
        <v>0</v>
      </c>
      <c r="E61">
        <v>0</v>
      </c>
      <c r="F61">
        <v>9</v>
      </c>
      <c r="H61" t="s">
        <v>76</v>
      </c>
      <c r="I61" t="s">
        <v>68</v>
      </c>
      <c r="J61">
        <v>0</v>
      </c>
      <c r="K61">
        <v>0</v>
      </c>
      <c r="L61">
        <v>0</v>
      </c>
      <c r="M61">
        <v>2</v>
      </c>
      <c r="O61" t="s">
        <v>76</v>
      </c>
      <c r="P61" t="s">
        <v>68</v>
      </c>
      <c r="Q61">
        <v>0</v>
      </c>
      <c r="R61">
        <v>0</v>
      </c>
      <c r="S61">
        <v>0</v>
      </c>
      <c r="T61">
        <v>0</v>
      </c>
      <c r="V61" t="s">
        <v>76</v>
      </c>
      <c r="W61" t="s">
        <v>68</v>
      </c>
      <c r="X61">
        <v>0</v>
      </c>
      <c r="Y61">
        <v>0</v>
      </c>
      <c r="Z61">
        <v>0</v>
      </c>
      <c r="AA61">
        <v>0</v>
      </c>
      <c r="AC61" t="s">
        <v>76</v>
      </c>
      <c r="AD61" t="s">
        <v>68</v>
      </c>
      <c r="AE61">
        <v>0</v>
      </c>
      <c r="AF61">
        <v>0</v>
      </c>
      <c r="AG61">
        <v>0</v>
      </c>
      <c r="AH61">
        <v>0</v>
      </c>
      <c r="AJ61" t="s">
        <v>76</v>
      </c>
      <c r="AK61" t="s">
        <v>68</v>
      </c>
      <c r="AL61">
        <v>0</v>
      </c>
      <c r="AM61">
        <v>0</v>
      </c>
      <c r="AN61">
        <v>1</v>
      </c>
      <c r="AO61">
        <v>0</v>
      </c>
      <c r="AQ61" t="s">
        <v>76</v>
      </c>
      <c r="AR61" t="s">
        <v>68</v>
      </c>
      <c r="AS61">
        <v>0</v>
      </c>
      <c r="AT61">
        <v>0</v>
      </c>
      <c r="AU61">
        <v>0</v>
      </c>
      <c r="AV61">
        <v>0</v>
      </c>
      <c r="AX61" t="s">
        <v>76</v>
      </c>
      <c r="AY61" t="s">
        <v>68</v>
      </c>
      <c r="AZ61">
        <v>0</v>
      </c>
      <c r="BA61">
        <v>0</v>
      </c>
      <c r="BB61">
        <v>0</v>
      </c>
      <c r="BC61">
        <v>2</v>
      </c>
      <c r="BE61" t="s">
        <v>76</v>
      </c>
      <c r="BF61" t="s">
        <v>68</v>
      </c>
      <c r="BG61">
        <v>0</v>
      </c>
      <c r="BH61">
        <v>0</v>
      </c>
      <c r="BI61">
        <v>2</v>
      </c>
      <c r="BJ61">
        <v>0</v>
      </c>
      <c r="BL61" t="s">
        <v>76</v>
      </c>
      <c r="BM61" t="s">
        <v>68</v>
      </c>
      <c r="BN61">
        <v>0</v>
      </c>
      <c r="BO61">
        <v>0</v>
      </c>
      <c r="BP61">
        <v>0</v>
      </c>
      <c r="BQ61">
        <v>0</v>
      </c>
      <c r="BS61" t="s">
        <v>76</v>
      </c>
      <c r="BT61" t="s">
        <v>68</v>
      </c>
      <c r="BU61">
        <v>0</v>
      </c>
      <c r="BV61">
        <v>0</v>
      </c>
      <c r="BW61">
        <v>0</v>
      </c>
      <c r="BX61">
        <v>0</v>
      </c>
      <c r="BZ61" t="s">
        <v>76</v>
      </c>
      <c r="CA61" t="s">
        <v>68</v>
      </c>
      <c r="CB61">
        <v>0</v>
      </c>
      <c r="CC61">
        <v>0</v>
      </c>
      <c r="CD61">
        <v>0</v>
      </c>
      <c r="CE61">
        <v>0</v>
      </c>
      <c r="CG61" t="s">
        <v>76</v>
      </c>
      <c r="CH61" t="s">
        <v>68</v>
      </c>
      <c r="CI61">
        <v>0</v>
      </c>
      <c r="CJ61">
        <v>0</v>
      </c>
      <c r="CK61">
        <v>0</v>
      </c>
      <c r="CL61">
        <v>0</v>
      </c>
      <c r="CN61" t="s">
        <v>76</v>
      </c>
      <c r="CO61" t="s">
        <v>68</v>
      </c>
      <c r="CP61">
        <v>0</v>
      </c>
      <c r="CQ61">
        <v>0</v>
      </c>
      <c r="CR61">
        <v>0</v>
      </c>
      <c r="CS61">
        <v>0</v>
      </c>
      <c r="CU61" t="s">
        <v>76</v>
      </c>
      <c r="CV61" t="s">
        <v>68</v>
      </c>
      <c r="CW61">
        <v>0</v>
      </c>
      <c r="CX61">
        <v>0</v>
      </c>
      <c r="CY61">
        <v>0</v>
      </c>
      <c r="CZ61">
        <v>0</v>
      </c>
      <c r="DB61" t="s">
        <v>76</v>
      </c>
      <c r="DC61" t="s">
        <v>68</v>
      </c>
      <c r="DD61">
        <v>0</v>
      </c>
      <c r="DE61">
        <v>0</v>
      </c>
      <c r="DF61">
        <v>0</v>
      </c>
      <c r="DG61">
        <v>0</v>
      </c>
      <c r="DI61" t="s">
        <v>76</v>
      </c>
      <c r="DJ61" t="s">
        <v>68</v>
      </c>
      <c r="DK61">
        <v>0</v>
      </c>
      <c r="DL61">
        <v>0</v>
      </c>
      <c r="DM61">
        <v>0</v>
      </c>
      <c r="DN61">
        <v>0</v>
      </c>
    </row>
    <row r="62" spans="1:118">
      <c r="A62" t="s">
        <v>77</v>
      </c>
      <c r="B62" t="s">
        <v>68</v>
      </c>
      <c r="C62">
        <v>0</v>
      </c>
      <c r="D62">
        <v>0</v>
      </c>
      <c r="E62">
        <v>0</v>
      </c>
      <c r="F62">
        <v>27</v>
      </c>
      <c r="H62" t="s">
        <v>77</v>
      </c>
      <c r="I62" t="s">
        <v>68</v>
      </c>
      <c r="J62">
        <v>0</v>
      </c>
      <c r="K62">
        <v>0</v>
      </c>
      <c r="L62">
        <v>3</v>
      </c>
      <c r="M62">
        <v>0</v>
      </c>
      <c r="O62" t="s">
        <v>77</v>
      </c>
      <c r="P62" t="s">
        <v>68</v>
      </c>
      <c r="Q62">
        <v>0</v>
      </c>
      <c r="R62">
        <v>0</v>
      </c>
      <c r="S62">
        <v>1</v>
      </c>
      <c r="T62">
        <v>0</v>
      </c>
      <c r="V62" t="s">
        <v>77</v>
      </c>
      <c r="W62" t="s">
        <v>68</v>
      </c>
      <c r="X62">
        <v>0</v>
      </c>
      <c r="Y62">
        <v>0</v>
      </c>
      <c r="Z62">
        <v>1</v>
      </c>
      <c r="AA62">
        <v>0</v>
      </c>
      <c r="AC62" t="s">
        <v>77</v>
      </c>
      <c r="AD62" t="s">
        <v>68</v>
      </c>
      <c r="AE62">
        <v>0</v>
      </c>
      <c r="AF62">
        <v>0</v>
      </c>
      <c r="AG62">
        <v>1</v>
      </c>
      <c r="AH62">
        <v>1</v>
      </c>
      <c r="AJ62" t="s">
        <v>77</v>
      </c>
      <c r="AK62" t="s">
        <v>68</v>
      </c>
      <c r="AL62">
        <v>0</v>
      </c>
      <c r="AM62">
        <v>0</v>
      </c>
      <c r="AN62">
        <v>1</v>
      </c>
      <c r="AO62">
        <v>0</v>
      </c>
      <c r="AQ62" t="s">
        <v>77</v>
      </c>
      <c r="AR62" t="s">
        <v>68</v>
      </c>
      <c r="AS62">
        <v>0</v>
      </c>
      <c r="AT62">
        <v>0</v>
      </c>
      <c r="AU62">
        <v>0</v>
      </c>
      <c r="AV62">
        <v>0</v>
      </c>
      <c r="AX62" t="s">
        <v>77</v>
      </c>
      <c r="AY62" t="s">
        <v>68</v>
      </c>
      <c r="AZ62">
        <v>0</v>
      </c>
      <c r="BA62">
        <v>0</v>
      </c>
      <c r="BB62">
        <v>0</v>
      </c>
      <c r="BC62">
        <v>0</v>
      </c>
      <c r="BE62" t="s">
        <v>77</v>
      </c>
      <c r="BF62" t="s">
        <v>68</v>
      </c>
      <c r="BG62">
        <v>0</v>
      </c>
      <c r="BH62">
        <v>0</v>
      </c>
      <c r="BI62">
        <v>1</v>
      </c>
      <c r="BJ62">
        <v>0</v>
      </c>
      <c r="BL62" t="s">
        <v>77</v>
      </c>
      <c r="BM62" t="s">
        <v>68</v>
      </c>
      <c r="BN62">
        <v>0</v>
      </c>
      <c r="BO62">
        <v>0</v>
      </c>
      <c r="BP62">
        <v>0</v>
      </c>
      <c r="BQ62">
        <v>0</v>
      </c>
      <c r="BS62" t="s">
        <v>77</v>
      </c>
      <c r="BT62" t="s">
        <v>68</v>
      </c>
      <c r="BU62">
        <v>0</v>
      </c>
      <c r="BV62">
        <v>0</v>
      </c>
      <c r="BW62">
        <v>0</v>
      </c>
      <c r="BX62">
        <v>0</v>
      </c>
      <c r="BZ62" t="s">
        <v>77</v>
      </c>
      <c r="CA62" t="s">
        <v>68</v>
      </c>
      <c r="CB62">
        <v>0</v>
      </c>
      <c r="CC62">
        <v>0</v>
      </c>
      <c r="CD62">
        <v>0</v>
      </c>
      <c r="CE62">
        <v>0</v>
      </c>
      <c r="CG62" t="s">
        <v>77</v>
      </c>
      <c r="CH62" t="s">
        <v>68</v>
      </c>
      <c r="CI62">
        <v>0</v>
      </c>
      <c r="CJ62">
        <v>0</v>
      </c>
      <c r="CK62">
        <v>0</v>
      </c>
      <c r="CL62">
        <v>0</v>
      </c>
      <c r="CN62" t="s">
        <v>77</v>
      </c>
      <c r="CO62" t="s">
        <v>68</v>
      </c>
      <c r="CP62">
        <v>0</v>
      </c>
      <c r="CQ62">
        <v>0</v>
      </c>
      <c r="CR62">
        <v>0</v>
      </c>
      <c r="CS62">
        <v>0</v>
      </c>
      <c r="CU62" t="s">
        <v>77</v>
      </c>
      <c r="CV62" t="s">
        <v>68</v>
      </c>
      <c r="CW62">
        <v>0</v>
      </c>
      <c r="CX62">
        <v>0</v>
      </c>
      <c r="CY62">
        <v>0</v>
      </c>
      <c r="CZ62">
        <v>0</v>
      </c>
      <c r="DB62" t="s">
        <v>77</v>
      </c>
      <c r="DC62" t="s">
        <v>68</v>
      </c>
      <c r="DD62">
        <v>0</v>
      </c>
      <c r="DE62">
        <v>0</v>
      </c>
      <c r="DF62">
        <v>0</v>
      </c>
      <c r="DG62">
        <v>0</v>
      </c>
      <c r="DI62" t="s">
        <v>77</v>
      </c>
      <c r="DJ62" t="s">
        <v>68</v>
      </c>
      <c r="DK62">
        <v>0</v>
      </c>
      <c r="DL62">
        <v>0</v>
      </c>
      <c r="DM62">
        <v>0</v>
      </c>
      <c r="DN62">
        <v>0</v>
      </c>
    </row>
    <row r="63" spans="1:118">
      <c r="A63" t="s">
        <v>38</v>
      </c>
      <c r="C63">
        <f>C53+C54+C55+C56+C57+C58+C59+C60+C61+C62</f>
        <v>3</v>
      </c>
      <c r="D63">
        <f>D53+D54+D55+D56+D57+D58+D59+D60+D61+D62</f>
        <v>0</v>
      </c>
      <c r="E63">
        <f>E53+E54+E55+E56+E57+E58+E59+E60+E61+E62</f>
        <v>28</v>
      </c>
      <c r="F63">
        <f>F53+F54+F55+F56+F57+F58+F59+F60+F61+F62</f>
        <v>111</v>
      </c>
      <c r="H63" t="s">
        <v>38</v>
      </c>
      <c r="J63">
        <f>J53+J54+J55+J56+J57+J58+J59+J60+J61+J62</f>
        <v>1</v>
      </c>
      <c r="K63">
        <f>K53+K54+K55+K56+K57+K58+K59+K60+K61+K62</f>
        <v>0</v>
      </c>
      <c r="L63">
        <f>L53+L54+L55+L56+L57+L58+L59+L60+L61+L62</f>
        <v>7</v>
      </c>
      <c r="M63">
        <f>M53+M54+M55+M56+M57+M58+M59+M60+M61+M62</f>
        <v>6</v>
      </c>
      <c r="O63" t="s">
        <v>38</v>
      </c>
      <c r="Q63">
        <f>Q53+Q54+Q55+Q56+Q57+Q58+Q59+Q60+Q61+Q62</f>
        <v>2</v>
      </c>
      <c r="R63">
        <f>R53+R54+R55+R56+R57+R58+R59+R60+R61+R62</f>
        <v>0</v>
      </c>
      <c r="S63">
        <f>S53+S54+S55+S56+S57+S58+S59+S60+S61+S62</f>
        <v>7</v>
      </c>
      <c r="T63">
        <f>T53+T54+T55+T56+T57+T58+T59+T60+T61+T62</f>
        <v>0</v>
      </c>
      <c r="V63" t="s">
        <v>38</v>
      </c>
      <c r="X63">
        <f>X53+X54+X55+X56+X57+X58+X59+X60+X61+X62</f>
        <v>0</v>
      </c>
      <c r="Y63">
        <f>Y53+Y54+Y55+Y56+Y57+Y58+Y59+Y60+Y61+Y62</f>
        <v>0</v>
      </c>
      <c r="Z63">
        <f>Z53+Z54+Z55+Z56+Z57+Z58+Z59+Z60+Z61+Z62</f>
        <v>4</v>
      </c>
      <c r="AA63">
        <f>AA53+AA54+AA55+AA56+AA57+AA58+AA59+AA60+AA61+AA62</f>
        <v>1</v>
      </c>
      <c r="AC63" t="s">
        <v>38</v>
      </c>
      <c r="AE63">
        <f>AE53+AE54+AE55+AE56+AE57+AE58+AE59+AE60+AE61+AE62</f>
        <v>1</v>
      </c>
      <c r="AF63">
        <f>AF53+AF54+AF55+AF56+AF57+AF58+AF59+AF60+AF61+AF62</f>
        <v>0</v>
      </c>
      <c r="AG63">
        <f>AG53+AG54+AG55+AG56+AG57+AG58+AG59+AG60+AG61+AG62</f>
        <v>4</v>
      </c>
      <c r="AH63">
        <f>AH53+AH54+AH55+AH56+AH57+AH58+AH59+AH60+AH61+AH62</f>
        <v>4</v>
      </c>
      <c r="AJ63" t="s">
        <v>38</v>
      </c>
      <c r="AL63">
        <f>AL53+AL54+AL55+AL56+AL57+AL58+AL59+AL60+AL61+AL62</f>
        <v>1</v>
      </c>
      <c r="AM63">
        <f>AM53+AM54+AM55+AM56+AM57+AM58+AM59+AM60+AM61+AM62</f>
        <v>0</v>
      </c>
      <c r="AN63">
        <f>AN53+AN54+AN55+AN56+AN57+AN58+AN59+AN60+AN61+AN62</f>
        <v>2</v>
      </c>
      <c r="AO63">
        <f>AO53+AO54+AO55+AO56+AO57+AO58+AO59+AO60+AO61+AO62</f>
        <v>1</v>
      </c>
      <c r="AQ63" t="s">
        <v>38</v>
      </c>
      <c r="AS63">
        <f>AS53+AS54+AS55+AS56+AS57+AS58+AS59+AS60+AS61+AS62</f>
        <v>1</v>
      </c>
      <c r="AT63">
        <f>AT53+AT54+AT55+AT56+AT57+AT58+AT59+AT60+AT61+AT62</f>
        <v>0</v>
      </c>
      <c r="AU63">
        <f>AU53+AU54+AU55+AU56+AU57+AU58+AU59+AU60+AU61+AU62</f>
        <v>0</v>
      </c>
      <c r="AV63">
        <f>AV53+AV54+AV55+AV56+AV57+AV58+AV59+AV60+AV61+AV62</f>
        <v>0</v>
      </c>
      <c r="AX63" t="s">
        <v>38</v>
      </c>
      <c r="AZ63">
        <f>AZ53+AZ54+AZ55+AZ56+AZ57+AZ58+AZ59+AZ60+AZ61+AZ62</f>
        <v>1</v>
      </c>
      <c r="BA63">
        <f>BA53+BA54+BA55+BA56+BA57+BA58+BA59+BA60+BA61+BA62</f>
        <v>0</v>
      </c>
      <c r="BB63">
        <f>BB53+BB54+BB55+BB56+BB57+BB58+BB59+BB60+BB61+BB62</f>
        <v>0</v>
      </c>
      <c r="BC63">
        <f>BC53+BC54+BC55+BC56+BC57+BC58+BC59+BC60+BC61+BC62</f>
        <v>2</v>
      </c>
      <c r="BE63" t="s">
        <v>38</v>
      </c>
      <c r="BG63">
        <f>BG53+BG54+BG55+BG56+BG57+BG58+BG59+BG60+BG61+BG62</f>
        <v>1</v>
      </c>
      <c r="BH63">
        <f>BH53+BH54+BH55+BH56+BH57+BH58+BH59+BH60+BH61+BH62</f>
        <v>0</v>
      </c>
      <c r="BI63">
        <f>BI53+BI54+BI55+BI56+BI57+BI58+BI59+BI60+BI61+BI62</f>
        <v>3</v>
      </c>
      <c r="BJ63">
        <f>BJ53+BJ54+BJ55+BJ56+BJ57+BJ58+BJ59+BJ60+BJ61+BJ62</f>
        <v>0</v>
      </c>
      <c r="BL63" t="s">
        <v>38</v>
      </c>
      <c r="BN63">
        <f>BN53+BN54+BN55+BN56+BN57+BN58+BN59+BN60+BN61+BN62</f>
        <v>1</v>
      </c>
      <c r="BO63">
        <f>BO53+BO54+BO55+BO56+BO57+BO58+BO59+BO60+BO61+BO62</f>
        <v>0</v>
      </c>
      <c r="BP63">
        <f>BP53+BP54+BP55+BP56+BP57+BP58+BP59+BP60+BP61+BP62</f>
        <v>1</v>
      </c>
      <c r="BQ63">
        <f>BQ53+BQ54+BQ55+BQ56+BQ57+BQ58+BQ59+BQ60+BQ61+BQ62</f>
        <v>2</v>
      </c>
      <c r="BS63" t="s">
        <v>38</v>
      </c>
      <c r="BU63">
        <f>BU53+BU54+BU55+BU56+BU57+BU58+BU59+BU60+BU61+BU62</f>
        <v>0</v>
      </c>
      <c r="BV63">
        <f>BV53+BV54+BV55+BV56+BV57+BV58+BV59+BV60+BV61+BV62</f>
        <v>0</v>
      </c>
      <c r="BW63">
        <f>BW53+BW54+BW55+BW56+BW57+BW58+BW59+BW60+BW61+BW62</f>
        <v>0</v>
      </c>
      <c r="BX63">
        <f>BX53+BX54+BX55+BX56+BX57+BX58+BX59+BX60+BX61+BX62</f>
        <v>0</v>
      </c>
      <c r="BZ63" t="s">
        <v>38</v>
      </c>
      <c r="CB63">
        <f>CB53+CB54+CB55+CB56+CB57+CB58+CB59+CB60+CB61+CB62</f>
        <v>0</v>
      </c>
      <c r="CC63">
        <f>CC53+CC54+CC55+CC56+CC57+CC58+CC59+CC60+CC61+CC62</f>
        <v>0</v>
      </c>
      <c r="CD63">
        <f>CD53+CD54+CD55+CD56+CD57+CD58+CD59+CD60+CD61+CD62</f>
        <v>0</v>
      </c>
      <c r="CE63">
        <f>CE53+CE54+CE55+CE56+CE57+CE58+CE59+CE60+CE61+CE62</f>
        <v>0</v>
      </c>
      <c r="CG63" t="s">
        <v>38</v>
      </c>
      <c r="CI63">
        <f>CI53+CI54+CI55+CI56+CI57+CI58+CI59+CI60+CI61+CI62</f>
        <v>0</v>
      </c>
      <c r="CJ63">
        <f>CJ53+CJ54+CJ55+CJ56+CJ57+CJ58+CJ59+CJ60+CJ61+CJ62</f>
        <v>0</v>
      </c>
      <c r="CK63">
        <f>CK53+CK54+CK55+CK56+CK57+CK58+CK59+CK60+CK61+CK62</f>
        <v>0</v>
      </c>
      <c r="CL63">
        <f>CL53+CL54+CL55+CL56+CL57+CL58+CL59+CL60+CL61+CL62</f>
        <v>0</v>
      </c>
      <c r="CN63" t="s">
        <v>38</v>
      </c>
      <c r="CP63">
        <f>CP53+CP54+CP55+CP56+CP57+CP58+CP59+CP60+CP61+CP62</f>
        <v>0</v>
      </c>
      <c r="CQ63">
        <f>CQ53+CQ54+CQ55+CQ56+CQ57+CQ58+CQ59+CQ60+CQ61+CQ62</f>
        <v>0</v>
      </c>
      <c r="CR63">
        <f>CR53+CR54+CR55+CR56+CR57+CR58+CR59+CR60+CR61+CR62</f>
        <v>0</v>
      </c>
      <c r="CS63">
        <f>CS53+CS54+CS55+CS56+CS57+CS58+CS59+CS60+CS61+CS62</f>
        <v>0</v>
      </c>
      <c r="CU63" t="s">
        <v>38</v>
      </c>
      <c r="CW63">
        <f>CW53+CW54+CW55+CW56+CW57+CW58+CW59+CW60+CW61+CW62</f>
        <v>0</v>
      </c>
      <c r="CX63">
        <f>CX53+CX54+CX55+CX56+CX57+CX58+CX59+CX60+CX61+CX62</f>
        <v>0</v>
      </c>
      <c r="CY63">
        <f>CY53+CY54+CY55+CY56+CY57+CY58+CY59+CY60+CY61+CY62</f>
        <v>0</v>
      </c>
      <c r="CZ63">
        <f>CZ53+CZ54+CZ55+CZ56+CZ57+CZ58+CZ59+CZ60+CZ61+CZ62</f>
        <v>0</v>
      </c>
      <c r="DB63" t="s">
        <v>38</v>
      </c>
      <c r="DD63">
        <f>DD53+DD54+DD55+DD56+DD57+DD58+DD59+DD60+DD61+DD62</f>
        <v>0</v>
      </c>
      <c r="DE63">
        <f>DE53+DE54+DE55+DE56+DE57+DE58+DE59+DE60+DE61+DE62</f>
        <v>0</v>
      </c>
      <c r="DF63">
        <f>DF53+DF54+DF55+DF56+DF57+DF58+DF59+DF60+DF61+DF62</f>
        <v>0</v>
      </c>
      <c r="DG63">
        <f>DG53+DG54+DG55+DG56+DG57+DG58+DG59+DG60+DG61+DG62</f>
        <v>0</v>
      </c>
      <c r="DI63" t="s">
        <v>38</v>
      </c>
      <c r="DK63">
        <f>DK53+DK54+DK55+DK56+DK57+DK58+DK59+DK60+DK61+DK62</f>
        <v>0</v>
      </c>
      <c r="DL63">
        <f>DL53+DL54+DL55+DL56+DL57+DL58+DL59+DL60+DL61+DL62</f>
        <v>0</v>
      </c>
      <c r="DM63">
        <f>DM53+DM54+DM55+DM56+DM57+DM58+DM59+DM60+DM61+DM62</f>
        <v>0</v>
      </c>
      <c r="DN63">
        <f>DN53+DN54+DN55+DN56+DN57+DN58+DN59+DN60+DN61+DN62</f>
        <v>0</v>
      </c>
    </row>
    <row r="64" spans="1:118" ht="18">
      <c r="A64" t="s">
        <v>39</v>
      </c>
      <c r="C64">
        <f>C63*10</f>
        <v>30</v>
      </c>
      <c r="D64" s="5">
        <f>D63*10</f>
        <v>0</v>
      </c>
      <c r="E64">
        <f>E63*10</f>
        <v>280</v>
      </c>
      <c r="F64" s="5">
        <f>F63*10</f>
        <v>1110</v>
      </c>
      <c r="H64" t="s">
        <v>39</v>
      </c>
      <c r="J64">
        <f>J63*10</f>
        <v>10</v>
      </c>
      <c r="K64" s="5">
        <f>K63*10</f>
        <v>0</v>
      </c>
      <c r="L64">
        <f>L63*10</f>
        <v>70</v>
      </c>
      <c r="M64" s="5">
        <f>M63*10</f>
        <v>60</v>
      </c>
      <c r="O64" t="s">
        <v>39</v>
      </c>
      <c r="Q64">
        <f>Q63*10</f>
        <v>20</v>
      </c>
      <c r="R64" s="5">
        <f>R63*10</f>
        <v>0</v>
      </c>
      <c r="S64">
        <f>S63*10</f>
        <v>70</v>
      </c>
      <c r="T64" s="5">
        <f>T63*10</f>
        <v>0</v>
      </c>
      <c r="V64" t="s">
        <v>39</v>
      </c>
      <c r="X64">
        <f>X63*10</f>
        <v>0</v>
      </c>
      <c r="Y64" s="5">
        <f>Y63*10</f>
        <v>0</v>
      </c>
      <c r="Z64">
        <f>Z63*10</f>
        <v>40</v>
      </c>
      <c r="AA64" s="5">
        <f>AA63*10</f>
        <v>10</v>
      </c>
      <c r="AC64" t="s">
        <v>39</v>
      </c>
      <c r="AE64">
        <f>AE63*10</f>
        <v>10</v>
      </c>
      <c r="AF64" s="5">
        <f>AF63*10</f>
        <v>0</v>
      </c>
      <c r="AG64">
        <f>AG63*10</f>
        <v>40</v>
      </c>
      <c r="AH64" s="5">
        <f>AH63*10</f>
        <v>40</v>
      </c>
      <c r="AJ64" t="s">
        <v>39</v>
      </c>
      <c r="AL64">
        <f>AL63*10</f>
        <v>10</v>
      </c>
      <c r="AM64" s="5">
        <f>AM63*10</f>
        <v>0</v>
      </c>
      <c r="AN64">
        <f>AN63*10</f>
        <v>20</v>
      </c>
      <c r="AO64" s="5">
        <f>AO63*10</f>
        <v>10</v>
      </c>
      <c r="AQ64" t="s">
        <v>39</v>
      </c>
      <c r="AS64">
        <f>AS63*10</f>
        <v>10</v>
      </c>
      <c r="AT64" s="5">
        <f>AT63*10</f>
        <v>0</v>
      </c>
      <c r="AU64">
        <f>AU63*10</f>
        <v>0</v>
      </c>
      <c r="AV64" s="5">
        <f>AV63*10</f>
        <v>0</v>
      </c>
      <c r="AX64" t="s">
        <v>39</v>
      </c>
      <c r="AZ64">
        <f>AZ63*10</f>
        <v>10</v>
      </c>
      <c r="BA64" s="5">
        <f>BA63*10</f>
        <v>0</v>
      </c>
      <c r="BB64">
        <f>BB63*10</f>
        <v>0</v>
      </c>
      <c r="BC64" s="5">
        <f>BC63*10</f>
        <v>20</v>
      </c>
      <c r="BE64" t="s">
        <v>39</v>
      </c>
      <c r="BG64">
        <f>BG63*10</f>
        <v>10</v>
      </c>
      <c r="BH64" s="5">
        <f>BH63*10</f>
        <v>0</v>
      </c>
      <c r="BI64">
        <f>BI63*10</f>
        <v>30</v>
      </c>
      <c r="BJ64" s="5">
        <f>BJ63*10</f>
        <v>0</v>
      </c>
      <c r="BL64" t="s">
        <v>39</v>
      </c>
      <c r="BN64">
        <f>BN63*10</f>
        <v>10</v>
      </c>
      <c r="BO64" s="5">
        <f>BO63*10</f>
        <v>0</v>
      </c>
      <c r="BP64">
        <f>BP63*10</f>
        <v>10</v>
      </c>
      <c r="BQ64" s="5">
        <f>BQ63*10</f>
        <v>20</v>
      </c>
      <c r="BS64" t="s">
        <v>39</v>
      </c>
      <c r="BU64">
        <f>BU63*10</f>
        <v>0</v>
      </c>
      <c r="BV64" s="5">
        <f>BV63*10</f>
        <v>0</v>
      </c>
      <c r="BW64">
        <f>BW63*10</f>
        <v>0</v>
      </c>
      <c r="BX64" s="5">
        <f>BX63*10</f>
        <v>0</v>
      </c>
      <c r="BZ64" t="s">
        <v>39</v>
      </c>
      <c r="CB64">
        <f>CB63*10</f>
        <v>0</v>
      </c>
      <c r="CC64" s="5">
        <f>CC63*10</f>
        <v>0</v>
      </c>
      <c r="CD64">
        <f>CD63*10</f>
        <v>0</v>
      </c>
      <c r="CE64" s="5">
        <f>CE63*10</f>
        <v>0</v>
      </c>
      <c r="CG64" t="s">
        <v>39</v>
      </c>
      <c r="CI64">
        <f>CI63*10</f>
        <v>0</v>
      </c>
      <c r="CJ64" s="5">
        <f>CJ63*10</f>
        <v>0</v>
      </c>
      <c r="CK64">
        <f>CK63*10</f>
        <v>0</v>
      </c>
      <c r="CL64" s="5">
        <f>CL63*10</f>
        <v>0</v>
      </c>
      <c r="CN64" t="s">
        <v>39</v>
      </c>
      <c r="CP64">
        <f>CP63*10</f>
        <v>0</v>
      </c>
      <c r="CQ64" s="5">
        <f>CQ63*10</f>
        <v>0</v>
      </c>
      <c r="CR64">
        <f>CR63*10</f>
        <v>0</v>
      </c>
      <c r="CS64" s="5">
        <f>CS63*10</f>
        <v>0</v>
      </c>
      <c r="CU64" t="s">
        <v>39</v>
      </c>
      <c r="CW64">
        <f>CW63*10</f>
        <v>0</v>
      </c>
      <c r="CX64" s="5">
        <f>CX63*10</f>
        <v>0</v>
      </c>
      <c r="CY64">
        <f>CY63*10</f>
        <v>0</v>
      </c>
      <c r="CZ64" s="5">
        <f>CZ63*10</f>
        <v>0</v>
      </c>
      <c r="DB64" t="s">
        <v>39</v>
      </c>
      <c r="DD64">
        <f>DD63*10</f>
        <v>0</v>
      </c>
      <c r="DE64" s="5">
        <f>DE63*10</f>
        <v>0</v>
      </c>
      <c r="DF64">
        <f>DF63*10</f>
        <v>0</v>
      </c>
      <c r="DG64" s="5">
        <f>DG63*10</f>
        <v>0</v>
      </c>
      <c r="DI64" t="s">
        <v>39</v>
      </c>
      <c r="DK64">
        <f>DK63*10</f>
        <v>0</v>
      </c>
      <c r="DL64" s="5">
        <f>DL63*10</f>
        <v>0</v>
      </c>
      <c r="DM64">
        <f>DM63*10</f>
        <v>0</v>
      </c>
      <c r="DN64" s="5">
        <f>DN63*10</f>
        <v>0</v>
      </c>
    </row>
    <row r="65" spans="1:118">
      <c r="A65" t="s">
        <v>40</v>
      </c>
      <c r="C65">
        <f>AVERAGE(C53:C62)</f>
        <v>0.3</v>
      </c>
      <c r="D65">
        <f>AVERAGE(D53:D62)</f>
        <v>0</v>
      </c>
      <c r="E65">
        <f>AVERAGE(E53:E62)</f>
        <v>2.8</v>
      </c>
      <c r="F65">
        <f>AVERAGE(F53:F62)</f>
        <v>11.1</v>
      </c>
      <c r="H65" t="s">
        <v>40</v>
      </c>
      <c r="J65">
        <f>AVERAGE(J53:J62)</f>
        <v>0.1</v>
      </c>
      <c r="K65">
        <f>AVERAGE(K53:K62)</f>
        <v>0</v>
      </c>
      <c r="L65">
        <f>AVERAGE(L53:L62)</f>
        <v>0.77777777777777779</v>
      </c>
      <c r="M65">
        <f>AVERAGE(M53:M62)</f>
        <v>0.6</v>
      </c>
      <c r="O65" t="s">
        <v>40</v>
      </c>
      <c r="Q65">
        <f>AVERAGE(Q53:Q62)</f>
        <v>0.2</v>
      </c>
      <c r="R65">
        <f>AVERAGE(R53:R62)</f>
        <v>0</v>
      </c>
      <c r="S65">
        <f>AVERAGE(S53:S62)</f>
        <v>0.7</v>
      </c>
      <c r="T65">
        <f>AVERAGE(T53:T62)</f>
        <v>0</v>
      </c>
      <c r="V65" t="s">
        <v>40</v>
      </c>
      <c r="X65">
        <f>AVERAGE(X53:X62)</f>
        <v>0</v>
      </c>
      <c r="Y65">
        <f>AVERAGE(Y53:Y62)</f>
        <v>0</v>
      </c>
      <c r="Z65">
        <f>AVERAGE(Z53:Z62)</f>
        <v>0.4</v>
      </c>
      <c r="AA65">
        <f>AVERAGE(AA53:AA62)</f>
        <v>0.1</v>
      </c>
      <c r="AC65" t="s">
        <v>40</v>
      </c>
      <c r="AE65">
        <f>AVERAGE(AE53:AE62)</f>
        <v>0.1</v>
      </c>
      <c r="AF65">
        <f>AVERAGE(AF53:AF62)</f>
        <v>0</v>
      </c>
      <c r="AG65">
        <f>AVERAGE(AG53:AG62)</f>
        <v>0.4</v>
      </c>
      <c r="AH65">
        <f>AVERAGE(AH53:AH62)</f>
        <v>0.4</v>
      </c>
      <c r="AJ65" t="s">
        <v>40</v>
      </c>
      <c r="AL65">
        <f>AVERAGE(AL53:AL62)</f>
        <v>0.1</v>
      </c>
      <c r="AM65">
        <f>AVERAGE(AM53:AM62)</f>
        <v>0</v>
      </c>
      <c r="AN65">
        <f>AVERAGE(AN53:AN62)</f>
        <v>0.2</v>
      </c>
      <c r="AO65">
        <f>AVERAGE(AO53:AO62)</f>
        <v>0.1</v>
      </c>
      <c r="AQ65" t="s">
        <v>40</v>
      </c>
      <c r="AS65">
        <f>(AS62/1)*100</f>
        <v>0</v>
      </c>
      <c r="AT65">
        <f>(AT62/1)*100</f>
        <v>0</v>
      </c>
      <c r="AU65">
        <f>(AU62/1)*100</f>
        <v>0</v>
      </c>
      <c r="AV65">
        <f>(AV62/1)*100</f>
        <v>0</v>
      </c>
      <c r="AX65" t="s">
        <v>40</v>
      </c>
      <c r="AZ65">
        <f>AVERAGE(AZ53:AZ62)</f>
        <v>0.1</v>
      </c>
      <c r="BA65">
        <f>AVERAGE(BA53:BA62)</f>
        <v>0</v>
      </c>
      <c r="BB65">
        <f>AVERAGE(BB53:BB62)</f>
        <v>0</v>
      </c>
      <c r="BC65">
        <f>AVERAGE(BC53:BC62)</f>
        <v>0.2</v>
      </c>
      <c r="BE65" t="s">
        <v>40</v>
      </c>
      <c r="BG65">
        <f>AVERAGE(BG53:BG62)</f>
        <v>0.1</v>
      </c>
      <c r="BH65">
        <f>AVERAGE(BH53:BH62)</f>
        <v>0</v>
      </c>
      <c r="BI65">
        <f>AVERAGE(BI53:BI62)</f>
        <v>0.3</v>
      </c>
      <c r="BJ65">
        <f>AVERAGE(BJ53:BJ62)</f>
        <v>0</v>
      </c>
      <c r="BL65" t="s">
        <v>40</v>
      </c>
      <c r="BN65">
        <f>AVERAGE(BN53:BN62)</f>
        <v>0.1</v>
      </c>
      <c r="BO65">
        <f>AVERAGE(BO53:BO62)</f>
        <v>0</v>
      </c>
      <c r="BP65">
        <f>AVERAGE(BP53:BP62)</f>
        <v>0.1</v>
      </c>
      <c r="BQ65">
        <f>AVERAGE(BQ53:BQ62)</f>
        <v>0.2</v>
      </c>
      <c r="BS65" t="s">
        <v>40</v>
      </c>
      <c r="BU65">
        <f>AVERAGE(BU53:BU62)</f>
        <v>0</v>
      </c>
      <c r="BV65">
        <f>AVERAGE(BV53:BV62)</f>
        <v>0</v>
      </c>
      <c r="BW65">
        <f>AVERAGE(BW53:BW62)</f>
        <v>0</v>
      </c>
      <c r="BX65">
        <f>AVERAGE(BX53:BX62)</f>
        <v>0</v>
      </c>
      <c r="BZ65" t="s">
        <v>40</v>
      </c>
      <c r="CB65">
        <f>AVERAGE(CB53:CB62)</f>
        <v>0</v>
      </c>
      <c r="CC65">
        <f>AVERAGE(CC53:CC62)</f>
        <v>0</v>
      </c>
      <c r="CD65">
        <f>AVERAGE(CD53:CD62)</f>
        <v>0</v>
      </c>
      <c r="CE65">
        <f>AVERAGE(CE53:CE62)</f>
        <v>0</v>
      </c>
      <c r="CG65" t="s">
        <v>40</v>
      </c>
      <c r="CI65">
        <f>AVERAGE(CI53:CI62)</f>
        <v>0</v>
      </c>
      <c r="CJ65">
        <f>AVERAGE(CJ53:CJ62)</f>
        <v>0</v>
      </c>
      <c r="CK65">
        <f>AVERAGE(CK53:CK62)</f>
        <v>0</v>
      </c>
      <c r="CL65">
        <f>AVERAGE(CL53:CL62)</f>
        <v>0</v>
      </c>
      <c r="CN65" t="s">
        <v>40</v>
      </c>
      <c r="CP65">
        <f>AVERAGE(CP53:CP62)</f>
        <v>0</v>
      </c>
      <c r="CQ65">
        <f>AVERAGE(CQ53:CQ62)</f>
        <v>0</v>
      </c>
      <c r="CR65">
        <f>AVERAGE(CR53:CR62)</f>
        <v>0</v>
      </c>
      <c r="CS65">
        <f>AVERAGE(CS53:CS62)</f>
        <v>0</v>
      </c>
      <c r="CU65" t="s">
        <v>40</v>
      </c>
      <c r="CW65">
        <f>AVERAGE(CW53:CW62)</f>
        <v>0</v>
      </c>
      <c r="CX65">
        <f>AVERAGE(CX53:CX62)</f>
        <v>0</v>
      </c>
      <c r="CY65">
        <f>AVERAGE(CY53:CY62)</f>
        <v>0</v>
      </c>
      <c r="CZ65">
        <f>AVERAGE(CZ53:CZ62)</f>
        <v>0</v>
      </c>
      <c r="DB65" t="s">
        <v>40</v>
      </c>
      <c r="DD65">
        <f>AVERAGE(DD53:DD62)</f>
        <v>0</v>
      </c>
      <c r="DE65">
        <f>AVERAGE(DE53:DE62)</f>
        <v>0</v>
      </c>
      <c r="DF65">
        <f>AVERAGE(DF53:DF62)</f>
        <v>0</v>
      </c>
      <c r="DG65">
        <f>AVERAGE(DG53:DG62)</f>
        <v>0</v>
      </c>
      <c r="DI65" t="s">
        <v>40</v>
      </c>
      <c r="DK65">
        <f>AVERAGE(DK53:DK62)</f>
        <v>0</v>
      </c>
      <c r="DL65">
        <f>AVERAGE(DL53:DL62)</f>
        <v>0</v>
      </c>
      <c r="DM65">
        <f>AVERAGE(DM53:DM62)</f>
        <v>0</v>
      </c>
      <c r="DN65">
        <f>AVERAGE(DN53:DN62)</f>
        <v>0</v>
      </c>
    </row>
    <row r="66" spans="1:118">
      <c r="A66" t="s">
        <v>41</v>
      </c>
      <c r="C66">
        <f>(C65/3)*100</f>
        <v>10</v>
      </c>
      <c r="D66">
        <f>(D65/3)*100</f>
        <v>0</v>
      </c>
      <c r="E66">
        <f>(E65/3)*100</f>
        <v>93.333333333333329</v>
      </c>
      <c r="F66">
        <f>(F65/3)*100</f>
        <v>370</v>
      </c>
      <c r="H66" t="s">
        <v>41</v>
      </c>
      <c r="J66">
        <f>(J65/1)*100</f>
        <v>10</v>
      </c>
      <c r="K66">
        <f>(K65/1)*100</f>
        <v>0</v>
      </c>
      <c r="L66">
        <f>(L65/1)*100</f>
        <v>77.777777777777786</v>
      </c>
      <c r="M66">
        <f>(M65/1)*100</f>
        <v>60</v>
      </c>
      <c r="O66" t="s">
        <v>41</v>
      </c>
      <c r="Q66">
        <f>(Q65/1)*100</f>
        <v>20</v>
      </c>
      <c r="R66">
        <f>(R65/1)*100</f>
        <v>0</v>
      </c>
      <c r="S66">
        <f>(S65/1)*100</f>
        <v>70</v>
      </c>
      <c r="T66">
        <f>(T65/1)*100</f>
        <v>0</v>
      </c>
      <c r="V66" t="s">
        <v>41</v>
      </c>
      <c r="X66">
        <f>(X65/1)*100</f>
        <v>0</v>
      </c>
      <c r="Y66">
        <f>(Y65/1)*100</f>
        <v>0</v>
      </c>
      <c r="Z66">
        <f>(Z65/1)*100</f>
        <v>40</v>
      </c>
      <c r="AA66">
        <f>(AA65/1)*100</f>
        <v>10</v>
      </c>
      <c r="AC66" t="s">
        <v>41</v>
      </c>
      <c r="AE66">
        <f>(AE65/2)*100</f>
        <v>5</v>
      </c>
      <c r="AF66">
        <f>(AF65/2)*100</f>
        <v>0</v>
      </c>
      <c r="AG66">
        <f>(AG65/2)*100</f>
        <v>20</v>
      </c>
      <c r="AH66">
        <f>(AH65/2)*100</f>
        <v>20</v>
      </c>
      <c r="AJ66" t="s">
        <v>41</v>
      </c>
      <c r="AL66">
        <f>(AL65/1)*100</f>
        <v>10</v>
      </c>
      <c r="AM66">
        <f>(AM65/1)*100</f>
        <v>0</v>
      </c>
      <c r="AN66">
        <f>(AN65/1)*100</f>
        <v>20</v>
      </c>
      <c r="AO66">
        <f>(AO65/1)*100</f>
        <v>10</v>
      </c>
      <c r="AQ66" t="s">
        <v>41</v>
      </c>
      <c r="AX66" t="s">
        <v>41</v>
      </c>
      <c r="AZ66">
        <f>(AZ65/1)*100</f>
        <v>10</v>
      </c>
      <c r="BA66">
        <f>(BA65/1)*100</f>
        <v>0</v>
      </c>
      <c r="BB66">
        <f>(BB65/1)*100</f>
        <v>0</v>
      </c>
      <c r="BC66">
        <f>(BC65/1)*100</f>
        <v>20</v>
      </c>
      <c r="BE66" t="s">
        <v>41</v>
      </c>
      <c r="BG66">
        <f>(BG65/1)*100</f>
        <v>10</v>
      </c>
      <c r="BH66">
        <f>(BH65/1)*100</f>
        <v>0</v>
      </c>
      <c r="BI66">
        <f>(BI65/1)*100</f>
        <v>30</v>
      </c>
      <c r="BJ66">
        <f>(BJ65/1)*100</f>
        <v>0</v>
      </c>
      <c r="BL66" t="s">
        <v>41</v>
      </c>
      <c r="BN66">
        <f>(BN65/4)*100</f>
        <v>2.5</v>
      </c>
      <c r="BO66">
        <f>(BO65/4)*100</f>
        <v>0</v>
      </c>
      <c r="BP66">
        <f>(BP65/4)*100</f>
        <v>2.5</v>
      </c>
      <c r="BQ66">
        <f>(BQ65/4)*100</f>
        <v>5</v>
      </c>
      <c r="BS66" t="s">
        <v>41</v>
      </c>
      <c r="BU66">
        <f>(BU65/4)*100</f>
        <v>0</v>
      </c>
      <c r="BV66">
        <f>(BV65/4)*100</f>
        <v>0</v>
      </c>
      <c r="BW66">
        <f>(BW65/4)*100</f>
        <v>0</v>
      </c>
      <c r="BX66">
        <f>(BX65/4)*100</f>
        <v>0</v>
      </c>
      <c r="BZ66" t="s">
        <v>41</v>
      </c>
      <c r="CB66">
        <f>(CB65/3)*100</f>
        <v>0</v>
      </c>
      <c r="CC66">
        <f>(CC65/3)*100</f>
        <v>0</v>
      </c>
      <c r="CD66">
        <f>(CD65/3)*100</f>
        <v>0</v>
      </c>
      <c r="CE66">
        <f>(CE65/3)*100</f>
        <v>0</v>
      </c>
      <c r="CG66" t="s">
        <v>41</v>
      </c>
      <c r="CI66">
        <f>(CI65/3)*100</f>
        <v>0</v>
      </c>
      <c r="CJ66">
        <f>(CJ65/3)*100</f>
        <v>0</v>
      </c>
      <c r="CK66">
        <f>(CK65/3)*100</f>
        <v>0</v>
      </c>
      <c r="CL66">
        <f>(CL65/3)*100</f>
        <v>0</v>
      </c>
      <c r="CN66" t="s">
        <v>41</v>
      </c>
      <c r="CP66">
        <f>(CP65/3)*100</f>
        <v>0</v>
      </c>
      <c r="CQ66">
        <f>(CQ65/3)*100</f>
        <v>0</v>
      </c>
      <c r="CR66">
        <f>(CR65/3)*100</f>
        <v>0</v>
      </c>
      <c r="CS66">
        <f>(CS65/3)*100</f>
        <v>0</v>
      </c>
      <c r="CU66" t="s">
        <v>41</v>
      </c>
      <c r="CW66">
        <f>SUM(CW65,)/4*100</f>
        <v>0</v>
      </c>
      <c r="CX66">
        <f>SUM(CX65,)/4*100</f>
        <v>0</v>
      </c>
      <c r="CY66">
        <f>SUM(CY65,)/4*100</f>
        <v>0</v>
      </c>
      <c r="CZ66">
        <f>SUM(CZ65,)/4*100</f>
        <v>0</v>
      </c>
      <c r="DB66" t="s">
        <v>41</v>
      </c>
      <c r="DD66">
        <v>0</v>
      </c>
      <c r="DE66">
        <f>SUM(DE65,)/4*100</f>
        <v>0</v>
      </c>
      <c r="DF66">
        <v>0</v>
      </c>
      <c r="DG66">
        <f>SUM(DG65,)/4*100</f>
        <v>0</v>
      </c>
      <c r="DI66" t="s">
        <v>41</v>
      </c>
      <c r="DK66">
        <v>0</v>
      </c>
      <c r="DL66">
        <f>SUM(DL65,)/4*100</f>
        <v>0</v>
      </c>
      <c r="DM66">
        <v>0</v>
      </c>
      <c r="DN66">
        <f>SUM(DN65,)/4*100</f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2017-10-25T22:40:27Z</dcterms:created>
  <dcterms:modified xsi:type="dcterms:W3CDTF">2017-10-25T22:41:19Z</dcterms:modified>
</cp:coreProperties>
</file>