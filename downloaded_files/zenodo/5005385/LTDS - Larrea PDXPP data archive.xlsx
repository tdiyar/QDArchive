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15020" yWindow="2620" windowWidth="25600" windowHeight="19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D45" i="1" l="1"/>
  <c r="AE45" i="1"/>
  <c r="AD46" i="1"/>
  <c r="AE46" i="1"/>
  <c r="AD47" i="1"/>
  <c r="AE47" i="1"/>
  <c r="AD48" i="1"/>
  <c r="AE48" i="1"/>
  <c r="AD49" i="1"/>
  <c r="AE49" i="1"/>
  <c r="AD50" i="1"/>
  <c r="AE50" i="1"/>
  <c r="AD51" i="1"/>
  <c r="AE51" i="1"/>
  <c r="AD52" i="1"/>
  <c r="AE52" i="1"/>
  <c r="AD53" i="1"/>
  <c r="AE53" i="1"/>
  <c r="AD54" i="1"/>
  <c r="AE54" i="1"/>
  <c r="AE56" i="1"/>
  <c r="AE57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Y51" i="1"/>
  <c r="X52" i="1"/>
  <c r="Y52" i="1"/>
  <c r="X53" i="1"/>
  <c r="Y53" i="1"/>
  <c r="X54" i="1"/>
  <c r="Y54" i="1"/>
  <c r="Y56" i="1"/>
  <c r="Y57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S56" i="1"/>
  <c r="S57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M56" i="1"/>
  <c r="M57" i="1"/>
  <c r="AE55" i="1"/>
  <c r="Y55" i="1"/>
  <c r="S55" i="1"/>
  <c r="M55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H55" i="1"/>
  <c r="AD31" i="1"/>
  <c r="AE31" i="1"/>
  <c r="AD32" i="1"/>
  <c r="AE32" i="1"/>
  <c r="AD33" i="1"/>
  <c r="AE33" i="1"/>
  <c r="AD34" i="1"/>
  <c r="AE34" i="1"/>
  <c r="AD35" i="1"/>
  <c r="AE35" i="1"/>
  <c r="AD36" i="1"/>
  <c r="AE36" i="1"/>
  <c r="AD37" i="1"/>
  <c r="AE37" i="1"/>
  <c r="AD38" i="1"/>
  <c r="AE38" i="1"/>
  <c r="AD39" i="1"/>
  <c r="AE39" i="1"/>
  <c r="AD40" i="1"/>
  <c r="AE40" i="1"/>
  <c r="AE42" i="1"/>
  <c r="AE43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Y42" i="1"/>
  <c r="Y43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S42" i="1"/>
  <c r="S43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M42" i="1"/>
  <c r="M43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H42" i="1"/>
  <c r="H43" i="1"/>
  <c r="AE41" i="1"/>
  <c r="Y41" i="1"/>
  <c r="S41" i="1"/>
  <c r="M41" i="1"/>
  <c r="H41" i="1"/>
  <c r="AD17" i="1"/>
  <c r="AE17" i="1"/>
  <c r="AD18" i="1"/>
  <c r="AE18" i="1"/>
  <c r="AD19" i="1"/>
  <c r="AE19" i="1"/>
  <c r="AD20" i="1"/>
  <c r="AE20" i="1"/>
  <c r="AD21" i="1"/>
  <c r="AE21" i="1"/>
  <c r="AD22" i="1"/>
  <c r="AE22" i="1"/>
  <c r="AD23" i="1"/>
  <c r="AE23" i="1"/>
  <c r="AD24" i="1"/>
  <c r="AE24" i="1"/>
  <c r="AD25" i="1"/>
  <c r="AE25" i="1"/>
  <c r="AD26" i="1"/>
  <c r="AE26" i="1"/>
  <c r="AE28" i="1"/>
  <c r="AE29" i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Y28" i="1"/>
  <c r="Y29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S28" i="1"/>
  <c r="S29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M28" i="1"/>
  <c r="M29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H28" i="1"/>
  <c r="H29" i="1"/>
  <c r="AE27" i="1"/>
  <c r="Y27" i="1"/>
  <c r="S27" i="1"/>
  <c r="M27" i="1"/>
  <c r="H27" i="1"/>
  <c r="AD3" i="1"/>
  <c r="AE3" i="1"/>
  <c r="AD4" i="1"/>
  <c r="AE4" i="1"/>
  <c r="AD5" i="1"/>
  <c r="AE5" i="1"/>
  <c r="AD6" i="1"/>
  <c r="AE6" i="1"/>
  <c r="AD7" i="1"/>
  <c r="AE7" i="1"/>
  <c r="AD8" i="1"/>
  <c r="AE8" i="1"/>
  <c r="AD9" i="1"/>
  <c r="AE9" i="1"/>
  <c r="AD10" i="1"/>
  <c r="AE10" i="1"/>
  <c r="AD11" i="1"/>
  <c r="AE11" i="1"/>
  <c r="AD12" i="1"/>
  <c r="AE12" i="1"/>
  <c r="AE14" i="1"/>
  <c r="AE15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Y14" i="1"/>
  <c r="Y15" i="1"/>
  <c r="R3" i="1"/>
  <c r="S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S14" i="1"/>
  <c r="S15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M14" i="1"/>
  <c r="M15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H14" i="1"/>
  <c r="H15" i="1"/>
  <c r="AE13" i="1"/>
  <c r="Y13" i="1"/>
  <c r="S13" i="1"/>
  <c r="M13" i="1"/>
  <c r="H13" i="1"/>
</calcChain>
</file>

<file path=xl/sharedStrings.xml><?xml version="1.0" encoding="utf-8"?>
<sst xmlns="http://schemas.openxmlformats.org/spreadsheetml/2006/main" count="304" uniqueCount="70">
  <si>
    <t>Larrea monitored shrubs, PDXPPs, 19 June 03</t>
  </si>
  <si>
    <t>PDXPPs,31 May-1 June,'04</t>
  </si>
  <si>
    <t>PDXPPs, 20-23 June 2005</t>
  </si>
  <si>
    <t>PDXPPs, 24-25 June 2006</t>
  </si>
  <si>
    <t>PDXPPs, 17-18 June 2014</t>
  </si>
  <si>
    <t>83 LABELS</t>
  </si>
  <si>
    <t>Treatment</t>
  </si>
  <si>
    <t>twig 1</t>
  </si>
  <si>
    <t>twig 2</t>
  </si>
  <si>
    <t>twig 3</t>
  </si>
  <si>
    <t>twig 4</t>
  </si>
  <si>
    <t>AVE, psi</t>
  </si>
  <si>
    <t>AVE, Mpa</t>
  </si>
  <si>
    <t>LC1</t>
  </si>
  <si>
    <t>Control</t>
  </si>
  <si>
    <t>LC2</t>
  </si>
  <si>
    <t>LC3</t>
  </si>
  <si>
    <t>LC4</t>
  </si>
  <si>
    <t>LC5</t>
  </si>
  <si>
    <t>LC6</t>
  </si>
  <si>
    <t>LC7</t>
  </si>
  <si>
    <t>LC8</t>
  </si>
  <si>
    <t>LC9</t>
  </si>
  <si>
    <t>LC10</t>
  </si>
  <si>
    <t>AVE</t>
  </si>
  <si>
    <t>s.d.</t>
  </si>
  <si>
    <t>95%conf</t>
  </si>
  <si>
    <t>L02</t>
  </si>
  <si>
    <t>L removal</t>
  </si>
  <si>
    <t>L2</t>
  </si>
  <si>
    <t>L03</t>
  </si>
  <si>
    <t>L3</t>
  </si>
  <si>
    <t>L05</t>
  </si>
  <si>
    <t>L5</t>
  </si>
  <si>
    <t>L07</t>
  </si>
  <si>
    <t>L7</t>
  </si>
  <si>
    <t>L13</t>
  </si>
  <si>
    <t>L14</t>
  </si>
  <si>
    <t>L21</t>
  </si>
  <si>
    <t>L24</t>
  </si>
  <si>
    <t>L25</t>
  </si>
  <si>
    <t>L29</t>
  </si>
  <si>
    <t>95% conf</t>
  </si>
  <si>
    <t>L01</t>
  </si>
  <si>
    <t>A removal</t>
  </si>
  <si>
    <t>L1</t>
  </si>
  <si>
    <t>L06</t>
  </si>
  <si>
    <t>L6</t>
  </si>
  <si>
    <t>L09</t>
  </si>
  <si>
    <t>L9</t>
  </si>
  <si>
    <t>L12</t>
  </si>
  <si>
    <t>L18</t>
  </si>
  <si>
    <t>L19</t>
  </si>
  <si>
    <t>L22</t>
  </si>
  <si>
    <t>L26</t>
  </si>
  <si>
    <t>L27</t>
  </si>
  <si>
    <t>L28</t>
  </si>
  <si>
    <t>L04</t>
  </si>
  <si>
    <t>T removal</t>
  </si>
  <si>
    <t>L4</t>
  </si>
  <si>
    <t>L08</t>
  </si>
  <si>
    <t>L8</t>
  </si>
  <si>
    <t>L10</t>
  </si>
  <si>
    <t>L11</t>
  </si>
  <si>
    <t>L15</t>
  </si>
  <si>
    <t>L16</t>
  </si>
  <si>
    <t>L17</t>
  </si>
  <si>
    <t>L20</t>
  </si>
  <si>
    <t>L23</t>
  </si>
  <si>
    <t>L30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</si>
</sst>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4"/>
      <name val="Verdan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 quotePrefix="1"/>
    <xf numFmtId="1" fontId="0" fillId="0" borderId="0" xfId="0" applyNumberFormat="1"/>
    <xf numFmtId="2" fontId="0" fillId="0" borderId="0" xfId="0" applyNumberFormat="1"/>
    <xf numFmtId="2" fontId="1" fillId="0" borderId="1" xfId="0" applyNumberFormat="1" applyFont="1" applyBorder="1"/>
    <xf numFmtId="2" fontId="1" fillId="0" borderId="0" xfId="0" applyNumberFormat="1" applyFont="1" applyBorder="1"/>
    <xf numFmtId="2" fontId="1" fillId="0" borderId="2" xfId="0" applyNumberFormat="1" applyFont="1" applyBorder="1"/>
    <xf numFmtId="9" fontId="0" fillId="0" borderId="0" xfId="0" applyNumberFormat="1"/>
    <xf numFmtId="2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7"/>
  <sheetViews>
    <sheetView tabSelected="1" showRuler="0" workbookViewId="0">
      <selection sqref="A1:AF59"/>
    </sheetView>
  </sheetViews>
  <sheetFormatPr baseColWidth="10" defaultRowHeight="15" x14ac:dyDescent="0"/>
  <sheetData>
    <row r="1" spans="1:31">
      <c r="A1" t="s">
        <v>0</v>
      </c>
      <c r="J1" t="s">
        <v>1</v>
      </c>
      <c r="O1" s="1" t="s">
        <v>2</v>
      </c>
      <c r="P1" s="1"/>
      <c r="Q1" s="1"/>
      <c r="R1" s="1"/>
      <c r="U1" s="1" t="s">
        <v>3</v>
      </c>
      <c r="V1" s="1"/>
      <c r="W1" s="1"/>
      <c r="X1" s="1"/>
      <c r="AA1" s="1" t="s">
        <v>4</v>
      </c>
      <c r="AB1" s="1"/>
      <c r="AC1" s="1"/>
      <c r="AD1" s="1"/>
    </row>
    <row r="2" spans="1:31">
      <c r="A2" s="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J2" t="s">
        <v>7</v>
      </c>
      <c r="K2" t="s">
        <v>8</v>
      </c>
      <c r="L2" t="s">
        <v>11</v>
      </c>
      <c r="M2" t="s">
        <v>12</v>
      </c>
      <c r="O2" t="s">
        <v>7</v>
      </c>
      <c r="P2" t="s">
        <v>8</v>
      </c>
      <c r="Q2" t="s">
        <v>9</v>
      </c>
      <c r="R2" t="s">
        <v>11</v>
      </c>
      <c r="S2" t="s">
        <v>12</v>
      </c>
      <c r="U2" t="s">
        <v>7</v>
      </c>
      <c r="V2" t="s">
        <v>8</v>
      </c>
      <c r="W2" t="s">
        <v>9</v>
      </c>
      <c r="X2" t="s">
        <v>11</v>
      </c>
      <c r="Y2" t="s">
        <v>12</v>
      </c>
      <c r="AA2" t="s">
        <v>7</v>
      </c>
      <c r="AB2" t="s">
        <v>8</v>
      </c>
      <c r="AC2" t="s">
        <v>9</v>
      </c>
      <c r="AD2" t="s">
        <v>11</v>
      </c>
      <c r="AE2" t="s">
        <v>12</v>
      </c>
    </row>
    <row r="3" spans="1:31">
      <c r="A3" t="s">
        <v>13</v>
      </c>
      <c r="B3" t="s">
        <v>14</v>
      </c>
      <c r="C3">
        <v>840</v>
      </c>
      <c r="D3">
        <v>850</v>
      </c>
      <c r="E3">
        <v>810</v>
      </c>
      <c r="G3" s="3">
        <f t="shared" ref="G3:G54" si="0">AVERAGE(C3:F3)</f>
        <v>833.33333333333337</v>
      </c>
      <c r="H3" s="4">
        <f>G3*0.00689</f>
        <v>5.7416666666666671</v>
      </c>
      <c r="I3" t="s">
        <v>13</v>
      </c>
      <c r="J3" s="4">
        <v>800</v>
      </c>
      <c r="K3" s="4">
        <v>810</v>
      </c>
      <c r="L3" s="4">
        <f>AVERAGE(J3:K3)</f>
        <v>805</v>
      </c>
      <c r="M3" s="4">
        <f t="shared" ref="M3:M12" si="1">L3*0.00689</f>
        <v>5.5464500000000001</v>
      </c>
      <c r="N3" t="s">
        <v>13</v>
      </c>
      <c r="O3">
        <v>450</v>
      </c>
      <c r="P3">
        <v>490</v>
      </c>
      <c r="R3">
        <f>AVERAGE(O3:Q3)</f>
        <v>470</v>
      </c>
      <c r="S3" s="4">
        <f t="shared" ref="S3:S12" si="2">R3*0.00689</f>
        <v>3.2383000000000002</v>
      </c>
      <c r="T3" t="s">
        <v>13</v>
      </c>
      <c r="U3">
        <v>770</v>
      </c>
      <c r="V3">
        <v>770</v>
      </c>
      <c r="X3">
        <f t="shared" ref="X3:X12" si="3">AVERAGE(U3:W3)</f>
        <v>770</v>
      </c>
      <c r="Y3" s="4">
        <f t="shared" ref="Y3:Y12" si="4">X3*0.00689</f>
        <v>5.3052999999999999</v>
      </c>
      <c r="Z3" t="s">
        <v>13</v>
      </c>
      <c r="AA3">
        <v>920</v>
      </c>
      <c r="AB3">
        <v>940</v>
      </c>
      <c r="AD3">
        <f t="shared" ref="AD3:AD12" si="5">AVERAGE(AA3:AC3)</f>
        <v>930</v>
      </c>
      <c r="AE3" s="4">
        <f t="shared" ref="AE3:AE12" si="6">AD3*0.00689</f>
        <v>6.4077000000000002</v>
      </c>
    </row>
    <row r="4" spans="1:31">
      <c r="A4" t="s">
        <v>15</v>
      </c>
      <c r="B4" t="s">
        <v>14</v>
      </c>
      <c r="C4">
        <v>1030</v>
      </c>
      <c r="D4">
        <v>910</v>
      </c>
      <c r="E4">
        <v>1040</v>
      </c>
      <c r="F4">
        <v>960</v>
      </c>
      <c r="G4" s="3">
        <f t="shared" si="0"/>
        <v>985</v>
      </c>
      <c r="H4" s="4">
        <f t="shared" ref="H4:H54" si="7">G4*0.00689</f>
        <v>6.7866499999999998</v>
      </c>
      <c r="I4" t="s">
        <v>15</v>
      </c>
      <c r="J4" s="4">
        <v>1170</v>
      </c>
      <c r="K4" s="4">
        <v>1070</v>
      </c>
      <c r="L4" s="4">
        <f t="shared" ref="L4:L12" si="8">AVERAGE(J4:K4)</f>
        <v>1120</v>
      </c>
      <c r="M4" s="4">
        <f t="shared" si="1"/>
        <v>7.7168000000000001</v>
      </c>
      <c r="N4" t="s">
        <v>15</v>
      </c>
      <c r="O4">
        <v>440</v>
      </c>
      <c r="P4">
        <v>440</v>
      </c>
      <c r="R4">
        <f t="shared" ref="R4:R12" si="9">AVERAGE(O4:Q4)</f>
        <v>440</v>
      </c>
      <c r="S4" s="4">
        <f t="shared" si="2"/>
        <v>3.0316000000000001</v>
      </c>
      <c r="T4" t="s">
        <v>15</v>
      </c>
      <c r="U4">
        <v>710</v>
      </c>
      <c r="V4">
        <v>740</v>
      </c>
      <c r="X4">
        <f t="shared" si="3"/>
        <v>725</v>
      </c>
      <c r="Y4" s="4">
        <f t="shared" si="4"/>
        <v>4.9952500000000004</v>
      </c>
      <c r="Z4" t="s">
        <v>15</v>
      </c>
      <c r="AA4">
        <v>900</v>
      </c>
      <c r="AB4">
        <v>970</v>
      </c>
      <c r="AD4">
        <f t="shared" si="5"/>
        <v>935</v>
      </c>
      <c r="AE4" s="4">
        <f t="shared" si="6"/>
        <v>6.4421500000000007</v>
      </c>
    </row>
    <row r="5" spans="1:31">
      <c r="A5" t="s">
        <v>16</v>
      </c>
      <c r="B5" t="s">
        <v>14</v>
      </c>
      <c r="C5">
        <v>910</v>
      </c>
      <c r="D5">
        <v>920</v>
      </c>
      <c r="E5">
        <v>920</v>
      </c>
      <c r="G5" s="3">
        <f t="shared" si="0"/>
        <v>916.66666666666663</v>
      </c>
      <c r="H5" s="4">
        <f t="shared" si="7"/>
        <v>6.315833333333333</v>
      </c>
      <c r="I5" t="s">
        <v>16</v>
      </c>
      <c r="J5" s="4">
        <v>910</v>
      </c>
      <c r="K5" s="4">
        <v>940</v>
      </c>
      <c r="L5" s="4">
        <f t="shared" si="8"/>
        <v>925</v>
      </c>
      <c r="M5" s="4">
        <f t="shared" si="1"/>
        <v>6.3732500000000005</v>
      </c>
      <c r="N5" t="s">
        <v>16</v>
      </c>
      <c r="O5">
        <v>410</v>
      </c>
      <c r="P5">
        <v>500</v>
      </c>
      <c r="R5">
        <f t="shared" si="9"/>
        <v>455</v>
      </c>
      <c r="S5" s="4">
        <f t="shared" si="2"/>
        <v>3.1349500000000003</v>
      </c>
      <c r="T5" t="s">
        <v>16</v>
      </c>
      <c r="U5">
        <v>750</v>
      </c>
      <c r="V5">
        <v>750</v>
      </c>
      <c r="X5">
        <f t="shared" si="3"/>
        <v>750</v>
      </c>
      <c r="Y5" s="4">
        <f t="shared" si="4"/>
        <v>5.1675000000000004</v>
      </c>
      <c r="Z5" t="s">
        <v>16</v>
      </c>
      <c r="AA5">
        <v>860</v>
      </c>
      <c r="AB5">
        <v>975</v>
      </c>
      <c r="AD5">
        <f t="shared" si="5"/>
        <v>917.5</v>
      </c>
      <c r="AE5" s="4">
        <f t="shared" si="6"/>
        <v>6.3215750000000002</v>
      </c>
    </row>
    <row r="6" spans="1:31">
      <c r="A6" t="s">
        <v>17</v>
      </c>
      <c r="B6" t="s">
        <v>14</v>
      </c>
      <c r="C6">
        <v>990</v>
      </c>
      <c r="D6">
        <v>1040</v>
      </c>
      <c r="E6">
        <v>900</v>
      </c>
      <c r="F6">
        <v>890</v>
      </c>
      <c r="G6" s="3">
        <f t="shared" si="0"/>
        <v>955</v>
      </c>
      <c r="H6" s="4">
        <f t="shared" si="7"/>
        <v>6.5799500000000002</v>
      </c>
      <c r="I6" t="s">
        <v>17</v>
      </c>
      <c r="J6" s="4">
        <v>1030</v>
      </c>
      <c r="K6" s="4">
        <v>1030</v>
      </c>
      <c r="L6" s="4">
        <f t="shared" si="8"/>
        <v>1030</v>
      </c>
      <c r="M6" s="4">
        <f t="shared" si="1"/>
        <v>7.0967000000000002</v>
      </c>
      <c r="N6" t="s">
        <v>17</v>
      </c>
      <c r="O6">
        <v>390</v>
      </c>
      <c r="P6">
        <v>350</v>
      </c>
      <c r="R6">
        <f t="shared" si="9"/>
        <v>370</v>
      </c>
      <c r="S6" s="4">
        <f t="shared" si="2"/>
        <v>2.5493000000000001</v>
      </c>
      <c r="T6" t="s">
        <v>17</v>
      </c>
      <c r="U6">
        <v>750</v>
      </c>
      <c r="V6">
        <v>720</v>
      </c>
      <c r="X6">
        <f t="shared" si="3"/>
        <v>735</v>
      </c>
      <c r="Y6" s="4">
        <f t="shared" si="4"/>
        <v>5.0641500000000006</v>
      </c>
      <c r="Z6" t="s">
        <v>17</v>
      </c>
      <c r="AA6">
        <v>930</v>
      </c>
      <c r="AB6">
        <v>1000</v>
      </c>
      <c r="AD6">
        <f t="shared" si="5"/>
        <v>965</v>
      </c>
      <c r="AE6" s="4">
        <f t="shared" si="6"/>
        <v>6.6488500000000004</v>
      </c>
    </row>
    <row r="7" spans="1:31">
      <c r="A7" t="s">
        <v>18</v>
      </c>
      <c r="B7" t="s">
        <v>14</v>
      </c>
      <c r="C7">
        <v>960</v>
      </c>
      <c r="D7">
        <v>960</v>
      </c>
      <c r="E7">
        <v>1270</v>
      </c>
      <c r="G7" s="3">
        <f t="shared" si="0"/>
        <v>1063.3333333333333</v>
      </c>
      <c r="H7" s="4">
        <f t="shared" si="7"/>
        <v>7.326366666666666</v>
      </c>
      <c r="I7" t="s">
        <v>18</v>
      </c>
      <c r="J7" s="4">
        <v>1220</v>
      </c>
      <c r="K7" s="4">
        <v>1280</v>
      </c>
      <c r="L7" s="4">
        <f t="shared" si="8"/>
        <v>1250</v>
      </c>
      <c r="M7" s="4">
        <f t="shared" si="1"/>
        <v>8.6125000000000007</v>
      </c>
      <c r="N7" t="s">
        <v>18</v>
      </c>
      <c r="O7">
        <v>500</v>
      </c>
      <c r="P7">
        <v>500</v>
      </c>
      <c r="R7">
        <f t="shared" si="9"/>
        <v>500</v>
      </c>
      <c r="S7" s="4">
        <f t="shared" si="2"/>
        <v>3.4450000000000003</v>
      </c>
      <c r="T7" t="s">
        <v>18</v>
      </c>
      <c r="U7">
        <v>820</v>
      </c>
      <c r="V7">
        <v>600</v>
      </c>
      <c r="X7">
        <f t="shared" si="3"/>
        <v>710</v>
      </c>
      <c r="Y7" s="4">
        <f t="shared" si="4"/>
        <v>4.8919000000000006</v>
      </c>
      <c r="Z7" t="s">
        <v>18</v>
      </c>
      <c r="AA7">
        <v>1120</v>
      </c>
      <c r="AB7">
        <v>1170</v>
      </c>
      <c r="AD7">
        <f t="shared" si="5"/>
        <v>1145</v>
      </c>
      <c r="AE7" s="4">
        <f t="shared" si="6"/>
        <v>7.8890500000000001</v>
      </c>
    </row>
    <row r="8" spans="1:31">
      <c r="A8" t="s">
        <v>19</v>
      </c>
      <c r="B8" t="s">
        <v>14</v>
      </c>
      <c r="C8">
        <v>970</v>
      </c>
      <c r="D8">
        <v>1100</v>
      </c>
      <c r="E8">
        <v>1080</v>
      </c>
      <c r="F8">
        <v>1060</v>
      </c>
      <c r="G8" s="3">
        <f t="shared" si="0"/>
        <v>1052.5</v>
      </c>
      <c r="H8" s="4">
        <f t="shared" si="7"/>
        <v>7.2517250000000004</v>
      </c>
      <c r="I8" t="s">
        <v>19</v>
      </c>
      <c r="J8" s="4">
        <v>1100</v>
      </c>
      <c r="K8" s="4">
        <v>1120</v>
      </c>
      <c r="L8" s="4">
        <f t="shared" si="8"/>
        <v>1110</v>
      </c>
      <c r="M8" s="4">
        <f t="shared" si="1"/>
        <v>7.6478999999999999</v>
      </c>
      <c r="N8" t="s">
        <v>19</v>
      </c>
      <c r="O8">
        <v>400</v>
      </c>
      <c r="P8">
        <v>390</v>
      </c>
      <c r="R8">
        <f t="shared" si="9"/>
        <v>395</v>
      </c>
      <c r="S8" s="4">
        <f t="shared" si="2"/>
        <v>2.7215500000000001</v>
      </c>
      <c r="T8" t="s">
        <v>19</v>
      </c>
      <c r="U8">
        <v>740</v>
      </c>
      <c r="V8">
        <v>700</v>
      </c>
      <c r="X8">
        <f t="shared" si="3"/>
        <v>720</v>
      </c>
      <c r="Y8" s="4">
        <f t="shared" si="4"/>
        <v>4.9607999999999999</v>
      </c>
      <c r="Z8" t="s">
        <v>19</v>
      </c>
      <c r="AA8">
        <v>1150</v>
      </c>
      <c r="AB8">
        <v>1030</v>
      </c>
      <c r="AD8">
        <f t="shared" si="5"/>
        <v>1090</v>
      </c>
      <c r="AE8" s="4">
        <f t="shared" si="6"/>
        <v>7.5101000000000004</v>
      </c>
    </row>
    <row r="9" spans="1:31">
      <c r="A9" t="s">
        <v>20</v>
      </c>
      <c r="B9" t="s">
        <v>14</v>
      </c>
      <c r="C9">
        <v>950</v>
      </c>
      <c r="D9">
        <v>1120</v>
      </c>
      <c r="G9" s="3">
        <f t="shared" si="0"/>
        <v>1035</v>
      </c>
      <c r="H9" s="4">
        <f t="shared" si="7"/>
        <v>7.1311499999999999</v>
      </c>
      <c r="I9" t="s">
        <v>20</v>
      </c>
      <c r="J9" s="4">
        <v>880</v>
      </c>
      <c r="K9" s="4">
        <v>960</v>
      </c>
      <c r="L9" s="4">
        <f t="shared" si="8"/>
        <v>920</v>
      </c>
      <c r="M9" s="4">
        <f t="shared" si="1"/>
        <v>6.3388</v>
      </c>
      <c r="N9" t="s">
        <v>20</v>
      </c>
      <c r="O9">
        <v>430</v>
      </c>
      <c r="P9">
        <v>400</v>
      </c>
      <c r="R9">
        <f t="shared" si="9"/>
        <v>415</v>
      </c>
      <c r="S9" s="4">
        <f t="shared" si="2"/>
        <v>2.8593500000000001</v>
      </c>
      <c r="T9" t="s">
        <v>20</v>
      </c>
      <c r="U9">
        <v>710</v>
      </c>
      <c r="V9">
        <v>690</v>
      </c>
      <c r="X9">
        <f t="shared" si="3"/>
        <v>700</v>
      </c>
      <c r="Y9" s="4">
        <f t="shared" si="4"/>
        <v>4.8230000000000004</v>
      </c>
      <c r="Z9" t="s">
        <v>20</v>
      </c>
      <c r="AA9">
        <v>960</v>
      </c>
      <c r="AB9">
        <v>870</v>
      </c>
      <c r="AD9">
        <f t="shared" si="5"/>
        <v>915</v>
      </c>
      <c r="AE9" s="4">
        <f t="shared" si="6"/>
        <v>6.3043500000000003</v>
      </c>
    </row>
    <row r="10" spans="1:31">
      <c r="A10" t="s">
        <v>21</v>
      </c>
      <c r="B10" t="s">
        <v>14</v>
      </c>
      <c r="C10">
        <v>1080</v>
      </c>
      <c r="D10">
        <v>1000</v>
      </c>
      <c r="E10">
        <v>950</v>
      </c>
      <c r="G10" s="3">
        <f t="shared" si="0"/>
        <v>1010</v>
      </c>
      <c r="H10" s="4">
        <f t="shared" si="7"/>
        <v>6.9588999999999999</v>
      </c>
      <c r="I10" t="s">
        <v>21</v>
      </c>
      <c r="J10" s="4">
        <v>1130</v>
      </c>
      <c r="K10" s="4">
        <v>1050</v>
      </c>
      <c r="L10" s="4">
        <f t="shared" si="8"/>
        <v>1090</v>
      </c>
      <c r="M10" s="4">
        <f t="shared" si="1"/>
        <v>7.5101000000000004</v>
      </c>
      <c r="N10" t="s">
        <v>21</v>
      </c>
      <c r="O10">
        <v>420</v>
      </c>
      <c r="P10">
        <v>430</v>
      </c>
      <c r="R10">
        <f t="shared" si="9"/>
        <v>425</v>
      </c>
      <c r="S10" s="4">
        <f t="shared" si="2"/>
        <v>2.9282500000000002</v>
      </c>
      <c r="T10" t="s">
        <v>21</v>
      </c>
      <c r="U10">
        <v>760</v>
      </c>
      <c r="V10">
        <v>780</v>
      </c>
      <c r="X10">
        <f t="shared" si="3"/>
        <v>770</v>
      </c>
      <c r="Y10" s="4">
        <f t="shared" si="4"/>
        <v>5.3052999999999999</v>
      </c>
      <c r="Z10" t="s">
        <v>21</v>
      </c>
      <c r="AA10">
        <v>950</v>
      </c>
      <c r="AB10">
        <v>960</v>
      </c>
      <c r="AD10">
        <f t="shared" si="5"/>
        <v>955</v>
      </c>
      <c r="AE10" s="4">
        <f t="shared" si="6"/>
        <v>6.5799500000000002</v>
      </c>
    </row>
    <row r="11" spans="1:31">
      <c r="A11" t="s">
        <v>22</v>
      </c>
      <c r="B11" t="s">
        <v>14</v>
      </c>
      <c r="C11">
        <v>1000</v>
      </c>
      <c r="D11">
        <v>950</v>
      </c>
      <c r="E11">
        <v>1070</v>
      </c>
      <c r="F11">
        <v>870</v>
      </c>
      <c r="G11" s="3">
        <f t="shared" si="0"/>
        <v>972.5</v>
      </c>
      <c r="H11" s="4">
        <f t="shared" si="7"/>
        <v>6.7005249999999998</v>
      </c>
      <c r="I11" t="s">
        <v>22</v>
      </c>
      <c r="J11" s="4">
        <v>1030</v>
      </c>
      <c r="K11" s="4">
        <v>980</v>
      </c>
      <c r="L11" s="4">
        <f t="shared" si="8"/>
        <v>1005</v>
      </c>
      <c r="M11" s="4">
        <f t="shared" si="1"/>
        <v>6.9244500000000002</v>
      </c>
      <c r="N11" t="s">
        <v>22</v>
      </c>
      <c r="O11">
        <v>450</v>
      </c>
      <c r="P11">
        <v>450</v>
      </c>
      <c r="R11">
        <f t="shared" si="9"/>
        <v>450</v>
      </c>
      <c r="S11" s="4">
        <f t="shared" si="2"/>
        <v>3.1005000000000003</v>
      </c>
      <c r="T11" t="s">
        <v>22</v>
      </c>
      <c r="U11">
        <v>740</v>
      </c>
      <c r="V11">
        <v>740</v>
      </c>
      <c r="X11">
        <f t="shared" si="3"/>
        <v>740</v>
      </c>
      <c r="Y11" s="4">
        <f t="shared" si="4"/>
        <v>5.0986000000000002</v>
      </c>
      <c r="Z11" t="s">
        <v>22</v>
      </c>
      <c r="AA11">
        <v>960</v>
      </c>
      <c r="AB11">
        <v>950</v>
      </c>
      <c r="AD11">
        <f t="shared" si="5"/>
        <v>955</v>
      </c>
      <c r="AE11" s="4">
        <f t="shared" si="6"/>
        <v>6.5799500000000002</v>
      </c>
    </row>
    <row r="12" spans="1:31" ht="16" thickBot="1">
      <c r="A12" t="s">
        <v>23</v>
      </c>
      <c r="B12" t="s">
        <v>14</v>
      </c>
      <c r="C12">
        <v>770</v>
      </c>
      <c r="D12">
        <v>820</v>
      </c>
      <c r="E12">
        <v>770</v>
      </c>
      <c r="G12" s="3">
        <f t="shared" si="0"/>
        <v>786.66666666666663</v>
      </c>
      <c r="H12" s="4">
        <f t="shared" si="7"/>
        <v>5.4201333333333332</v>
      </c>
      <c r="I12" t="s">
        <v>23</v>
      </c>
      <c r="J12" s="4">
        <v>930</v>
      </c>
      <c r="K12" s="4">
        <v>920</v>
      </c>
      <c r="L12" s="4">
        <f t="shared" si="8"/>
        <v>925</v>
      </c>
      <c r="M12" s="4">
        <f t="shared" si="1"/>
        <v>6.3732500000000005</v>
      </c>
      <c r="N12" t="s">
        <v>23</v>
      </c>
      <c r="O12">
        <v>390</v>
      </c>
      <c r="P12">
        <v>400</v>
      </c>
      <c r="R12">
        <f t="shared" si="9"/>
        <v>395</v>
      </c>
      <c r="S12" s="4">
        <f t="shared" si="2"/>
        <v>2.7215500000000001</v>
      </c>
      <c r="T12" t="s">
        <v>23</v>
      </c>
      <c r="U12">
        <v>660</v>
      </c>
      <c r="V12">
        <v>700</v>
      </c>
      <c r="X12">
        <f t="shared" si="3"/>
        <v>680</v>
      </c>
      <c r="Y12" s="4">
        <f t="shared" si="4"/>
        <v>4.6852</v>
      </c>
      <c r="Z12" t="s">
        <v>23</v>
      </c>
      <c r="AA12">
        <v>840</v>
      </c>
      <c r="AB12">
        <v>900</v>
      </c>
      <c r="AD12">
        <f t="shared" si="5"/>
        <v>870</v>
      </c>
      <c r="AE12" s="4">
        <f t="shared" si="6"/>
        <v>5.9943</v>
      </c>
    </row>
    <row r="13" spans="1:31" ht="18">
      <c r="A13" t="s">
        <v>24</v>
      </c>
      <c r="G13" s="3"/>
      <c r="H13" s="5">
        <f>AVERAGE(H3:H12)</f>
        <v>6.6212900000000001</v>
      </c>
      <c r="I13" t="s">
        <v>24</v>
      </c>
      <c r="J13" s="6"/>
      <c r="K13" s="6"/>
      <c r="L13" s="6"/>
      <c r="M13" s="5">
        <f>AVERAGE(M3:M12)</f>
        <v>7.0140199999999995</v>
      </c>
      <c r="N13" t="s">
        <v>24</v>
      </c>
      <c r="S13" s="5">
        <f>AVERAGE(S3:S12)</f>
        <v>2.9730349999999999</v>
      </c>
      <c r="T13" t="s">
        <v>24</v>
      </c>
      <c r="Y13" s="5">
        <f>AVERAGE(Y3:Y12)</f>
        <v>5.0297000000000001</v>
      </c>
      <c r="Z13" t="s">
        <v>24</v>
      </c>
      <c r="AE13" s="5">
        <f>AVERAGE(AE3:AE12)</f>
        <v>6.6677974999999989</v>
      </c>
    </row>
    <row r="14" spans="1:31" ht="18">
      <c r="A14" t="s">
        <v>25</v>
      </c>
      <c r="G14" s="3"/>
      <c r="H14" s="7">
        <f>STDEV(H3:H12)</f>
        <v>0.63365505502784836</v>
      </c>
      <c r="I14" t="s">
        <v>25</v>
      </c>
      <c r="J14" s="6"/>
      <c r="K14" s="6"/>
      <c r="L14" s="6"/>
      <c r="M14" s="7">
        <f>STDEV(M3:M12)</f>
        <v>0.89085802373019585</v>
      </c>
      <c r="N14" t="s">
        <v>25</v>
      </c>
      <c r="S14" s="7">
        <f>STDEV(S3:S12)</f>
        <v>0.2707973556103449</v>
      </c>
      <c r="T14" t="s">
        <v>25</v>
      </c>
      <c r="Y14" s="7">
        <f>STDEV(Y3:Y12)</f>
        <v>0.20087629277742053</v>
      </c>
      <c r="Z14" t="s">
        <v>25</v>
      </c>
      <c r="AE14" s="7">
        <f>STDEV(AE3:AE12)</f>
        <v>0.58126825281376471</v>
      </c>
    </row>
    <row r="15" spans="1:31" ht="19" thickBot="1">
      <c r="A15" s="8" t="s">
        <v>26</v>
      </c>
      <c r="G15" s="3"/>
      <c r="H15" s="9">
        <f>CONFIDENCE(0.05,H14,10)</f>
        <v>0.39273625530093392</v>
      </c>
      <c r="I15" s="8" t="s">
        <v>26</v>
      </c>
      <c r="J15" s="6"/>
      <c r="K15" s="6"/>
      <c r="L15" s="6"/>
      <c r="M15" s="9">
        <f>CONFIDENCE(0.05,M14,10)</f>
        <v>0.55214937759663441</v>
      </c>
      <c r="N15" s="8" t="s">
        <v>26</v>
      </c>
      <c r="O15" s="8"/>
      <c r="P15" s="8"/>
      <c r="Q15" s="8"/>
      <c r="R15" s="8"/>
      <c r="S15" s="9">
        <f>CONFIDENCE(0.05,S14,10)</f>
        <v>0.16783885576850352</v>
      </c>
      <c r="T15" s="8" t="s">
        <v>26</v>
      </c>
      <c r="Y15" s="9">
        <f>CONFIDENCE(0.05,Y14,10)</f>
        <v>0.12450212837120188</v>
      </c>
      <c r="Z15" s="8" t="s">
        <v>26</v>
      </c>
      <c r="AE15" s="9">
        <f>CONFIDENCE(0.05,AE14,10)</f>
        <v>0.36026717553032328</v>
      </c>
    </row>
    <row r="16" spans="1:31">
      <c r="A16" s="8"/>
      <c r="G16" s="3"/>
      <c r="H16" s="4"/>
      <c r="I16" s="8"/>
      <c r="J16" s="4"/>
      <c r="K16" s="4"/>
      <c r="L16" s="4"/>
      <c r="M16" s="4"/>
      <c r="N16" s="8"/>
      <c r="O16" s="8"/>
      <c r="P16" s="8"/>
      <c r="Q16" s="8"/>
      <c r="R16" s="8"/>
      <c r="S16" s="8"/>
      <c r="T16" s="8"/>
      <c r="Z16" s="8"/>
    </row>
    <row r="17" spans="1:31">
      <c r="A17" t="s">
        <v>27</v>
      </c>
      <c r="B17" t="s">
        <v>28</v>
      </c>
      <c r="C17">
        <v>770</v>
      </c>
      <c r="D17">
        <v>860</v>
      </c>
      <c r="E17">
        <v>830</v>
      </c>
      <c r="G17" s="3">
        <f t="shared" si="0"/>
        <v>820</v>
      </c>
      <c r="H17" s="4">
        <f t="shared" si="7"/>
        <v>5.6497999999999999</v>
      </c>
      <c r="I17" t="s">
        <v>27</v>
      </c>
      <c r="J17" s="4">
        <v>800</v>
      </c>
      <c r="K17" s="4">
        <v>810</v>
      </c>
      <c r="L17" s="4">
        <f t="shared" ref="L17:L26" si="10">AVERAGE(J17:K17)</f>
        <v>805</v>
      </c>
      <c r="M17" s="4">
        <f t="shared" ref="M17:M26" si="11">L17*0.00689</f>
        <v>5.5464500000000001</v>
      </c>
      <c r="N17" t="s">
        <v>29</v>
      </c>
      <c r="O17">
        <v>390</v>
      </c>
      <c r="P17">
        <v>390</v>
      </c>
      <c r="R17">
        <f t="shared" ref="R17:R26" si="12">AVERAGE(O17:Q17)</f>
        <v>390</v>
      </c>
      <c r="S17" s="4">
        <f t="shared" ref="S17:S26" si="13">R17*0.00689</f>
        <v>2.6871</v>
      </c>
      <c r="T17" t="s">
        <v>29</v>
      </c>
      <c r="U17">
        <v>550</v>
      </c>
      <c r="V17">
        <v>570</v>
      </c>
      <c r="X17">
        <f t="shared" ref="X17:X26" si="14">AVERAGE(U17:W17)</f>
        <v>560</v>
      </c>
      <c r="Y17" s="4">
        <f t="shared" ref="Y17:Y26" si="15">X17*0.00689</f>
        <v>3.8584000000000001</v>
      </c>
      <c r="Z17" t="s">
        <v>29</v>
      </c>
      <c r="AA17">
        <v>820</v>
      </c>
      <c r="AB17">
        <v>830</v>
      </c>
      <c r="AD17">
        <f t="shared" ref="AD17:AD26" si="16">AVERAGE(AA17:AC17)</f>
        <v>825</v>
      </c>
      <c r="AE17" s="4">
        <f t="shared" ref="AE17:AE26" si="17">AD17*0.00689</f>
        <v>5.6842500000000005</v>
      </c>
    </row>
    <row r="18" spans="1:31">
      <c r="A18" t="s">
        <v>30</v>
      </c>
      <c r="B18" t="s">
        <v>28</v>
      </c>
      <c r="C18">
        <v>920</v>
      </c>
      <c r="D18">
        <v>960</v>
      </c>
      <c r="E18">
        <v>860</v>
      </c>
      <c r="G18" s="3">
        <f t="shared" si="0"/>
        <v>913.33333333333337</v>
      </c>
      <c r="H18" s="4">
        <f t="shared" si="7"/>
        <v>6.2928666666666668</v>
      </c>
      <c r="I18" t="s">
        <v>30</v>
      </c>
      <c r="J18" s="4">
        <v>920</v>
      </c>
      <c r="K18" s="4">
        <v>940</v>
      </c>
      <c r="L18" s="4">
        <f t="shared" si="10"/>
        <v>930</v>
      </c>
      <c r="M18" s="4">
        <f t="shared" si="11"/>
        <v>6.4077000000000002</v>
      </c>
      <c r="N18" t="s">
        <v>31</v>
      </c>
      <c r="O18">
        <v>440</v>
      </c>
      <c r="P18">
        <v>460</v>
      </c>
      <c r="R18">
        <f t="shared" si="12"/>
        <v>450</v>
      </c>
      <c r="S18" s="4">
        <f t="shared" si="13"/>
        <v>3.1005000000000003</v>
      </c>
      <c r="T18" t="s">
        <v>31</v>
      </c>
      <c r="U18">
        <v>670</v>
      </c>
      <c r="V18">
        <v>680</v>
      </c>
      <c r="X18">
        <f t="shared" si="14"/>
        <v>675</v>
      </c>
      <c r="Y18" s="4">
        <f t="shared" si="15"/>
        <v>4.6507500000000004</v>
      </c>
      <c r="Z18" t="s">
        <v>31</v>
      </c>
      <c r="AA18">
        <v>900</v>
      </c>
      <c r="AB18">
        <v>970</v>
      </c>
      <c r="AD18">
        <f t="shared" si="16"/>
        <v>935</v>
      </c>
      <c r="AE18" s="4">
        <f t="shared" si="17"/>
        <v>6.4421500000000007</v>
      </c>
    </row>
    <row r="19" spans="1:31">
      <c r="A19" t="s">
        <v>32</v>
      </c>
      <c r="B19" t="s">
        <v>28</v>
      </c>
      <c r="C19">
        <v>1150</v>
      </c>
      <c r="D19">
        <v>1000</v>
      </c>
      <c r="E19">
        <v>920</v>
      </c>
      <c r="G19" s="3">
        <f t="shared" si="0"/>
        <v>1023.3333333333334</v>
      </c>
      <c r="H19" s="4">
        <f t="shared" si="7"/>
        <v>7.0507666666666671</v>
      </c>
      <c r="I19" t="s">
        <v>32</v>
      </c>
      <c r="J19" s="4">
        <v>1080</v>
      </c>
      <c r="K19" s="4">
        <v>980</v>
      </c>
      <c r="L19" s="4">
        <f t="shared" si="10"/>
        <v>1030</v>
      </c>
      <c r="M19" s="4">
        <f t="shared" si="11"/>
        <v>7.0967000000000002</v>
      </c>
      <c r="N19" t="s">
        <v>33</v>
      </c>
      <c r="O19">
        <v>400</v>
      </c>
      <c r="P19">
        <v>400</v>
      </c>
      <c r="R19">
        <f t="shared" si="12"/>
        <v>400</v>
      </c>
      <c r="S19" s="4">
        <f t="shared" si="13"/>
        <v>2.7560000000000002</v>
      </c>
      <c r="T19" t="s">
        <v>33</v>
      </c>
      <c r="U19">
        <v>640</v>
      </c>
      <c r="V19">
        <v>650</v>
      </c>
      <c r="X19">
        <f t="shared" si="14"/>
        <v>645</v>
      </c>
      <c r="Y19" s="4">
        <f t="shared" si="15"/>
        <v>4.4440499999999998</v>
      </c>
      <c r="Z19" t="s">
        <v>33</v>
      </c>
      <c r="AA19">
        <v>930</v>
      </c>
      <c r="AB19">
        <v>950</v>
      </c>
      <c r="AD19">
        <f t="shared" si="16"/>
        <v>940</v>
      </c>
      <c r="AE19" s="4">
        <f t="shared" si="17"/>
        <v>6.4766000000000004</v>
      </c>
    </row>
    <row r="20" spans="1:31">
      <c r="A20" t="s">
        <v>34</v>
      </c>
      <c r="B20" t="s">
        <v>28</v>
      </c>
      <c r="C20">
        <v>820</v>
      </c>
      <c r="D20">
        <v>830</v>
      </c>
      <c r="E20">
        <v>930</v>
      </c>
      <c r="G20" s="3">
        <f t="shared" si="0"/>
        <v>860</v>
      </c>
      <c r="H20" s="4">
        <f t="shared" si="7"/>
        <v>5.9254000000000007</v>
      </c>
      <c r="I20" t="s">
        <v>34</v>
      </c>
      <c r="J20" s="4">
        <v>1030</v>
      </c>
      <c r="K20" s="4">
        <v>970</v>
      </c>
      <c r="L20" s="4">
        <f t="shared" si="10"/>
        <v>1000</v>
      </c>
      <c r="M20" s="4">
        <f t="shared" si="11"/>
        <v>6.8900000000000006</v>
      </c>
      <c r="N20" t="s">
        <v>35</v>
      </c>
      <c r="O20">
        <v>440</v>
      </c>
      <c r="P20">
        <v>430</v>
      </c>
      <c r="R20">
        <f t="shared" si="12"/>
        <v>435</v>
      </c>
      <c r="S20" s="4">
        <f t="shared" si="13"/>
        <v>2.99715</v>
      </c>
      <c r="T20" t="s">
        <v>35</v>
      </c>
      <c r="U20">
        <v>670</v>
      </c>
      <c r="V20">
        <v>670</v>
      </c>
      <c r="X20">
        <f t="shared" si="14"/>
        <v>670</v>
      </c>
      <c r="Y20" s="4">
        <f t="shared" si="15"/>
        <v>4.6162999999999998</v>
      </c>
      <c r="Z20" t="s">
        <v>35</v>
      </c>
      <c r="AA20">
        <v>1150</v>
      </c>
      <c r="AB20">
        <v>1070</v>
      </c>
      <c r="AD20">
        <f t="shared" si="16"/>
        <v>1110</v>
      </c>
      <c r="AE20" s="4">
        <f t="shared" si="17"/>
        <v>7.6478999999999999</v>
      </c>
    </row>
    <row r="21" spans="1:31">
      <c r="A21" t="s">
        <v>36</v>
      </c>
      <c r="B21" t="s">
        <v>28</v>
      </c>
      <c r="C21">
        <v>830</v>
      </c>
      <c r="D21">
        <v>820</v>
      </c>
      <c r="E21">
        <v>780</v>
      </c>
      <c r="G21" s="3">
        <f t="shared" si="0"/>
        <v>810</v>
      </c>
      <c r="H21" s="4">
        <f t="shared" si="7"/>
        <v>5.5809000000000006</v>
      </c>
      <c r="I21" t="s">
        <v>36</v>
      </c>
      <c r="J21" s="4">
        <v>780</v>
      </c>
      <c r="K21" s="4">
        <v>790</v>
      </c>
      <c r="L21" s="4">
        <f t="shared" si="10"/>
        <v>785</v>
      </c>
      <c r="M21" s="4">
        <f t="shared" si="11"/>
        <v>5.4086500000000006</v>
      </c>
      <c r="N21" t="s">
        <v>36</v>
      </c>
      <c r="O21">
        <v>520</v>
      </c>
      <c r="P21">
        <v>500</v>
      </c>
      <c r="R21">
        <f t="shared" si="12"/>
        <v>510</v>
      </c>
      <c r="S21" s="4">
        <f t="shared" si="13"/>
        <v>3.5139</v>
      </c>
      <c r="T21" t="s">
        <v>36</v>
      </c>
      <c r="U21">
        <v>660</v>
      </c>
      <c r="V21">
        <v>640</v>
      </c>
      <c r="X21">
        <f t="shared" si="14"/>
        <v>650</v>
      </c>
      <c r="Y21" s="4">
        <f t="shared" si="15"/>
        <v>4.4785000000000004</v>
      </c>
      <c r="Z21" t="s">
        <v>36</v>
      </c>
      <c r="AA21">
        <v>870</v>
      </c>
      <c r="AB21">
        <v>845</v>
      </c>
      <c r="AD21">
        <f t="shared" si="16"/>
        <v>857.5</v>
      </c>
      <c r="AE21" s="4">
        <f t="shared" si="17"/>
        <v>5.908175</v>
      </c>
    </row>
    <row r="22" spans="1:31">
      <c r="A22" t="s">
        <v>37</v>
      </c>
      <c r="B22" t="s">
        <v>28</v>
      </c>
      <c r="C22">
        <v>890</v>
      </c>
      <c r="D22">
        <v>880</v>
      </c>
      <c r="E22">
        <v>830</v>
      </c>
      <c r="G22" s="3">
        <f t="shared" si="0"/>
        <v>866.66666666666663</v>
      </c>
      <c r="H22" s="4">
        <f t="shared" si="7"/>
        <v>5.9713333333333329</v>
      </c>
      <c r="I22" t="s">
        <v>37</v>
      </c>
      <c r="J22" s="4">
        <v>930</v>
      </c>
      <c r="K22" s="4">
        <v>850</v>
      </c>
      <c r="L22" s="4">
        <f t="shared" si="10"/>
        <v>890</v>
      </c>
      <c r="M22" s="4">
        <f t="shared" si="11"/>
        <v>6.1321000000000003</v>
      </c>
      <c r="N22" t="s">
        <v>37</v>
      </c>
      <c r="O22">
        <v>460</v>
      </c>
      <c r="P22">
        <v>470</v>
      </c>
      <c r="R22">
        <f t="shared" si="12"/>
        <v>465</v>
      </c>
      <c r="S22" s="4">
        <f t="shared" si="13"/>
        <v>3.2038500000000001</v>
      </c>
      <c r="T22" t="s">
        <v>37</v>
      </c>
      <c r="U22">
        <v>660</v>
      </c>
      <c r="V22">
        <v>670</v>
      </c>
      <c r="X22">
        <f t="shared" si="14"/>
        <v>665</v>
      </c>
      <c r="Y22" s="4">
        <f t="shared" si="15"/>
        <v>4.5818500000000002</v>
      </c>
      <c r="Z22" t="s">
        <v>37</v>
      </c>
      <c r="AA22">
        <v>1050</v>
      </c>
      <c r="AB22">
        <v>1170</v>
      </c>
      <c r="AD22">
        <f t="shared" si="16"/>
        <v>1110</v>
      </c>
      <c r="AE22" s="4">
        <f t="shared" si="17"/>
        <v>7.6478999999999999</v>
      </c>
    </row>
    <row r="23" spans="1:31">
      <c r="A23" t="s">
        <v>38</v>
      </c>
      <c r="B23" t="s">
        <v>28</v>
      </c>
      <c r="C23">
        <v>880</v>
      </c>
      <c r="D23">
        <v>1000</v>
      </c>
      <c r="E23">
        <v>890</v>
      </c>
      <c r="G23" s="3">
        <f t="shared" si="0"/>
        <v>923.33333333333337</v>
      </c>
      <c r="H23" s="4">
        <f t="shared" si="7"/>
        <v>6.361766666666667</v>
      </c>
      <c r="I23" t="s">
        <v>38</v>
      </c>
      <c r="J23" s="4">
        <v>970</v>
      </c>
      <c r="K23" s="4">
        <v>1000</v>
      </c>
      <c r="L23" s="4">
        <f t="shared" si="10"/>
        <v>985</v>
      </c>
      <c r="M23" s="4">
        <f t="shared" si="11"/>
        <v>6.7866499999999998</v>
      </c>
      <c r="N23" t="s">
        <v>38</v>
      </c>
      <c r="O23">
        <v>350</v>
      </c>
      <c r="P23">
        <v>370</v>
      </c>
      <c r="R23">
        <f t="shared" si="12"/>
        <v>360</v>
      </c>
      <c r="S23" s="4">
        <f t="shared" si="13"/>
        <v>2.4803999999999999</v>
      </c>
      <c r="T23" t="s">
        <v>38</v>
      </c>
      <c r="U23">
        <v>740</v>
      </c>
      <c r="V23">
        <v>740</v>
      </c>
      <c r="X23">
        <f t="shared" si="14"/>
        <v>740</v>
      </c>
      <c r="Y23" s="4">
        <f t="shared" si="15"/>
        <v>5.0986000000000002</v>
      </c>
      <c r="Z23" t="s">
        <v>38</v>
      </c>
      <c r="AA23">
        <v>990</v>
      </c>
      <c r="AB23">
        <v>920</v>
      </c>
      <c r="AD23">
        <f t="shared" si="16"/>
        <v>955</v>
      </c>
      <c r="AE23" s="4">
        <f t="shared" si="17"/>
        <v>6.5799500000000002</v>
      </c>
    </row>
    <row r="24" spans="1:31">
      <c r="A24" t="s">
        <v>39</v>
      </c>
      <c r="B24" t="s">
        <v>28</v>
      </c>
      <c r="C24">
        <v>900</v>
      </c>
      <c r="D24">
        <v>860</v>
      </c>
      <c r="E24">
        <v>860</v>
      </c>
      <c r="G24" s="3">
        <f t="shared" si="0"/>
        <v>873.33333333333337</v>
      </c>
      <c r="H24" s="4">
        <f t="shared" si="7"/>
        <v>6.017266666666667</v>
      </c>
      <c r="I24" t="s">
        <v>39</v>
      </c>
      <c r="J24" s="4">
        <v>870</v>
      </c>
      <c r="K24" s="4">
        <v>900</v>
      </c>
      <c r="L24" s="4">
        <f t="shared" si="10"/>
        <v>885</v>
      </c>
      <c r="M24" s="4">
        <f t="shared" si="11"/>
        <v>6.0976500000000007</v>
      </c>
      <c r="N24" t="s">
        <v>39</v>
      </c>
      <c r="O24">
        <v>370</v>
      </c>
      <c r="P24">
        <v>400</v>
      </c>
      <c r="R24">
        <f t="shared" si="12"/>
        <v>385</v>
      </c>
      <c r="S24" s="4">
        <f t="shared" si="13"/>
        <v>2.65265</v>
      </c>
      <c r="T24" t="s">
        <v>39</v>
      </c>
      <c r="U24">
        <v>600</v>
      </c>
      <c r="V24">
        <v>600</v>
      </c>
      <c r="X24">
        <f t="shared" si="14"/>
        <v>600</v>
      </c>
      <c r="Y24" s="4">
        <f t="shared" si="15"/>
        <v>4.1340000000000003</v>
      </c>
      <c r="Z24" t="s">
        <v>39</v>
      </c>
      <c r="AA24">
        <v>960</v>
      </c>
      <c r="AB24">
        <v>970</v>
      </c>
      <c r="AD24">
        <f t="shared" si="16"/>
        <v>965</v>
      </c>
      <c r="AE24" s="4">
        <f t="shared" si="17"/>
        <v>6.6488500000000004</v>
      </c>
    </row>
    <row r="25" spans="1:31">
      <c r="A25" t="s">
        <v>40</v>
      </c>
      <c r="B25" t="s">
        <v>28</v>
      </c>
      <c r="C25">
        <v>980</v>
      </c>
      <c r="D25">
        <v>1100</v>
      </c>
      <c r="E25">
        <v>1040</v>
      </c>
      <c r="G25" s="3">
        <f t="shared" si="0"/>
        <v>1040</v>
      </c>
      <c r="H25" s="4">
        <f t="shared" si="7"/>
        <v>7.1656000000000004</v>
      </c>
      <c r="I25" t="s">
        <v>40</v>
      </c>
      <c r="J25" s="4">
        <v>1110</v>
      </c>
      <c r="K25" s="4">
        <v>1030</v>
      </c>
      <c r="L25" s="4">
        <f t="shared" si="10"/>
        <v>1070</v>
      </c>
      <c r="M25" s="4">
        <f t="shared" si="11"/>
        <v>7.3723000000000001</v>
      </c>
      <c r="N25" t="s">
        <v>40</v>
      </c>
      <c r="O25">
        <v>460</v>
      </c>
      <c r="P25">
        <v>450</v>
      </c>
      <c r="R25">
        <f t="shared" si="12"/>
        <v>455</v>
      </c>
      <c r="S25" s="4">
        <f t="shared" si="13"/>
        <v>3.1349500000000003</v>
      </c>
      <c r="T25" t="s">
        <v>40</v>
      </c>
      <c r="U25">
        <v>670</v>
      </c>
      <c r="V25">
        <v>690</v>
      </c>
      <c r="X25">
        <f t="shared" si="14"/>
        <v>680</v>
      </c>
      <c r="Y25" s="4">
        <f t="shared" si="15"/>
        <v>4.6852</v>
      </c>
      <c r="Z25" t="s">
        <v>40</v>
      </c>
      <c r="AA25">
        <v>980</v>
      </c>
      <c r="AB25">
        <v>980</v>
      </c>
      <c r="AD25">
        <f t="shared" si="16"/>
        <v>980</v>
      </c>
      <c r="AE25" s="4">
        <f t="shared" si="17"/>
        <v>6.7522000000000002</v>
      </c>
    </row>
    <row r="26" spans="1:31" ht="16" thickBot="1">
      <c r="A26" t="s">
        <v>41</v>
      </c>
      <c r="B26" t="s">
        <v>28</v>
      </c>
      <c r="C26">
        <v>880</v>
      </c>
      <c r="D26">
        <v>830</v>
      </c>
      <c r="E26">
        <v>840</v>
      </c>
      <c r="G26" s="3">
        <f t="shared" si="0"/>
        <v>850</v>
      </c>
      <c r="H26" s="4">
        <f t="shared" si="7"/>
        <v>5.8565000000000005</v>
      </c>
      <c r="I26" t="s">
        <v>41</v>
      </c>
      <c r="J26" s="4">
        <v>760</v>
      </c>
      <c r="K26" s="4">
        <v>750</v>
      </c>
      <c r="L26" s="4">
        <f t="shared" si="10"/>
        <v>755</v>
      </c>
      <c r="M26" s="4">
        <f t="shared" si="11"/>
        <v>5.2019500000000001</v>
      </c>
      <c r="N26" t="s">
        <v>41</v>
      </c>
      <c r="O26">
        <v>400</v>
      </c>
      <c r="P26">
        <v>440</v>
      </c>
      <c r="R26">
        <f t="shared" si="12"/>
        <v>420</v>
      </c>
      <c r="S26" s="4">
        <f t="shared" si="13"/>
        <v>2.8938000000000001</v>
      </c>
      <c r="T26" t="s">
        <v>41</v>
      </c>
      <c r="U26">
        <v>700</v>
      </c>
      <c r="V26">
        <v>680</v>
      </c>
      <c r="X26">
        <f t="shared" si="14"/>
        <v>690</v>
      </c>
      <c r="Y26" s="4">
        <f t="shared" si="15"/>
        <v>4.7541000000000002</v>
      </c>
      <c r="Z26" t="s">
        <v>41</v>
      </c>
      <c r="AA26">
        <v>960</v>
      </c>
      <c r="AB26">
        <v>930</v>
      </c>
      <c r="AD26">
        <f t="shared" si="16"/>
        <v>945</v>
      </c>
      <c r="AE26" s="4">
        <f t="shared" si="17"/>
        <v>6.51105</v>
      </c>
    </row>
    <row r="27" spans="1:31" ht="18">
      <c r="A27" t="s">
        <v>24</v>
      </c>
      <c r="G27" s="3"/>
      <c r="H27" s="5">
        <f>AVERAGE(H17:H26)</f>
        <v>6.1872199999999991</v>
      </c>
      <c r="I27" t="s">
        <v>24</v>
      </c>
      <c r="J27" s="6"/>
      <c r="K27" s="6"/>
      <c r="L27" s="6"/>
      <c r="M27" s="5">
        <f>AVERAGE(M17:M26)</f>
        <v>6.2940149999999999</v>
      </c>
      <c r="N27" t="s">
        <v>24</v>
      </c>
      <c r="S27" s="5">
        <f>AVERAGE(S17:S26)</f>
        <v>2.9420299999999999</v>
      </c>
      <c r="T27" t="s">
        <v>24</v>
      </c>
      <c r="Y27" s="5">
        <f>AVERAGE(Y17:Y26)</f>
        <v>4.5301749999999998</v>
      </c>
      <c r="Z27" t="s">
        <v>24</v>
      </c>
      <c r="AE27" s="5">
        <f>AVERAGE(AE17:AE26)</f>
        <v>6.6299025000000018</v>
      </c>
    </row>
    <row r="28" spans="1:31" ht="18">
      <c r="A28" t="s">
        <v>25</v>
      </c>
      <c r="G28" s="3"/>
      <c r="H28" s="7">
        <f>STDEV(H17:H26)</f>
        <v>0.54308060020680882</v>
      </c>
      <c r="I28" t="s">
        <v>25</v>
      </c>
      <c r="J28" s="6"/>
      <c r="K28" s="6"/>
      <c r="L28" s="6"/>
      <c r="M28" s="7">
        <f>STDEV(M17:M26)</f>
        <v>0.7466904497886323</v>
      </c>
      <c r="N28" t="s">
        <v>25</v>
      </c>
      <c r="S28" s="7">
        <f>STDEV(S17:S26)</f>
        <v>0.30907024210615225</v>
      </c>
      <c r="T28" t="s">
        <v>25</v>
      </c>
      <c r="Y28" s="7">
        <f>STDEV(Y17:Y26)</f>
        <v>0.33997261184624206</v>
      </c>
      <c r="Z28" t="s">
        <v>25</v>
      </c>
      <c r="AE28" s="7">
        <f>STDEV(AE17:AE26)</f>
        <v>0.63056205686871125</v>
      </c>
    </row>
    <row r="29" spans="1:31" ht="19" thickBot="1">
      <c r="A29" t="s">
        <v>42</v>
      </c>
      <c r="G29" s="3"/>
      <c r="H29" s="9">
        <f>CONFIDENCE(0.05,H28,10)</f>
        <v>0.33659865814915968</v>
      </c>
      <c r="I29" t="s">
        <v>42</v>
      </c>
      <c r="J29" s="6"/>
      <c r="K29" s="6"/>
      <c r="L29" s="6"/>
      <c r="M29" s="9">
        <f>CONFIDENCE(0.05,M28,10)</f>
        <v>0.46279503144825285</v>
      </c>
      <c r="N29" t="s">
        <v>42</v>
      </c>
      <c r="S29" s="9">
        <f>CONFIDENCE(0.05,S28,10)</f>
        <v>0.19156020069056126</v>
      </c>
      <c r="T29" t="s">
        <v>42</v>
      </c>
      <c r="Y29" s="9">
        <f>CONFIDENCE(0.05,Y28,10)</f>
        <v>0.21071333594190772</v>
      </c>
      <c r="Z29" t="s">
        <v>42</v>
      </c>
      <c r="AE29" s="9">
        <f>CONFIDENCE(0.05,AE28,10)</f>
        <v>0.39081923040697358</v>
      </c>
    </row>
    <row r="30" spans="1:31">
      <c r="G30" s="3"/>
      <c r="H30" s="4"/>
      <c r="J30" s="4"/>
      <c r="K30" s="4"/>
      <c r="L30" s="4"/>
      <c r="M30" s="4"/>
    </row>
    <row r="31" spans="1:31">
      <c r="A31" t="s">
        <v>43</v>
      </c>
      <c r="B31" t="s">
        <v>44</v>
      </c>
      <c r="C31">
        <v>1070</v>
      </c>
      <c r="D31">
        <v>1060</v>
      </c>
      <c r="E31">
        <v>1070</v>
      </c>
      <c r="G31">
        <f t="shared" ref="G31:G40" si="18">AVERAGE(C31:F31)</f>
        <v>1066.6666666666667</v>
      </c>
      <c r="H31" s="4">
        <f t="shared" si="7"/>
        <v>7.3493333333333339</v>
      </c>
      <c r="I31" t="s">
        <v>43</v>
      </c>
      <c r="J31" s="4">
        <v>1060</v>
      </c>
      <c r="K31" s="4">
        <v>1100</v>
      </c>
      <c r="L31" s="4">
        <f t="shared" ref="L31:L40" si="19">AVERAGE(J31:K31)</f>
        <v>1080</v>
      </c>
      <c r="M31" s="4">
        <f t="shared" ref="M31:M40" si="20">L31*0.00689</f>
        <v>7.4412000000000003</v>
      </c>
      <c r="N31" t="s">
        <v>45</v>
      </c>
      <c r="O31">
        <v>500</v>
      </c>
      <c r="P31">
        <v>450</v>
      </c>
      <c r="R31">
        <f t="shared" ref="R31:R40" si="21">AVERAGE(O31:Q31)</f>
        <v>475</v>
      </c>
      <c r="S31" s="4">
        <f t="shared" ref="S31:S40" si="22">R31*0.00689</f>
        <v>3.2727500000000003</v>
      </c>
      <c r="T31" t="s">
        <v>45</v>
      </c>
      <c r="U31">
        <v>670</v>
      </c>
      <c r="V31">
        <v>630</v>
      </c>
      <c r="X31">
        <f t="shared" ref="X31:X40" si="23">AVERAGE(U31:W31)</f>
        <v>650</v>
      </c>
      <c r="Y31" s="4">
        <f t="shared" ref="Y31:Y40" si="24">X31*0.00689</f>
        <v>4.4785000000000004</v>
      </c>
      <c r="Z31" t="s">
        <v>45</v>
      </c>
      <c r="AA31">
        <v>1000</v>
      </c>
      <c r="AB31">
        <v>1010</v>
      </c>
      <c r="AD31">
        <f t="shared" ref="AD31:AD40" si="25">AVERAGE(AA31:AC31)</f>
        <v>1005</v>
      </c>
      <c r="AE31" s="4">
        <f t="shared" ref="AE31:AE40" si="26">AD31*0.00689</f>
        <v>6.9244500000000002</v>
      </c>
    </row>
    <row r="32" spans="1:31">
      <c r="A32" t="s">
        <v>46</v>
      </c>
      <c r="B32" t="s">
        <v>44</v>
      </c>
      <c r="C32">
        <v>980</v>
      </c>
      <c r="D32">
        <v>910</v>
      </c>
      <c r="E32">
        <v>930</v>
      </c>
      <c r="G32" s="3">
        <f t="shared" si="18"/>
        <v>940</v>
      </c>
      <c r="H32" s="4">
        <f t="shared" si="7"/>
        <v>6.4766000000000004</v>
      </c>
      <c r="I32" t="s">
        <v>46</v>
      </c>
      <c r="J32" s="4">
        <v>940</v>
      </c>
      <c r="K32" s="4">
        <v>950</v>
      </c>
      <c r="L32" s="4">
        <f t="shared" si="19"/>
        <v>945</v>
      </c>
      <c r="M32" s="4">
        <f t="shared" si="20"/>
        <v>6.51105</v>
      </c>
      <c r="N32" t="s">
        <v>47</v>
      </c>
      <c r="O32">
        <v>440</v>
      </c>
      <c r="P32">
        <v>420</v>
      </c>
      <c r="R32">
        <f t="shared" si="21"/>
        <v>430</v>
      </c>
      <c r="S32" s="4">
        <f t="shared" si="22"/>
        <v>2.9627000000000003</v>
      </c>
      <c r="T32" t="s">
        <v>47</v>
      </c>
      <c r="U32">
        <v>710</v>
      </c>
      <c r="V32">
        <v>690</v>
      </c>
      <c r="X32">
        <f t="shared" si="23"/>
        <v>700</v>
      </c>
      <c r="Y32" s="4">
        <f t="shared" si="24"/>
        <v>4.8230000000000004</v>
      </c>
      <c r="Z32" t="s">
        <v>47</v>
      </c>
      <c r="AA32">
        <v>980</v>
      </c>
      <c r="AB32">
        <v>975</v>
      </c>
      <c r="AD32">
        <f t="shared" si="25"/>
        <v>977.5</v>
      </c>
      <c r="AE32" s="4">
        <f t="shared" si="26"/>
        <v>6.7349750000000004</v>
      </c>
    </row>
    <row r="33" spans="1:31">
      <c r="A33" t="s">
        <v>48</v>
      </c>
      <c r="B33" t="s">
        <v>44</v>
      </c>
      <c r="C33">
        <v>730</v>
      </c>
      <c r="D33">
        <v>770</v>
      </c>
      <c r="E33">
        <v>700</v>
      </c>
      <c r="G33" s="3">
        <f t="shared" si="18"/>
        <v>733.33333333333337</v>
      </c>
      <c r="H33" s="4">
        <f t="shared" si="7"/>
        <v>5.0526666666666671</v>
      </c>
      <c r="I33" t="s">
        <v>48</v>
      </c>
      <c r="J33" s="4">
        <v>540</v>
      </c>
      <c r="K33" s="4">
        <v>520</v>
      </c>
      <c r="L33" s="4">
        <f t="shared" si="19"/>
        <v>530</v>
      </c>
      <c r="M33" s="4">
        <f t="shared" si="20"/>
        <v>3.6516999999999999</v>
      </c>
      <c r="N33" t="s">
        <v>49</v>
      </c>
      <c r="O33">
        <v>350</v>
      </c>
      <c r="P33">
        <v>350</v>
      </c>
      <c r="R33">
        <f t="shared" si="21"/>
        <v>350</v>
      </c>
      <c r="S33" s="4">
        <f t="shared" si="22"/>
        <v>2.4115000000000002</v>
      </c>
      <c r="T33" t="s">
        <v>49</v>
      </c>
      <c r="U33">
        <v>600</v>
      </c>
      <c r="V33">
        <v>650</v>
      </c>
      <c r="X33">
        <f t="shared" si="23"/>
        <v>625</v>
      </c>
      <c r="Y33" s="4">
        <f t="shared" si="24"/>
        <v>4.3062500000000004</v>
      </c>
      <c r="Z33" t="s">
        <v>49</v>
      </c>
      <c r="AA33">
        <v>970</v>
      </c>
      <c r="AB33">
        <v>1070</v>
      </c>
      <c r="AD33">
        <f t="shared" si="25"/>
        <v>1020</v>
      </c>
      <c r="AE33" s="4">
        <f t="shared" si="26"/>
        <v>7.0278</v>
      </c>
    </row>
    <row r="34" spans="1:31">
      <c r="A34" t="s">
        <v>50</v>
      </c>
      <c r="B34" t="s">
        <v>44</v>
      </c>
      <c r="C34">
        <v>800</v>
      </c>
      <c r="D34">
        <v>660</v>
      </c>
      <c r="E34">
        <v>700</v>
      </c>
      <c r="G34" s="3">
        <f t="shared" si="18"/>
        <v>720</v>
      </c>
      <c r="H34" s="4">
        <f t="shared" si="7"/>
        <v>4.9607999999999999</v>
      </c>
      <c r="I34" t="s">
        <v>50</v>
      </c>
      <c r="J34" s="4">
        <v>750</v>
      </c>
      <c r="K34" s="4">
        <v>750</v>
      </c>
      <c r="L34" s="4">
        <f t="shared" si="19"/>
        <v>750</v>
      </c>
      <c r="M34" s="4">
        <f t="shared" si="20"/>
        <v>5.1675000000000004</v>
      </c>
      <c r="N34" t="s">
        <v>50</v>
      </c>
      <c r="O34">
        <v>460</v>
      </c>
      <c r="P34">
        <v>450</v>
      </c>
      <c r="R34">
        <f t="shared" si="21"/>
        <v>455</v>
      </c>
      <c r="S34" s="4">
        <f t="shared" si="22"/>
        <v>3.1349500000000003</v>
      </c>
      <c r="T34" t="s">
        <v>50</v>
      </c>
      <c r="U34">
        <v>660</v>
      </c>
      <c r="V34">
        <v>650</v>
      </c>
      <c r="X34">
        <f t="shared" si="23"/>
        <v>655</v>
      </c>
      <c r="Y34" s="4">
        <f t="shared" si="24"/>
        <v>4.51295</v>
      </c>
      <c r="Z34" t="s">
        <v>50</v>
      </c>
      <c r="AA34">
        <v>880</v>
      </c>
      <c r="AB34">
        <v>860</v>
      </c>
      <c r="AD34">
        <f t="shared" si="25"/>
        <v>870</v>
      </c>
      <c r="AE34" s="4">
        <f t="shared" si="26"/>
        <v>5.9943</v>
      </c>
    </row>
    <row r="35" spans="1:31">
      <c r="A35" t="s">
        <v>51</v>
      </c>
      <c r="B35" t="s">
        <v>44</v>
      </c>
      <c r="C35">
        <v>1010</v>
      </c>
      <c r="D35">
        <v>840</v>
      </c>
      <c r="E35">
        <v>870</v>
      </c>
      <c r="G35" s="3">
        <f t="shared" si="18"/>
        <v>906.66666666666663</v>
      </c>
      <c r="H35" s="4">
        <f t="shared" si="7"/>
        <v>6.2469333333333337</v>
      </c>
      <c r="I35" t="s">
        <v>51</v>
      </c>
      <c r="J35" s="4">
        <v>940</v>
      </c>
      <c r="K35" s="4">
        <v>930</v>
      </c>
      <c r="L35" s="4">
        <f t="shared" si="19"/>
        <v>935</v>
      </c>
      <c r="M35" s="4">
        <f t="shared" si="20"/>
        <v>6.4421500000000007</v>
      </c>
      <c r="N35" t="s">
        <v>51</v>
      </c>
      <c r="O35">
        <v>400</v>
      </c>
      <c r="P35">
        <v>450</v>
      </c>
      <c r="R35">
        <f t="shared" si="21"/>
        <v>425</v>
      </c>
      <c r="S35" s="4">
        <f t="shared" si="22"/>
        <v>2.9282500000000002</v>
      </c>
      <c r="T35" t="s">
        <v>51</v>
      </c>
      <c r="U35">
        <v>660</v>
      </c>
      <c r="V35">
        <v>650</v>
      </c>
      <c r="X35">
        <f t="shared" si="23"/>
        <v>655</v>
      </c>
      <c r="Y35" s="4">
        <f t="shared" si="24"/>
        <v>4.51295</v>
      </c>
      <c r="Z35" t="s">
        <v>51</v>
      </c>
      <c r="AA35">
        <v>1140</v>
      </c>
      <c r="AB35">
        <v>1020</v>
      </c>
      <c r="AD35">
        <f t="shared" si="25"/>
        <v>1080</v>
      </c>
      <c r="AE35" s="4">
        <f t="shared" si="26"/>
        <v>7.4412000000000003</v>
      </c>
    </row>
    <row r="36" spans="1:31">
      <c r="A36" t="s">
        <v>52</v>
      </c>
      <c r="B36" t="s">
        <v>44</v>
      </c>
      <c r="C36">
        <v>1100</v>
      </c>
      <c r="D36">
        <v>1200</v>
      </c>
      <c r="E36">
        <v>1200</v>
      </c>
      <c r="G36" s="3">
        <f t="shared" si="18"/>
        <v>1166.6666666666667</v>
      </c>
      <c r="H36" s="4">
        <f t="shared" si="7"/>
        <v>8.038333333333334</v>
      </c>
      <c r="I36" t="s">
        <v>52</v>
      </c>
      <c r="J36" s="4">
        <v>1240</v>
      </c>
      <c r="K36" s="4">
        <v>1170</v>
      </c>
      <c r="L36" s="4">
        <f t="shared" si="19"/>
        <v>1205</v>
      </c>
      <c r="M36" s="4">
        <f t="shared" si="20"/>
        <v>8.3024500000000003</v>
      </c>
      <c r="N36" t="s">
        <v>52</v>
      </c>
      <c r="O36">
        <v>420</v>
      </c>
      <c r="P36">
        <v>410</v>
      </c>
      <c r="R36">
        <f t="shared" si="21"/>
        <v>415</v>
      </c>
      <c r="S36" s="4">
        <f t="shared" si="22"/>
        <v>2.8593500000000001</v>
      </c>
      <c r="T36" t="s">
        <v>52</v>
      </c>
      <c r="U36">
        <v>670</v>
      </c>
      <c r="V36">
        <v>640</v>
      </c>
      <c r="X36">
        <f t="shared" si="23"/>
        <v>655</v>
      </c>
      <c r="Y36" s="4">
        <f t="shared" si="24"/>
        <v>4.51295</v>
      </c>
      <c r="Z36" t="s">
        <v>52</v>
      </c>
      <c r="AA36">
        <v>1060</v>
      </c>
      <c r="AB36">
        <v>1050</v>
      </c>
      <c r="AD36">
        <f t="shared" si="25"/>
        <v>1055</v>
      </c>
      <c r="AE36" s="4">
        <f t="shared" si="26"/>
        <v>7.2689500000000002</v>
      </c>
    </row>
    <row r="37" spans="1:31">
      <c r="A37" t="s">
        <v>53</v>
      </c>
      <c r="B37" t="s">
        <v>44</v>
      </c>
      <c r="C37">
        <v>690</v>
      </c>
      <c r="D37">
        <v>720</v>
      </c>
      <c r="E37">
        <v>650</v>
      </c>
      <c r="G37" s="3">
        <f t="shared" si="18"/>
        <v>686.66666666666663</v>
      </c>
      <c r="H37" s="4">
        <f t="shared" si="7"/>
        <v>4.7311333333333332</v>
      </c>
      <c r="I37" t="s">
        <v>53</v>
      </c>
      <c r="J37" s="4">
        <v>710</v>
      </c>
      <c r="K37" s="4">
        <v>710</v>
      </c>
      <c r="L37" s="4">
        <f t="shared" si="19"/>
        <v>710</v>
      </c>
      <c r="M37" s="4">
        <f t="shared" si="20"/>
        <v>4.8919000000000006</v>
      </c>
      <c r="N37" t="s">
        <v>53</v>
      </c>
      <c r="O37">
        <v>470</v>
      </c>
      <c r="P37">
        <v>450</v>
      </c>
      <c r="R37">
        <f t="shared" si="21"/>
        <v>460</v>
      </c>
      <c r="S37" s="4">
        <f t="shared" si="22"/>
        <v>3.1694</v>
      </c>
      <c r="T37" t="s">
        <v>53</v>
      </c>
      <c r="U37">
        <v>680</v>
      </c>
      <c r="V37">
        <v>750</v>
      </c>
      <c r="X37">
        <f t="shared" si="23"/>
        <v>715</v>
      </c>
      <c r="Y37" s="4">
        <f t="shared" si="24"/>
        <v>4.9263500000000002</v>
      </c>
      <c r="Z37" t="s">
        <v>53</v>
      </c>
      <c r="AA37">
        <v>750</v>
      </c>
      <c r="AB37">
        <v>750</v>
      </c>
      <c r="AD37">
        <f t="shared" si="25"/>
        <v>750</v>
      </c>
      <c r="AE37" s="4">
        <f t="shared" si="26"/>
        <v>5.1675000000000004</v>
      </c>
    </row>
    <row r="38" spans="1:31">
      <c r="A38" t="s">
        <v>54</v>
      </c>
      <c r="B38" t="s">
        <v>44</v>
      </c>
      <c r="C38">
        <v>850</v>
      </c>
      <c r="D38">
        <v>870</v>
      </c>
      <c r="E38">
        <v>850</v>
      </c>
      <c r="G38" s="3">
        <f t="shared" si="18"/>
        <v>856.66666666666663</v>
      </c>
      <c r="H38" s="4">
        <f t="shared" si="7"/>
        <v>5.9024333333333336</v>
      </c>
      <c r="I38" t="s">
        <v>54</v>
      </c>
      <c r="J38" s="4">
        <v>800</v>
      </c>
      <c r="K38" s="4">
        <v>850</v>
      </c>
      <c r="L38" s="4">
        <f t="shared" si="19"/>
        <v>825</v>
      </c>
      <c r="M38" s="4">
        <f t="shared" si="20"/>
        <v>5.6842500000000005</v>
      </c>
      <c r="N38" t="s">
        <v>54</v>
      </c>
      <c r="O38">
        <v>480</v>
      </c>
      <c r="P38">
        <v>410</v>
      </c>
      <c r="R38">
        <f t="shared" si="21"/>
        <v>445</v>
      </c>
      <c r="S38" s="4">
        <f t="shared" si="22"/>
        <v>3.0660500000000002</v>
      </c>
      <c r="T38" t="s">
        <v>54</v>
      </c>
      <c r="U38">
        <v>650</v>
      </c>
      <c r="V38">
        <v>670</v>
      </c>
      <c r="X38">
        <f t="shared" si="23"/>
        <v>660</v>
      </c>
      <c r="Y38" s="4">
        <f t="shared" si="24"/>
        <v>4.5474000000000006</v>
      </c>
      <c r="Z38" t="s">
        <v>54</v>
      </c>
      <c r="AA38">
        <v>930</v>
      </c>
      <c r="AB38">
        <v>970</v>
      </c>
      <c r="AD38">
        <f t="shared" si="25"/>
        <v>950</v>
      </c>
      <c r="AE38" s="4">
        <f t="shared" si="26"/>
        <v>6.5455000000000005</v>
      </c>
    </row>
    <row r="39" spans="1:31">
      <c r="A39" t="s">
        <v>55</v>
      </c>
      <c r="B39" t="s">
        <v>44</v>
      </c>
      <c r="C39">
        <v>1020</v>
      </c>
      <c r="D39">
        <v>1000</v>
      </c>
      <c r="E39">
        <v>1020</v>
      </c>
      <c r="G39" s="3">
        <f t="shared" si="18"/>
        <v>1013.3333333333334</v>
      </c>
      <c r="H39" s="4">
        <f t="shared" si="7"/>
        <v>6.9818666666666669</v>
      </c>
      <c r="I39" t="s">
        <v>55</v>
      </c>
      <c r="J39" s="4">
        <v>990</v>
      </c>
      <c r="K39" s="4">
        <v>1020</v>
      </c>
      <c r="L39" s="4">
        <f t="shared" si="19"/>
        <v>1005</v>
      </c>
      <c r="M39" s="4">
        <f t="shared" si="20"/>
        <v>6.9244500000000002</v>
      </c>
      <c r="N39" t="s">
        <v>55</v>
      </c>
      <c r="O39">
        <v>340</v>
      </c>
      <c r="P39">
        <v>350</v>
      </c>
      <c r="R39">
        <f t="shared" si="21"/>
        <v>345</v>
      </c>
      <c r="S39" s="4">
        <f t="shared" si="22"/>
        <v>2.3770500000000001</v>
      </c>
      <c r="T39" t="s">
        <v>55</v>
      </c>
      <c r="U39">
        <v>690</v>
      </c>
      <c r="V39">
        <v>680</v>
      </c>
      <c r="X39">
        <f t="shared" si="23"/>
        <v>685</v>
      </c>
      <c r="Y39" s="4">
        <f t="shared" si="24"/>
        <v>4.7196500000000006</v>
      </c>
      <c r="Z39" t="s">
        <v>55</v>
      </c>
      <c r="AA39">
        <v>980</v>
      </c>
      <c r="AB39">
        <v>1060</v>
      </c>
      <c r="AD39">
        <f t="shared" si="25"/>
        <v>1020</v>
      </c>
      <c r="AE39" s="4">
        <f t="shared" si="26"/>
        <v>7.0278</v>
      </c>
    </row>
    <row r="40" spans="1:31" ht="16" thickBot="1">
      <c r="A40" t="s">
        <v>56</v>
      </c>
      <c r="B40" t="s">
        <v>44</v>
      </c>
      <c r="C40">
        <v>810</v>
      </c>
      <c r="D40">
        <v>960</v>
      </c>
      <c r="E40">
        <v>810</v>
      </c>
      <c r="F40">
        <v>970</v>
      </c>
      <c r="G40" s="3">
        <f t="shared" si="18"/>
        <v>887.5</v>
      </c>
      <c r="H40" s="4">
        <f t="shared" si="7"/>
        <v>6.1148750000000005</v>
      </c>
      <c r="I40" t="s">
        <v>56</v>
      </c>
      <c r="J40" s="4">
        <v>860</v>
      </c>
      <c r="K40" s="4">
        <v>845</v>
      </c>
      <c r="L40" s="4">
        <f t="shared" si="19"/>
        <v>852.5</v>
      </c>
      <c r="M40" s="4">
        <f t="shared" si="20"/>
        <v>5.8737250000000003</v>
      </c>
      <c r="N40" t="s">
        <v>56</v>
      </c>
      <c r="O40">
        <v>490</v>
      </c>
      <c r="P40">
        <v>450</v>
      </c>
      <c r="R40">
        <f t="shared" si="21"/>
        <v>470</v>
      </c>
      <c r="S40" s="4">
        <f t="shared" si="22"/>
        <v>3.2383000000000002</v>
      </c>
      <c r="T40" t="s">
        <v>56</v>
      </c>
      <c r="U40">
        <v>640</v>
      </c>
      <c r="V40">
        <v>700</v>
      </c>
      <c r="X40">
        <f t="shared" si="23"/>
        <v>670</v>
      </c>
      <c r="Y40" s="4">
        <f t="shared" si="24"/>
        <v>4.6162999999999998</v>
      </c>
      <c r="Z40" t="s">
        <v>56</v>
      </c>
      <c r="AA40">
        <v>900</v>
      </c>
      <c r="AB40">
        <v>920</v>
      </c>
      <c r="AD40">
        <f t="shared" si="25"/>
        <v>910</v>
      </c>
      <c r="AE40" s="4">
        <f t="shared" si="26"/>
        <v>6.2699000000000007</v>
      </c>
    </row>
    <row r="41" spans="1:31" ht="18">
      <c r="G41" s="3"/>
      <c r="H41" s="5">
        <f>AVERAGE(H31:H40)</f>
        <v>6.1854975000000003</v>
      </c>
      <c r="J41" s="6"/>
      <c r="K41" s="6"/>
      <c r="L41" s="6"/>
      <c r="M41" s="5">
        <f>AVERAGE(M31:M40)</f>
        <v>6.0890374999999999</v>
      </c>
      <c r="S41" s="5">
        <f>AVERAGE(S31:S40)</f>
        <v>2.9420299999999999</v>
      </c>
      <c r="Y41" s="5">
        <f>AVERAGE(Y31:Y40)</f>
        <v>4.5956300000000008</v>
      </c>
      <c r="AE41" s="5">
        <f>AVERAGE(AE31:AE40)</f>
        <v>6.6402375000000022</v>
      </c>
    </row>
    <row r="42" spans="1:31" ht="18">
      <c r="G42" s="3"/>
      <c r="H42" s="7">
        <f>STDEV(H31:H40)</f>
        <v>1.0797999301143018</v>
      </c>
      <c r="J42" s="6"/>
      <c r="K42" s="6"/>
      <c r="L42" s="6"/>
      <c r="M42" s="7">
        <f>STDEV(M31:M40)</f>
        <v>1.3400427602656135</v>
      </c>
      <c r="S42" s="7">
        <f>STDEV(S31:S40)</f>
        <v>0.31790380026388981</v>
      </c>
      <c r="Y42" s="7">
        <f>STDEV(Y31:Y40)</f>
        <v>0.18171263822004485</v>
      </c>
      <c r="AE42" s="7">
        <f>STDEV(AE31:AE40)</f>
        <v>0.6798118785175874</v>
      </c>
    </row>
    <row r="43" spans="1:31" ht="19" thickBot="1">
      <c r="G43" s="3"/>
      <c r="H43" s="9">
        <f>CONFIDENCE(0.05,H42,10)</f>
        <v>0.66925463256765672</v>
      </c>
      <c r="J43" s="6"/>
      <c r="K43" s="6"/>
      <c r="L43" s="6"/>
      <c r="M43" s="9">
        <f>CONFIDENCE(0.05,M42,10)</f>
        <v>0.83055184588831954</v>
      </c>
      <c r="S43" s="9">
        <f>CONFIDENCE(0.05,S42,10)</f>
        <v>0.19703519615430043</v>
      </c>
      <c r="Y43" s="9">
        <f>CONFIDENCE(0.05,Y42,10)</f>
        <v>0.11262459047573978</v>
      </c>
      <c r="AE43" s="9">
        <f>CONFIDENCE(0.05,AE42,10)</f>
        <v>0.42134402520683267</v>
      </c>
    </row>
    <row r="44" spans="1:31">
      <c r="G44" s="3"/>
      <c r="H44" s="4"/>
      <c r="J44" s="4"/>
      <c r="K44" s="4"/>
      <c r="L44" s="4"/>
      <c r="M44" s="4"/>
    </row>
    <row r="45" spans="1:31">
      <c r="A45" t="s">
        <v>57</v>
      </c>
      <c r="B45" t="s">
        <v>58</v>
      </c>
      <c r="C45">
        <v>830</v>
      </c>
      <c r="D45">
        <v>850</v>
      </c>
      <c r="E45">
        <v>850</v>
      </c>
      <c r="G45" s="3">
        <f t="shared" si="0"/>
        <v>843.33333333333337</v>
      </c>
      <c r="H45" s="4">
        <f t="shared" si="7"/>
        <v>5.8105666666666673</v>
      </c>
      <c r="I45" t="s">
        <v>57</v>
      </c>
      <c r="J45" s="4">
        <v>900</v>
      </c>
      <c r="K45" s="4">
        <v>880</v>
      </c>
      <c r="L45" s="4">
        <f t="shared" ref="L45:L54" si="27">AVERAGE(J45:K45)</f>
        <v>890</v>
      </c>
      <c r="M45" s="4">
        <f t="shared" ref="M45:M54" si="28">L45*0.00689</f>
        <v>6.1321000000000003</v>
      </c>
      <c r="N45" t="s">
        <v>59</v>
      </c>
      <c r="O45">
        <v>390</v>
      </c>
      <c r="P45">
        <v>480</v>
      </c>
      <c r="Q45">
        <v>500</v>
      </c>
      <c r="R45">
        <f t="shared" ref="R45:R54" si="29">AVERAGE(O45:Q45)</f>
        <v>456.66666666666669</v>
      </c>
      <c r="S45" s="4">
        <f t="shared" ref="S45:S54" si="30">R45*0.00689</f>
        <v>3.1464333333333334</v>
      </c>
      <c r="T45" t="s">
        <v>59</v>
      </c>
      <c r="U45">
        <v>680</v>
      </c>
      <c r="V45">
        <v>640</v>
      </c>
      <c r="X45">
        <f t="shared" ref="X45:X54" si="31">AVERAGE(U45:W45)</f>
        <v>660</v>
      </c>
      <c r="Y45" s="4">
        <f t="shared" ref="Y45:Y54" si="32">X45*0.00689</f>
        <v>4.5474000000000006</v>
      </c>
      <c r="Z45" t="s">
        <v>59</v>
      </c>
      <c r="AA45">
        <v>900</v>
      </c>
      <c r="AB45">
        <v>970</v>
      </c>
      <c r="AD45">
        <f t="shared" ref="AD45:AD54" si="33">AVERAGE(AA45:AC45)</f>
        <v>935</v>
      </c>
      <c r="AE45" s="4">
        <f t="shared" ref="AE45:AE54" si="34">AD45*0.00689</f>
        <v>6.4421500000000007</v>
      </c>
    </row>
    <row r="46" spans="1:31">
      <c r="A46" t="s">
        <v>60</v>
      </c>
      <c r="B46" t="s">
        <v>58</v>
      </c>
      <c r="C46">
        <v>900</v>
      </c>
      <c r="D46">
        <v>990</v>
      </c>
      <c r="E46">
        <v>1000</v>
      </c>
      <c r="G46" s="3">
        <f t="shared" si="0"/>
        <v>963.33333333333337</v>
      </c>
      <c r="H46" s="4">
        <f t="shared" si="7"/>
        <v>6.6373666666666669</v>
      </c>
      <c r="I46" t="s">
        <v>60</v>
      </c>
      <c r="J46" s="4">
        <v>820</v>
      </c>
      <c r="K46" s="4">
        <v>820</v>
      </c>
      <c r="L46" s="4">
        <f t="shared" si="27"/>
        <v>820</v>
      </c>
      <c r="M46" s="4">
        <f t="shared" si="28"/>
        <v>5.6497999999999999</v>
      </c>
      <c r="N46" t="s">
        <v>61</v>
      </c>
      <c r="O46">
        <v>350</v>
      </c>
      <c r="P46">
        <v>330</v>
      </c>
      <c r="R46">
        <f t="shared" si="29"/>
        <v>340</v>
      </c>
      <c r="S46" s="4">
        <f t="shared" si="30"/>
        <v>2.3426</v>
      </c>
      <c r="T46" t="s">
        <v>61</v>
      </c>
      <c r="U46">
        <v>550</v>
      </c>
      <c r="V46">
        <v>570</v>
      </c>
      <c r="X46">
        <f t="shared" si="31"/>
        <v>560</v>
      </c>
      <c r="Y46" s="4">
        <f t="shared" si="32"/>
        <v>3.8584000000000001</v>
      </c>
      <c r="Z46" t="s">
        <v>61</v>
      </c>
      <c r="AA46">
        <v>820</v>
      </c>
      <c r="AB46">
        <v>875</v>
      </c>
      <c r="AD46">
        <f t="shared" si="33"/>
        <v>847.5</v>
      </c>
      <c r="AE46" s="4">
        <f t="shared" si="34"/>
        <v>5.8392750000000007</v>
      </c>
    </row>
    <row r="47" spans="1:31">
      <c r="A47" t="s">
        <v>62</v>
      </c>
      <c r="B47" t="s">
        <v>58</v>
      </c>
      <c r="C47">
        <v>840</v>
      </c>
      <c r="D47">
        <v>840</v>
      </c>
      <c r="E47">
        <v>840</v>
      </c>
      <c r="G47" s="3">
        <f t="shared" si="0"/>
        <v>840</v>
      </c>
      <c r="H47" s="4">
        <f t="shared" si="7"/>
        <v>5.7876000000000003</v>
      </c>
      <c r="I47" t="s">
        <v>62</v>
      </c>
      <c r="J47" s="4">
        <v>940</v>
      </c>
      <c r="K47" s="4">
        <v>1000</v>
      </c>
      <c r="L47" s="4">
        <f t="shared" si="27"/>
        <v>970</v>
      </c>
      <c r="M47" s="4">
        <f t="shared" si="28"/>
        <v>6.6833</v>
      </c>
      <c r="N47" t="s">
        <v>62</v>
      </c>
      <c r="O47">
        <v>350</v>
      </c>
      <c r="P47">
        <v>350</v>
      </c>
      <c r="R47">
        <f t="shared" si="29"/>
        <v>350</v>
      </c>
      <c r="S47" s="4">
        <f t="shared" si="30"/>
        <v>2.4115000000000002</v>
      </c>
      <c r="T47" t="s">
        <v>62</v>
      </c>
      <c r="U47">
        <v>680</v>
      </c>
      <c r="V47">
        <v>750</v>
      </c>
      <c r="X47">
        <f t="shared" si="31"/>
        <v>715</v>
      </c>
      <c r="Y47" s="4">
        <f t="shared" si="32"/>
        <v>4.9263500000000002</v>
      </c>
      <c r="Z47" t="s">
        <v>62</v>
      </c>
      <c r="AA47">
        <v>1140</v>
      </c>
      <c r="AB47">
        <v>1150</v>
      </c>
      <c r="AD47">
        <f t="shared" si="33"/>
        <v>1145</v>
      </c>
      <c r="AE47" s="4">
        <f t="shared" si="34"/>
        <v>7.8890500000000001</v>
      </c>
    </row>
    <row r="48" spans="1:31">
      <c r="A48" t="s">
        <v>63</v>
      </c>
      <c r="B48" t="s">
        <v>58</v>
      </c>
      <c r="C48">
        <v>950</v>
      </c>
      <c r="D48">
        <v>900</v>
      </c>
      <c r="E48">
        <v>870</v>
      </c>
      <c r="G48" s="3">
        <f t="shared" si="0"/>
        <v>906.66666666666663</v>
      </c>
      <c r="H48" s="4">
        <f t="shared" si="7"/>
        <v>6.2469333333333337</v>
      </c>
      <c r="I48" t="s">
        <v>63</v>
      </c>
      <c r="J48" s="4">
        <v>900</v>
      </c>
      <c r="K48" s="4">
        <v>910</v>
      </c>
      <c r="L48" s="4">
        <f t="shared" si="27"/>
        <v>905</v>
      </c>
      <c r="M48" s="4">
        <f t="shared" si="28"/>
        <v>6.2354500000000002</v>
      </c>
      <c r="N48" t="s">
        <v>63</v>
      </c>
      <c r="O48">
        <v>420</v>
      </c>
      <c r="P48">
        <v>400</v>
      </c>
      <c r="R48">
        <f t="shared" si="29"/>
        <v>410</v>
      </c>
      <c r="S48" s="4">
        <f t="shared" si="30"/>
        <v>2.8249</v>
      </c>
      <c r="T48" t="s">
        <v>63</v>
      </c>
      <c r="U48">
        <v>660</v>
      </c>
      <c r="V48">
        <v>660</v>
      </c>
      <c r="X48">
        <f t="shared" si="31"/>
        <v>660</v>
      </c>
      <c r="Y48" s="4">
        <f t="shared" si="32"/>
        <v>4.5474000000000006</v>
      </c>
      <c r="Z48" t="s">
        <v>63</v>
      </c>
      <c r="AA48">
        <v>920</v>
      </c>
      <c r="AB48">
        <v>900</v>
      </c>
      <c r="AD48">
        <f t="shared" si="33"/>
        <v>910</v>
      </c>
      <c r="AE48" s="4">
        <f t="shared" si="34"/>
        <v>6.2699000000000007</v>
      </c>
    </row>
    <row r="49" spans="1:31">
      <c r="A49" t="s">
        <v>64</v>
      </c>
      <c r="B49" t="s">
        <v>58</v>
      </c>
      <c r="C49">
        <v>720</v>
      </c>
      <c r="D49">
        <v>720</v>
      </c>
      <c r="E49">
        <v>710</v>
      </c>
      <c r="G49" s="3">
        <f t="shared" si="0"/>
        <v>716.66666666666663</v>
      </c>
      <c r="H49" s="4">
        <f t="shared" si="7"/>
        <v>4.9378333333333329</v>
      </c>
      <c r="I49" t="s">
        <v>64</v>
      </c>
      <c r="J49" s="4">
        <v>700</v>
      </c>
      <c r="K49" s="4">
        <v>680</v>
      </c>
      <c r="L49" s="4">
        <f t="shared" si="27"/>
        <v>690</v>
      </c>
      <c r="M49" s="4">
        <f t="shared" si="28"/>
        <v>4.7541000000000002</v>
      </c>
      <c r="N49" t="s">
        <v>64</v>
      </c>
      <c r="O49">
        <v>430</v>
      </c>
      <c r="P49">
        <v>400</v>
      </c>
      <c r="R49">
        <f t="shared" si="29"/>
        <v>415</v>
      </c>
      <c r="S49" s="4">
        <f t="shared" si="30"/>
        <v>2.8593500000000001</v>
      </c>
      <c r="T49" t="s">
        <v>64</v>
      </c>
      <c r="U49">
        <v>640</v>
      </c>
      <c r="V49">
        <v>640</v>
      </c>
      <c r="X49">
        <f t="shared" si="31"/>
        <v>640</v>
      </c>
      <c r="Y49" s="4">
        <f t="shared" si="32"/>
        <v>4.4096000000000002</v>
      </c>
      <c r="Z49" t="s">
        <v>64</v>
      </c>
      <c r="AA49">
        <v>900</v>
      </c>
      <c r="AB49">
        <v>900</v>
      </c>
      <c r="AD49">
        <f t="shared" si="33"/>
        <v>900</v>
      </c>
      <c r="AE49" s="4">
        <f t="shared" si="34"/>
        <v>6.2010000000000005</v>
      </c>
    </row>
    <row r="50" spans="1:31">
      <c r="A50" t="s">
        <v>65</v>
      </c>
      <c r="B50" t="s">
        <v>58</v>
      </c>
      <c r="C50">
        <v>760</v>
      </c>
      <c r="D50">
        <v>760</v>
      </c>
      <c r="E50">
        <v>920</v>
      </c>
      <c r="F50">
        <v>870</v>
      </c>
      <c r="G50" s="3">
        <f t="shared" si="0"/>
        <v>827.5</v>
      </c>
      <c r="H50" s="4">
        <f t="shared" si="7"/>
        <v>5.7014750000000003</v>
      </c>
      <c r="I50" t="s">
        <v>65</v>
      </c>
      <c r="J50" s="4">
        <v>570</v>
      </c>
      <c r="K50" s="4">
        <v>770</v>
      </c>
      <c r="L50" s="4">
        <f t="shared" si="27"/>
        <v>670</v>
      </c>
      <c r="M50" s="4">
        <f t="shared" si="28"/>
        <v>4.6162999999999998</v>
      </c>
      <c r="N50" t="s">
        <v>65</v>
      </c>
      <c r="O50">
        <v>400</v>
      </c>
      <c r="P50">
        <v>400</v>
      </c>
      <c r="R50">
        <f t="shared" si="29"/>
        <v>400</v>
      </c>
      <c r="S50" s="4">
        <f t="shared" si="30"/>
        <v>2.7560000000000002</v>
      </c>
      <c r="T50" t="s">
        <v>65</v>
      </c>
      <c r="U50">
        <v>690</v>
      </c>
      <c r="V50">
        <v>700</v>
      </c>
      <c r="X50">
        <f t="shared" si="31"/>
        <v>695</v>
      </c>
      <c r="Y50" s="4">
        <f t="shared" si="32"/>
        <v>4.7885499999999999</v>
      </c>
      <c r="Z50" t="s">
        <v>65</v>
      </c>
      <c r="AA50">
        <v>1000</v>
      </c>
      <c r="AB50">
        <v>1020</v>
      </c>
      <c r="AD50">
        <f t="shared" si="33"/>
        <v>1010</v>
      </c>
      <c r="AE50" s="4">
        <f t="shared" si="34"/>
        <v>6.9588999999999999</v>
      </c>
    </row>
    <row r="51" spans="1:31">
      <c r="A51" t="s">
        <v>66</v>
      </c>
      <c r="B51" t="s">
        <v>58</v>
      </c>
      <c r="C51">
        <v>870</v>
      </c>
      <c r="D51">
        <v>1000</v>
      </c>
      <c r="E51">
        <v>990</v>
      </c>
      <c r="G51" s="3">
        <f t="shared" si="0"/>
        <v>953.33333333333337</v>
      </c>
      <c r="H51" s="4">
        <f t="shared" si="7"/>
        <v>6.5684666666666676</v>
      </c>
      <c r="I51" t="s">
        <v>66</v>
      </c>
      <c r="J51" s="4">
        <v>850</v>
      </c>
      <c r="K51" s="4">
        <v>860</v>
      </c>
      <c r="L51" s="4">
        <f t="shared" si="27"/>
        <v>855</v>
      </c>
      <c r="M51" s="4">
        <f t="shared" si="28"/>
        <v>5.8909500000000001</v>
      </c>
      <c r="N51" t="s">
        <v>66</v>
      </c>
      <c r="O51">
        <v>350</v>
      </c>
      <c r="P51">
        <v>360</v>
      </c>
      <c r="R51">
        <f t="shared" si="29"/>
        <v>355</v>
      </c>
      <c r="S51" s="4">
        <f t="shared" si="30"/>
        <v>2.4459500000000003</v>
      </c>
      <c r="T51" t="s">
        <v>66</v>
      </c>
      <c r="U51">
        <v>650</v>
      </c>
      <c r="V51">
        <v>660</v>
      </c>
      <c r="X51">
        <f t="shared" si="31"/>
        <v>655</v>
      </c>
      <c r="Y51" s="4">
        <f t="shared" si="32"/>
        <v>4.51295</v>
      </c>
      <c r="Z51" t="s">
        <v>66</v>
      </c>
      <c r="AA51">
        <v>1260</v>
      </c>
      <c r="AB51">
        <v>1120</v>
      </c>
      <c r="AD51">
        <f t="shared" si="33"/>
        <v>1190</v>
      </c>
      <c r="AE51" s="4">
        <f t="shared" si="34"/>
        <v>8.1990999999999996</v>
      </c>
    </row>
    <row r="52" spans="1:31">
      <c r="A52" t="s">
        <v>67</v>
      </c>
      <c r="B52" t="s">
        <v>58</v>
      </c>
      <c r="C52">
        <v>780</v>
      </c>
      <c r="D52">
        <v>780</v>
      </c>
      <c r="E52">
        <v>740</v>
      </c>
      <c r="G52" s="3">
        <f t="shared" si="0"/>
        <v>766.66666666666663</v>
      </c>
      <c r="H52" s="4">
        <f t="shared" si="7"/>
        <v>5.2823333333333329</v>
      </c>
      <c r="I52" t="s">
        <v>67</v>
      </c>
      <c r="J52" s="4">
        <v>700</v>
      </c>
      <c r="K52" s="4">
        <v>680</v>
      </c>
      <c r="L52" s="4">
        <f t="shared" si="27"/>
        <v>690</v>
      </c>
      <c r="M52" s="4">
        <f t="shared" si="28"/>
        <v>4.7541000000000002</v>
      </c>
      <c r="N52" t="s">
        <v>67</v>
      </c>
      <c r="O52">
        <v>470</v>
      </c>
      <c r="P52">
        <v>460</v>
      </c>
      <c r="R52">
        <f t="shared" si="29"/>
        <v>465</v>
      </c>
      <c r="S52" s="4">
        <f t="shared" si="30"/>
        <v>3.2038500000000001</v>
      </c>
      <c r="T52" t="s">
        <v>67</v>
      </c>
      <c r="U52">
        <v>710</v>
      </c>
      <c r="V52">
        <v>750</v>
      </c>
      <c r="X52">
        <f t="shared" si="31"/>
        <v>730</v>
      </c>
      <c r="Y52" s="4">
        <f t="shared" si="32"/>
        <v>5.0297000000000001</v>
      </c>
      <c r="Z52" t="s">
        <v>67</v>
      </c>
      <c r="AA52">
        <v>990</v>
      </c>
      <c r="AB52">
        <v>995</v>
      </c>
      <c r="AD52">
        <f t="shared" si="33"/>
        <v>992.5</v>
      </c>
      <c r="AE52" s="4">
        <f t="shared" si="34"/>
        <v>6.8383250000000002</v>
      </c>
    </row>
    <row r="53" spans="1:31">
      <c r="A53" t="s">
        <v>68</v>
      </c>
      <c r="B53" t="s">
        <v>58</v>
      </c>
      <c r="C53">
        <v>890</v>
      </c>
      <c r="D53">
        <v>790</v>
      </c>
      <c r="E53">
        <v>760</v>
      </c>
      <c r="G53" s="3">
        <f t="shared" si="0"/>
        <v>813.33333333333337</v>
      </c>
      <c r="H53" s="4">
        <f t="shared" si="7"/>
        <v>5.6038666666666668</v>
      </c>
      <c r="I53" t="s">
        <v>68</v>
      </c>
      <c r="J53" s="4">
        <v>760</v>
      </c>
      <c r="K53" s="4">
        <v>790</v>
      </c>
      <c r="L53" s="4">
        <f t="shared" si="27"/>
        <v>775</v>
      </c>
      <c r="M53" s="4">
        <f t="shared" si="28"/>
        <v>5.3397500000000004</v>
      </c>
      <c r="N53" t="s">
        <v>68</v>
      </c>
      <c r="O53">
        <v>400</v>
      </c>
      <c r="P53">
        <v>450</v>
      </c>
      <c r="R53">
        <f t="shared" si="29"/>
        <v>425</v>
      </c>
      <c r="S53" s="4">
        <f t="shared" si="30"/>
        <v>2.9282500000000002</v>
      </c>
      <c r="T53" t="s">
        <v>68</v>
      </c>
      <c r="U53">
        <v>650</v>
      </c>
      <c r="V53">
        <v>690</v>
      </c>
      <c r="X53">
        <f t="shared" si="31"/>
        <v>670</v>
      </c>
      <c r="Y53" s="4">
        <f t="shared" si="32"/>
        <v>4.6162999999999998</v>
      </c>
      <c r="Z53" t="s">
        <v>68</v>
      </c>
      <c r="AA53">
        <v>900</v>
      </c>
      <c r="AB53">
        <v>900</v>
      </c>
      <c r="AD53">
        <f t="shared" si="33"/>
        <v>900</v>
      </c>
      <c r="AE53" s="4">
        <f t="shared" si="34"/>
        <v>6.2010000000000005</v>
      </c>
    </row>
    <row r="54" spans="1:31" ht="16" thickBot="1">
      <c r="A54" t="s">
        <v>69</v>
      </c>
      <c r="B54" t="s">
        <v>58</v>
      </c>
      <c r="C54">
        <v>830</v>
      </c>
      <c r="D54">
        <v>860</v>
      </c>
      <c r="E54">
        <v>830</v>
      </c>
      <c r="G54" s="3">
        <f t="shared" si="0"/>
        <v>840</v>
      </c>
      <c r="H54" s="4">
        <f t="shared" si="7"/>
        <v>5.7876000000000003</v>
      </c>
      <c r="I54" t="s">
        <v>69</v>
      </c>
      <c r="J54" s="4">
        <v>800</v>
      </c>
      <c r="K54" s="4">
        <v>830</v>
      </c>
      <c r="L54" s="4">
        <f t="shared" si="27"/>
        <v>815</v>
      </c>
      <c r="M54" s="4">
        <f t="shared" si="28"/>
        <v>5.6153500000000003</v>
      </c>
      <c r="N54" t="s">
        <v>69</v>
      </c>
      <c r="O54">
        <v>360</v>
      </c>
      <c r="P54">
        <v>400</v>
      </c>
      <c r="R54">
        <f t="shared" si="29"/>
        <v>380</v>
      </c>
      <c r="S54" s="4">
        <f t="shared" si="30"/>
        <v>2.6182000000000003</v>
      </c>
      <c r="T54" t="s">
        <v>69</v>
      </c>
      <c r="U54">
        <v>680</v>
      </c>
      <c r="V54">
        <v>660</v>
      </c>
      <c r="X54">
        <f t="shared" si="31"/>
        <v>670</v>
      </c>
      <c r="Y54" s="4">
        <f t="shared" si="32"/>
        <v>4.6162999999999998</v>
      </c>
      <c r="Z54" t="s">
        <v>69</v>
      </c>
      <c r="AA54">
        <v>880</v>
      </c>
      <c r="AB54">
        <v>880</v>
      </c>
      <c r="AD54">
        <f t="shared" si="33"/>
        <v>880</v>
      </c>
      <c r="AE54" s="4">
        <f t="shared" si="34"/>
        <v>6.0632000000000001</v>
      </c>
    </row>
    <row r="55" spans="1:31" ht="18">
      <c r="H55" s="5">
        <f>AVERAGE(H45:H54)</f>
        <v>5.8364041666666671</v>
      </c>
      <c r="J55" s="6"/>
      <c r="K55" s="6"/>
      <c r="L55" s="6"/>
      <c r="M55" s="5">
        <f>AVERAGE(M45:M54)</f>
        <v>5.567120000000001</v>
      </c>
      <c r="S55" s="5">
        <f>AVERAGE(S45:S54)</f>
        <v>2.7537033333333332</v>
      </c>
      <c r="Y55" s="5">
        <f>AVERAGE(Y45:Y54)</f>
        <v>4.5852950000000003</v>
      </c>
      <c r="AE55" s="5">
        <f>AVERAGE(AE45:AE54)</f>
        <v>6.6901899999999994</v>
      </c>
    </row>
    <row r="56" spans="1:31" ht="18">
      <c r="H56" s="7">
        <v>0.54</v>
      </c>
      <c r="J56" s="6"/>
      <c r="K56" s="6"/>
      <c r="L56" s="6"/>
      <c r="M56" s="7">
        <f>STDEV(M45:M54)</f>
        <v>0.69948488951989252</v>
      </c>
      <c r="N56" t="s">
        <v>13</v>
      </c>
      <c r="S56" s="7">
        <f>STDEV(S45:S54)</f>
        <v>0.2986549869368052</v>
      </c>
      <c r="Y56" s="7">
        <f>STDEV(Y45:Y54)</f>
        <v>0.32048582344275039</v>
      </c>
      <c r="AE56" s="7">
        <f>STDEV(AE45:AE54)</f>
        <v>0.79177562515105104</v>
      </c>
    </row>
    <row r="57" spans="1:31" ht="19" thickBot="1">
      <c r="H57" s="9">
        <v>0.34</v>
      </c>
      <c r="J57" s="6"/>
      <c r="K57" s="6"/>
      <c r="L57" s="6"/>
      <c r="M57" s="9">
        <f>CONFIDENCE(0.05,M56,10)</f>
        <v>0.43353725969653434</v>
      </c>
      <c r="N57" t="s">
        <v>15</v>
      </c>
      <c r="S57" s="9">
        <f>CONFIDENCE(0.05,S56,10)</f>
        <v>0.18510487727641556</v>
      </c>
      <c r="Y57" s="9">
        <f>CONFIDENCE(0.05,Y56,10)</f>
        <v>0.19863552129385345</v>
      </c>
      <c r="AE57" s="9">
        <f>CONFIDENCE(0.05,AE56,10)</f>
        <v>0.49073859916845997</v>
      </c>
    </row>
  </sheetData>
  <mergeCells count="3">
    <mergeCell ref="O1:R1"/>
    <mergeCell ref="U1:X1"/>
    <mergeCell ref="AA1:AD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Mahall</dc:creator>
  <cp:lastModifiedBy>Bruce Mahall</cp:lastModifiedBy>
  <dcterms:created xsi:type="dcterms:W3CDTF">2017-10-25T21:19:24Z</dcterms:created>
  <dcterms:modified xsi:type="dcterms:W3CDTF">2017-10-25T21:20:27Z</dcterms:modified>
</cp:coreProperties>
</file>