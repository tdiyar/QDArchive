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barrwalker\Desktop\Experiences of women who travel for abortion 5.23.18\"/>
    </mc:Choice>
  </mc:AlternateContent>
  <bookViews>
    <workbookView xWindow="0" yWindow="0" windowWidth="23040" windowHeight="9216"/>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15" i="1" l="1"/>
</calcChain>
</file>

<file path=xl/sharedStrings.xml><?xml version="1.0" encoding="utf-8"?>
<sst xmlns="http://schemas.openxmlformats.org/spreadsheetml/2006/main" count="1397" uniqueCount="1012">
  <si>
    <t>STUDY INFORMATION</t>
  </si>
  <si>
    <t>INTRODUCTION</t>
  </si>
  <si>
    <t>METHODS - SETTING, RECRUITMENT, DATA COLLECTION</t>
  </si>
  <si>
    <t>METHODS - ANALYSIS</t>
  </si>
  <si>
    <t>RESULTS</t>
  </si>
  <si>
    <t>DISCUSSION</t>
  </si>
  <si>
    <t>Checklist Items
1a- Indicate the study’s design with a commonly used term in the title or the abstract
1b- Provide in the abstract an informative and balanced summary of what was done and what was found</t>
  </si>
  <si>
    <r>
      <rPr>
        <i/>
        <sz val="10"/>
        <rFont val="Arial"/>
        <family val="2"/>
      </rPr>
      <t xml:space="preserve">Checklist Items
</t>
    </r>
    <r>
      <rPr>
        <i/>
        <sz val="10"/>
        <rFont val="Arial"/>
        <family val="2"/>
      </rPr>
      <t>2- Explain the scientific background and rationale for the investigation being reported
3- State specific objectives including any prespecified hypotheses</t>
    </r>
  </si>
  <si>
    <r>
      <rPr>
        <b/>
        <sz val="10"/>
        <rFont val="Arial"/>
        <family val="2"/>
      </rPr>
      <t>Checklist Items</t>
    </r>
    <r>
      <rPr>
        <sz val="10"/>
        <color rgb="FF000000"/>
        <rFont val="Arial"/>
        <family val="2"/>
      </rPr>
      <t xml:space="preserve">
</t>
    </r>
    <r>
      <rPr>
        <i/>
        <sz val="10"/>
        <rFont val="Arial"/>
        <family val="2"/>
      </rPr>
      <t xml:space="preserve">4- Present key elements of study design early in the paper
5- Describe the setting, location, and relevant dates, including periods of recruitment, exposure, followup, and data collection
6- </t>
    </r>
    <r>
      <rPr>
        <b/>
        <i/>
        <sz val="10"/>
        <rFont val="Arial"/>
        <family val="2"/>
      </rPr>
      <t>(a) Cohort study</t>
    </r>
    <r>
      <rPr>
        <i/>
        <sz val="10"/>
        <rFont val="Arial"/>
        <family val="2"/>
      </rPr>
      <t xml:space="preserve">—Give the eligibility criteria, and the sources and methods of selection of participants. Describe methods of follow-up </t>
    </r>
    <r>
      <rPr>
        <b/>
        <i/>
        <sz val="10"/>
        <rFont val="Arial"/>
        <family val="2"/>
      </rPr>
      <t>(b)</t>
    </r>
    <r>
      <rPr>
        <i/>
        <sz val="10"/>
        <rFont val="Arial"/>
        <family val="2"/>
      </rPr>
      <t xml:space="preserve"> For matched studies, give matching criteria and number of exposed and unexposed
</t>
    </r>
    <r>
      <rPr>
        <b/>
        <i/>
        <sz val="10"/>
        <rFont val="Arial"/>
        <family val="2"/>
      </rPr>
      <t xml:space="preserve">    (a) Case-control study</t>
    </r>
    <r>
      <rPr>
        <i/>
        <sz val="10"/>
        <rFont val="Arial"/>
        <family val="2"/>
      </rPr>
      <t xml:space="preserve">—Give the eligibility criteria, and the sources and methods of case ascertainment and control selection. Give the rationale for the choice of cases and controls </t>
    </r>
    <r>
      <rPr>
        <b/>
        <i/>
        <sz val="10"/>
        <rFont val="Arial"/>
        <family val="2"/>
      </rPr>
      <t xml:space="preserve">(b) </t>
    </r>
    <r>
      <rPr>
        <i/>
        <sz val="10"/>
        <rFont val="Arial"/>
        <family val="2"/>
      </rPr>
      <t xml:space="preserve">For matched studies, give matching criteria and the number of controls per case
</t>
    </r>
    <r>
      <rPr>
        <b/>
        <i/>
        <sz val="10"/>
        <rFont val="Arial"/>
        <family val="2"/>
      </rPr>
      <t xml:space="preserve">     Cross-sectional study</t>
    </r>
    <r>
      <rPr>
        <i/>
        <sz val="10"/>
        <rFont val="Arial"/>
        <family val="2"/>
      </rPr>
      <t xml:space="preserve">—Give the eligibility criteria, and the sources and methods of selection of participants
</t>
    </r>
    <r>
      <rPr>
        <sz val="10"/>
        <color rgb="FF000000"/>
        <rFont val="Arial"/>
        <family val="2"/>
      </rPr>
      <t xml:space="preserve">7- Clearly define all outcomes, exposure, predictors, potential confounders, and effect modifiers. Give diagnostic criteria, if applicable
8- For each variable of interest, give sources of data and details of methods of assessment (measurement). Describe comparability of assessment methods if there is more than one group
9- Describe any efforts to address potential sources of bias 
10- Explain how the study size was arrived at
</t>
    </r>
  </si>
  <si>
    <r>
      <rPr>
        <b/>
        <i/>
        <sz val="10"/>
        <rFont val="Arial"/>
        <family val="2"/>
      </rPr>
      <t xml:space="preserve">Checklist Items
</t>
    </r>
    <r>
      <rPr>
        <i/>
        <sz val="10"/>
        <rFont val="Arial"/>
        <family val="2"/>
      </rPr>
      <t xml:space="preserve">11- Explain how quantitative variables were handled in the analyses. If applicable, describe which groupings were chosen and why
12(a)- Describe all statistical methods, including those used to control for confounding
12(b)- Describe any methods used to examine subgroups and interactions
12(c)- Explain how missing data were addressed
12(d)- </t>
    </r>
    <r>
      <rPr>
        <b/>
        <i/>
        <sz val="10"/>
        <rFont val="Arial"/>
        <family val="2"/>
      </rPr>
      <t>Cohort study</t>
    </r>
    <r>
      <rPr>
        <i/>
        <sz val="10"/>
        <rFont val="Arial"/>
        <family val="2"/>
      </rPr>
      <t xml:space="preserve">—If applicable, explain how loss to follow-up was addressed
</t>
    </r>
    <r>
      <rPr>
        <b/>
        <i/>
        <sz val="10"/>
        <rFont val="Arial"/>
        <family val="2"/>
      </rPr>
      <t xml:space="preserve">         Case-control study</t>
    </r>
    <r>
      <rPr>
        <i/>
        <sz val="10"/>
        <rFont val="Arial"/>
        <family val="2"/>
      </rPr>
      <t xml:space="preserve">—If applicable, explain how matching of cases and controls was addressed
</t>
    </r>
    <r>
      <rPr>
        <b/>
        <i/>
        <sz val="10"/>
        <rFont val="Arial"/>
        <family val="2"/>
      </rPr>
      <t xml:space="preserve">         Cross-sectional study</t>
    </r>
    <r>
      <rPr>
        <i/>
        <sz val="10"/>
        <rFont val="Arial"/>
        <family val="2"/>
      </rPr>
      <t xml:space="preserve">—If applicable, describe analytical methods taking account of sampling strategy
12(e)- Describe any sensitivity analyses </t>
    </r>
  </si>
  <si>
    <r>
      <rPr>
        <b/>
        <i/>
        <sz val="10"/>
        <rFont val="Arial"/>
        <family val="2"/>
      </rPr>
      <t xml:space="preserve">Checklist Items
</t>
    </r>
    <r>
      <rPr>
        <i/>
        <sz val="10"/>
        <rFont val="Arial"/>
        <family val="2"/>
      </rPr>
      <t xml:space="preserve">13a- Report numbers of individuals at each stage of study—eg numbers potentially eligible, examined for eligibility, confirmed eligible, included in the study, completing follow-up, and analysed
13b- Give reasons for non-participation at each stage
13c- Consider use of a flow diagram
14a- Give characteristics of study participants (eg demographic, clinical, social) and information on exposures and potential confounders
14b- Indicate number of participants with missing data for each variable of interest
14c- </t>
    </r>
    <r>
      <rPr>
        <b/>
        <i/>
        <sz val="10"/>
        <rFont val="Arial"/>
        <family val="2"/>
      </rPr>
      <t>Cohort study</t>
    </r>
    <r>
      <rPr>
        <i/>
        <sz val="10"/>
        <rFont val="Arial"/>
        <family val="2"/>
      </rPr>
      <t xml:space="preserve">—Summarise follow-up time (eg, average and total amount)
15- </t>
    </r>
    <r>
      <rPr>
        <b/>
        <i/>
        <sz val="10"/>
        <rFont val="Arial"/>
        <family val="2"/>
      </rPr>
      <t>Cohort study</t>
    </r>
    <r>
      <rPr>
        <i/>
        <sz val="10"/>
        <rFont val="Arial"/>
        <family val="2"/>
      </rPr>
      <t xml:space="preserve">—Report numbers of outcome events or summary measures over time
</t>
    </r>
    <r>
      <rPr>
        <b/>
        <i/>
        <sz val="10"/>
        <rFont val="Arial"/>
        <family val="2"/>
      </rPr>
      <t xml:space="preserve">     Case-control study</t>
    </r>
    <r>
      <rPr>
        <i/>
        <sz val="10"/>
        <rFont val="Arial"/>
        <family val="2"/>
      </rPr>
      <t xml:space="preserve">—Report numbers in each exposure category, or summary measures of exposure
</t>
    </r>
    <r>
      <rPr>
        <b/>
        <i/>
        <sz val="10"/>
        <rFont val="Arial"/>
        <family val="2"/>
      </rPr>
      <t xml:space="preserve">     Cross-sectional study</t>
    </r>
    <r>
      <rPr>
        <i/>
        <sz val="10"/>
        <rFont val="Arial"/>
        <family val="2"/>
      </rPr>
      <t>—Report numbers of outcome events or summary measures
16a- Give unadjusted estimates and, if applicable, confounder-adjusted estimates and their precision (eg, 95% confidence interval). Make clear which confounders were adjusted for and why they were included
16b- Report category boundaries when continuous variables were categorized
16c- If relevant, consider translating estimates of relative risk into absolute risk for a meaningful time period
17- Report other analyses done—eg analyses of subgroups and interactions, and sensitivity analyses</t>
    </r>
  </si>
  <si>
    <r>
      <rPr>
        <i/>
        <sz val="10"/>
        <rFont val="Arial"/>
        <family val="2"/>
      </rPr>
      <t xml:space="preserve">Checklist Items
</t>
    </r>
    <r>
      <rPr>
        <i/>
        <sz val="10"/>
        <rFont val="Arial"/>
        <family val="2"/>
      </rPr>
      <t xml:space="preserve">18- Summarise key results with reference to study objectives
19- Discuss limitations of the study, taking into account sources of potential bias or imprecision. Discuss both direction and magnitude of any potential bias
20- Give a cautious overall interpretation of results considering objectives, limitations, multiplicity
of analyses, results from similar studies, and other relevant evidence
21- Discuss the generalisability (external validity) of the study results
Other information
22- Give the source of funding and the role of the funders for the present study and, if applicable,
for the original study on which the present article is based </t>
    </r>
  </si>
  <si>
    <t>NOTES</t>
  </si>
  <si>
    <t>#</t>
  </si>
  <si>
    <t>Reviewer</t>
  </si>
  <si>
    <t>First Author</t>
  </si>
  <si>
    <t>Year</t>
  </si>
  <si>
    <t>Journal</t>
  </si>
  <si>
    <t>Full Title</t>
  </si>
  <si>
    <t>Study Aim/Goal</t>
  </si>
  <si>
    <t>Relevance/contribution to the field</t>
  </si>
  <si>
    <t>Study Design</t>
  </si>
  <si>
    <t>Context/Study Setting Where Data Collection is Taking Place</t>
  </si>
  <si>
    <t>Recruitment</t>
  </si>
  <si>
    <t>Variables</t>
  </si>
  <si>
    <t>Data collection</t>
  </si>
  <si>
    <t>Steps Taken to Limit Bias</t>
  </si>
  <si>
    <t>Sample Size</t>
  </si>
  <si>
    <t>Analysis</t>
  </si>
  <si>
    <t>Description of Participants</t>
  </si>
  <si>
    <t>Results</t>
  </si>
  <si>
    <t>Discussion</t>
  </si>
  <si>
    <t>State/Region</t>
  </si>
  <si>
    <t>Country</t>
  </si>
  <si>
    <t>Institution 
(e.g. clinic)</t>
  </si>
  <si>
    <t>Time frame (dates of start, follow-up)</t>
  </si>
  <si>
    <t>Eligibility for Inclusion</t>
  </si>
  <si>
    <t>Stage in Abortion Process
(e.g. prior/after obtaining services)</t>
  </si>
  <si>
    <t>Sampling Strategy</t>
  </si>
  <si>
    <t>Exposures/Risk Factors/Predictors</t>
  </si>
  <si>
    <t>Outcomes</t>
  </si>
  <si>
    <t>How is Travel measured and conceptualized</t>
  </si>
  <si>
    <t>Other variables (Confounders, Effect Modifiers)</t>
  </si>
  <si>
    <t>Collection method
(e.g self administered, online, etc)</t>
  </si>
  <si>
    <t>data source</t>
  </si>
  <si>
    <t>Study Instrument</t>
  </si>
  <si>
    <t>During Data Collection Phase</t>
  </si>
  <si>
    <t>Sample Size Justification</t>
  </si>
  <si>
    <t>Statistical methods</t>
  </si>
  <si>
    <t>Confounding assessment</t>
  </si>
  <si>
    <t>Interaction/subgroup analyses</t>
  </si>
  <si>
    <t>How missing data addressed</t>
  </si>
  <si>
    <t>During Analysis Phase (e.g. sensitivity analyses)</t>
  </si>
  <si>
    <t>Final sample size</t>
  </si>
  <si>
    <t>Demographics
(Participant's Age, Income, Race/Ethnicity, Gestational Age at Termination)</t>
  </si>
  <si>
    <t>Home Country/State</t>
  </si>
  <si>
    <t>Summarize Main Findings</t>
  </si>
  <si>
    <t>Results related to Travel</t>
  </si>
  <si>
    <t>Results from other analyses done (sensitivity, interaction, etc)</t>
  </si>
  <si>
    <t>Main conclusions related to travel</t>
  </si>
  <si>
    <t>Strengths of study</t>
  </si>
  <si>
    <t>Limitations (bias, validity)</t>
  </si>
  <si>
    <t>Areas for Future Study</t>
  </si>
  <si>
    <t>JBW</t>
  </si>
  <si>
    <t>Aiken</t>
  </si>
  <si>
    <t>BJOG</t>
  </si>
  <si>
    <t>Experiences and characteristics of women seeking and completing at-home medical termination of pregnancy through online telemedicine in Ireland and Northern Ireland: a population-based analysis</t>
  </si>
  <si>
    <t>Using data from an online medical TOP telemedicine service, the objectives of this study are to: 1. examine the characteristics of women living in Ireland and Northern Ireland seeking at-home medical TOP; and 2. conduct a rigorous examination of the experiences of these women, both with their pregnancies and with TOP.</t>
  </si>
  <si>
    <t>Population-based study (?)</t>
  </si>
  <si>
    <t>Ireland</t>
  </si>
  <si>
    <t>Women on Web</t>
  </si>
  <si>
    <t>Jan 2010- Dec 2015</t>
  </si>
  <si>
    <t>Women from Ireland or Northern Ireland  who filled out in online consultation form between Jan 2010-Dec 2015</t>
  </si>
  <si>
    <t>demographics, SES, reasons for TOP</t>
  </si>
  <si>
    <t>follow-up request for med abortion, social support</t>
  </si>
  <si>
    <t>service records; women</t>
  </si>
  <si>
    <t>evaluations</t>
  </si>
  <si>
    <t>No</t>
  </si>
  <si>
    <t>Requesting WoW = 5650, Completing WoW = 1023</t>
  </si>
  <si>
    <t>N/A</t>
  </si>
  <si>
    <t>"The experiences of women in Ireland and Northern Ireland with few economic and social resources suggest a grave inequity in their ability to access safe TOP." But only 1/3 indicated difficulty with affording the donation-- is this an issue among this population?</t>
  </si>
  <si>
    <t>RJ</t>
  </si>
  <si>
    <t>Brown</t>
  </si>
  <si>
    <t>Southern Economic Journal</t>
  </si>
  <si>
    <t>Provider Availability, Race, and Abortion Demand</t>
  </si>
  <si>
    <t>Directly estimate the respnsiveness of abortion demand to variations in the travel-cost component of the full cost of abortion services.</t>
  </si>
  <si>
    <t>Modeling</t>
  </si>
  <si>
    <t>Texas</t>
  </si>
  <si>
    <t>US</t>
  </si>
  <si>
    <t>Texas Department od Health</t>
  </si>
  <si>
    <t>All abortions and births in Texas to Texas women in 1993, county level data on all counties</t>
  </si>
  <si>
    <t>After</t>
  </si>
  <si>
    <t>State level data</t>
  </si>
  <si>
    <t>Travel cost</t>
  </si>
  <si>
    <t>Probability of a pregnancy ending in abortion</t>
  </si>
  <si>
    <t>Travel cost = travel distance from center of woman's countryof residence to nearest city with abortion services.</t>
  </si>
  <si>
    <t>Maritial status, age, education, income, county level varialbes (Mediciad funding for abortions, urbanicit, religious affiliation), median household income, family planning clinics per 1000 women)</t>
  </si>
  <si>
    <t>Texas Department of Health and county level data</t>
  </si>
  <si>
    <t>state data</t>
  </si>
  <si>
    <t>146, 524 white women, 102, 185 Hispanic women, 42, 763 black women</t>
  </si>
  <si>
    <t>Lilkilihood ratio test with probit estimations</t>
  </si>
  <si>
    <t>inclusion of terms in the model</t>
  </si>
  <si>
    <t>by race</t>
  </si>
  <si>
    <t>not mentioned</t>
  </si>
  <si>
    <t>None</t>
  </si>
  <si>
    <t>Pregnancy outcom by race (Table 1A), mena travel distance, marital status, age, % high school, employed, religion, urbanized, income</t>
  </si>
  <si>
    <t>Pregnant women who reside in counties with longer travel distances to the nearest abortion provders have lower probabilities of aborting their pregnancies, than women in counties closer to abortion providers. Simulations show that changes in travle distances will have relative large impacts on overall aortion rates, and these effects vary across race.</t>
  </si>
  <si>
    <t>Pregnant women who reside in counties with longer travel distances to the nearest abortion provders have lower probabilities of aborting their pregnancies, than women in counties closer to abortion providers. Simulations show that changes in travle distances will have relative large impacts on overall aortion rates, and these effects vary across race. A 10% decrease in travel distance would result in a 2.37% increase in the probability of a pregnancy ending in abortion for whites, 5.36% increase of hispanics, and 2.79% increase for blacks.</t>
  </si>
  <si>
    <t>Large sample size</t>
  </si>
  <si>
    <t>troubling terminigology around abortion "demand"; issues with exlcuding pregnancies that resulted in fetal death from the denominator?</t>
  </si>
  <si>
    <t>CR</t>
  </si>
  <si>
    <t>Cameron</t>
  </si>
  <si>
    <t>Contraception and Reproductive Health Care</t>
  </si>
  <si>
    <t>Characteristics of Women who present for abortion towards the end of mid trimester in Scotland: national audit 2013-2014</t>
  </si>
  <si>
    <t>To determine the number of characteristics of women presenting at  ≥ 16 weeks gestation for abortion and compare the characteristics of those proceeding to abortion with those continuing the pregnancy</t>
  </si>
  <si>
    <t>could be used to inform SRH policy in Scotland</t>
  </si>
  <si>
    <t>prospective audit</t>
  </si>
  <si>
    <t>Scotland</t>
  </si>
  <si>
    <t>clinic</t>
  </si>
  <si>
    <t>12 month period: January 17 2013 to January 16 2014</t>
  </si>
  <si>
    <t xml:space="preserve">16+0 weeks gestation
</t>
  </si>
  <si>
    <t>at the assessment visit to an abortion service to request termination</t>
  </si>
  <si>
    <t>gestational age, travel, income, other dems</t>
  </si>
  <si>
    <t>abortion vs.continuing pregnancy</t>
  </si>
  <si>
    <t>needing to travel for England to obtain this service</t>
  </si>
  <si>
    <t>clinic data</t>
  </si>
  <si>
    <t>service records</t>
  </si>
  <si>
    <t>not discussed</t>
  </si>
  <si>
    <t>none</t>
  </si>
  <si>
    <t>Descriptive statistics and Fisher’s exact test of significance, where appropriate, were conducted. Binary logistic regression was used to estimate odds ratios (ORs) and 95% confidence intervals (CIs) for women who chose to continue with the pregnancy and those who chose to have an abortion.</t>
  </si>
  <si>
    <t>267 women</t>
  </si>
  <si>
    <r>
      <rPr>
        <b/>
        <sz val="10"/>
        <rFont val="Arial"/>
        <family val="2"/>
      </rPr>
      <t xml:space="preserve">Age: </t>
    </r>
    <r>
      <rPr>
        <sz val="10"/>
        <color rgb="FF000000"/>
        <rFont val="Arial"/>
        <family val="2"/>
      </rPr>
      <t xml:space="preserve">majority 30.7% 20-24 &lt;16 2.6% 16-19 28.5% 25-29 18% 30-34 9.4% 35+ 10.9%
</t>
    </r>
    <r>
      <rPr>
        <b/>
        <sz val="10"/>
        <rFont val="Arial"/>
        <family val="2"/>
      </rPr>
      <t xml:space="preserve">Employment: </t>
    </r>
    <r>
      <rPr>
        <sz val="10"/>
        <color rgb="FF000000"/>
        <rFont val="Arial"/>
        <family val="2"/>
      </rPr>
      <t xml:space="preserve">Unemployed 30.3% Employed 30.3% Student 18.4% Looking after the home 8.6% Unknown 12.4%
</t>
    </r>
    <r>
      <rPr>
        <b/>
        <sz val="10"/>
        <rFont val="Arial"/>
        <family val="2"/>
      </rPr>
      <t xml:space="preserve">Ethnicity: </t>
    </r>
    <r>
      <rPr>
        <sz val="10"/>
        <color rgb="FF000000"/>
        <rFont val="Arial"/>
        <family val="2"/>
      </rPr>
      <t xml:space="preserve">White 96.3% Mixed or other/ethnicity 3.7%
</t>
    </r>
    <r>
      <rPr>
        <b/>
        <sz val="10"/>
        <rFont val="Arial"/>
        <family val="2"/>
      </rPr>
      <t xml:space="preserve">Deprivation category: </t>
    </r>
    <r>
      <rPr>
        <sz val="10"/>
        <color rgb="FF000000"/>
        <rFont val="Arial"/>
        <family val="2"/>
      </rPr>
      <t xml:space="preserve">Affluent 12.4%, Moderately deprived 58.4%, Severely deprived 28.1%, Unknown 1.1%
</t>
    </r>
    <r>
      <rPr>
        <b/>
        <sz val="10"/>
        <rFont val="Arial"/>
        <family val="2"/>
      </rPr>
      <t>Smoking:</t>
    </r>
    <r>
      <rPr>
        <sz val="10"/>
        <color rgb="FF000000"/>
        <rFont val="Arial"/>
        <family val="2"/>
      </rPr>
      <t xml:space="preserve"> Never 46.4% Current/Past 49.4% Unknown 4.1%
</t>
    </r>
    <r>
      <rPr>
        <b/>
        <sz val="10"/>
        <rFont val="Arial"/>
        <family val="2"/>
      </rPr>
      <t xml:space="preserve">Reported alcohol use (units): </t>
    </r>
    <r>
      <rPr>
        <sz val="10"/>
        <color rgb="FF000000"/>
        <rFont val="Arial"/>
        <family val="2"/>
      </rPr>
      <t xml:space="preserve">None 22.8% ≤14 50.9% &gt;14 4.5% Unknown 21.7%
</t>
    </r>
    <r>
      <rPr>
        <b/>
        <sz val="10"/>
        <rFont val="Arial"/>
        <family val="2"/>
      </rPr>
      <t xml:space="preserve">Reproductive History: </t>
    </r>
    <r>
      <rPr>
        <sz val="10"/>
        <color rgb="FF000000"/>
        <rFont val="Arial"/>
        <family val="2"/>
      </rPr>
      <t xml:space="preserve">Previous Abortion 27.3% Previous Birth 47.9% Previous Miscarriage 15.4%
</t>
    </r>
    <r>
      <rPr>
        <b/>
        <sz val="10"/>
        <rFont val="Arial"/>
        <family val="2"/>
      </rPr>
      <t xml:space="preserve">Contraception at Conception: </t>
    </r>
    <r>
      <rPr>
        <sz val="10"/>
        <color rgb="FF000000"/>
        <rFont val="Arial"/>
        <family val="2"/>
      </rPr>
      <t xml:space="preserve">None 44.2% Condom 27.7% Pill 22.1% Implant 0.7% Injectable 0.4% Unknown 4.9%
</t>
    </r>
    <r>
      <rPr>
        <b/>
        <sz val="10"/>
        <rFont val="Arial"/>
        <family val="2"/>
      </rPr>
      <t xml:space="preserve">Region in Scotland: </t>
    </r>
    <r>
      <rPr>
        <sz val="10"/>
        <color rgb="FF000000"/>
        <rFont val="Arial"/>
        <family val="2"/>
      </rPr>
      <t xml:space="preserve">Glasgow 33.3% Edinburgh 20.6% Ayrshire and Arran 9.0% Grampian 6.0% Highland 5.2% Other region 25.8%
</t>
    </r>
  </si>
  <si>
    <t>approximately 1.5% of all abortions in women from Scotland were conducted after 18-20 weeks. Women who presented at 16 weeks gestation were usually from a deprived area and often already had children. Women from deprived areas were more likely to choose abortion and present late whereas more affluent women were more likely to present early and continue the pregnancy</t>
  </si>
  <si>
    <t>Number of women proceeding to an abortion and traveling to England was small</t>
  </si>
  <si>
    <t>Even though the audit showed that women who traveled to England to proceed to have an abortion was small (50, 18.7%), these women tended to be from deprived areas and have children where finding child arrangement and cost of travel could be especially challenging and stressful. Reasons women traveled for abortion only speculative but one possibility is that they took time to reach a final decision which ultimately put them over the local facility abortion limit</t>
  </si>
  <si>
    <t>provides data on women in Scotland who are not recorded in Scotish abortion statistics
provides more detailed data on the characteristics of women who present for mid-trimester abortion services and proceed to abortion, and those who decide to continue their pregnancies</t>
  </si>
  <si>
    <t>Data could have been underestimated and some women may have been excluded
audit cannot address the reasons women presented for midtrimester abortions; only speculative</t>
  </si>
  <si>
    <t>Understand better why women present later for later term abortions and how to improve access in Scotland for later gestational ages</t>
  </si>
  <si>
    <t>RJ and JBW</t>
  </si>
  <si>
    <t>Cooper</t>
  </si>
  <si>
    <t>Reproductive Health Matters</t>
  </si>
  <si>
    <t>Medical Abortion: The possibilities for introduction in the public sector in South Africa</t>
  </si>
  <si>
    <t>To understand the barriers rural women face when accessing abortion care. To assess women’s and providers attitudes toward medication abortion</t>
  </si>
  <si>
    <t>The attitudes of women seeking abortion and of health care providers towards medical abortion have not previously been described.</t>
  </si>
  <si>
    <t>cross sectional survey</t>
  </si>
  <si>
    <t>Gauteng, Western Cape, Mpumalanga</t>
  </si>
  <si>
    <t>South Africa</t>
  </si>
  <si>
    <t>8 facilities in South Africa, Chiawelo-a primary health clinic in urban Soweto, Gauteng; 6 facilities in Western Cape Town; and Philadelphia Hospital in Mpumalanga.</t>
  </si>
  <si>
    <t>November 2001 to March 2002</t>
  </si>
  <si>
    <t>Women receiving first trimester abortions</t>
  </si>
  <si>
    <t>women interviewed while in line for abortion services</t>
  </si>
  <si>
    <t>Convenience sample</t>
  </si>
  <si>
    <t>geographical location</t>
  </si>
  <si>
    <t>time taken to travel, distance traveled, travel cost, mode of transport</t>
  </si>
  <si>
    <t>Travel discussed as km. Most women (58%) and especially urban women (64%) had to travelled ≤ 10km to reach health facilities. Travel distances were longer for rural women: 66% travelled &gt;10km and 16% travelled &gt;50km to reach a health facility. Most women used public transportation. Travel is therefore discussed as a barrier for women obtaining abortion services.</t>
  </si>
  <si>
    <t>face to face interviews</t>
  </si>
  <si>
    <t>women</t>
  </si>
  <si>
    <t>questionnaire</t>
  </si>
  <si>
    <t>used questionnaire in women's home language, timing of interview meant women didn't lose their place in line</t>
  </si>
  <si>
    <t>673 Women</t>
  </si>
  <si>
    <t>All women approached- differences in numbers who accepted and numbers who were interviewed (time constaints) at each facility</t>
  </si>
  <si>
    <t>bivariate analyses, descriptive statistics</t>
  </si>
  <si>
    <t>673 women</t>
  </si>
  <si>
    <t>Mean age of women from survey age 25 (range 15-44), 55% had a regular partner, but were not living with that partner, 32% had completed high school, 10% had a tertiary education, 41% were unemployed. At the Philadelphia hospital 31% were teenagers, compared with 18% in rural sites. A higher percent of rural women did not have a regular partner (67%) . 40% of women from rural sites were more likely to report being a student or scholar than women at urban sites.</t>
  </si>
  <si>
    <t>For rural women (20%) financial reasons were the second most common reason for delay of care. Women overwhelmingly supported the theoretical notion of medication abortion. Policymakers and providers expressed generally favorable attitudes toward medication aboriton</t>
  </si>
  <si>
    <t>Rural women travelled farther distances than urban women and paid substantially more for transportation.</t>
  </si>
  <si>
    <t>Use of convenience sample and facilities not representative of all abortion services or women seeking abortion. Women in this study did not receive medication abortion</t>
  </si>
  <si>
    <t>Dobie</t>
  </si>
  <si>
    <t>Fam Plann Perspect</t>
  </si>
  <si>
    <t>Abortion services in rural Washington State, 1983-1984 to 1993-1994: availability and outcomes</t>
  </si>
  <si>
    <t>Explore how reduction in service availability has affected pregnancy outcomes, travel distance, and delayes in obtaining services</t>
  </si>
  <si>
    <t>Rural providers in Washington state have decvlined, impact on women unknown</t>
  </si>
  <si>
    <t>Retrospective observational study</t>
  </si>
  <si>
    <t>Washington</t>
  </si>
  <si>
    <t>United States</t>
  </si>
  <si>
    <t>State of Washington Department of Public Health</t>
  </si>
  <si>
    <t>1983, 1984, 1993, 1994</t>
  </si>
  <si>
    <t>Has abortion occurrence report filed by State of Washington or state with reciprocity agreement</t>
  </si>
  <si>
    <t>After Obtaining Services</t>
  </si>
  <si>
    <t>Uses surveillance data - all births and abortions included</t>
  </si>
  <si>
    <t>Rural vs. urban; 1983-1984 vs. 1993-1994</t>
  </si>
  <si>
    <t>Gestational age, procedure, location of provider,one way distance traveled</t>
  </si>
  <si>
    <t>Out of state provider; one way travel distance (in miles, and in categories)</t>
  </si>
  <si>
    <t>Prior live birth, prior abortion</t>
  </si>
  <si>
    <t>Washington Department of Health data; Washington State Office of Financial Management</t>
  </si>
  <si>
    <t>1983-1984: 53,287 women who have obtained abortions;
 1993-1994: 53,662 women who have obtained abortions</t>
  </si>
  <si>
    <t>all Washington women with reported abortions in time period</t>
  </si>
  <si>
    <t>Chi-square</t>
  </si>
  <si>
    <t>variables with high missing data dropped (e.g. race)
missing age incuded in analysis, missing county not included in analysis</t>
  </si>
  <si>
    <t>17% rural</t>
  </si>
  <si>
    <t>Proportion of rural women having abortions at later time period doubled in intervening decade, higher than urband counterparts</t>
  </si>
  <si>
    <t>From the earlier to the later time period, rural women traveled on average 12 miles farther each way to obtain an abortion, and the proportion who obtained the procedure in a rural county decreased from 25% to 3%. In the earlier time period, 62% of rural women traveled 50 miles or more to ob- tain an abortion, compared with 73% in 1993-1994. From 1983-1984 to 1993-1994, the pro- portion of rural women who traveled out of state for an abortion increased from 8% to 14%. The proportion of rural women terminating their pregnancy after the first trimester increased from 8% in 1983-1984 to 15% in 1993-1994.</t>
  </si>
  <si>
    <t>Prengnacy rates, birth rates, and abortion rates all decreased during tie period -- decrease was greater for rural women than urban women.</t>
  </si>
  <si>
    <t>- large sample size</t>
  </si>
  <si>
    <t>-underrreporting of abortions
 -no subgroup analyses</t>
  </si>
  <si>
    <t>-understand rural women's decisions-making around pregnancy terminination and outcomes</t>
  </si>
  <si>
    <t>IM</t>
  </si>
  <si>
    <t>Ellerston</t>
  </si>
  <si>
    <t>American Journal of Public Health</t>
  </si>
  <si>
    <t>Mandatory Parental Involvement in Minors' Abortions: Effects of the Laws in Minnesota, Missouri, and Indiana</t>
  </si>
  <si>
    <t>"Specific claims evaluated in this
 paper are the following: (1) parental
 involvement laws drive up the birthrates
 for minors; (2) the laws cause minors to
 travel to other states to obtain abortions;
 and (3) the laws delay minors' abortions."</t>
  </si>
  <si>
    <t>Observational - Retrospective</t>
  </si>
  <si>
    <t>Minnesota, Missouri and Indiana</t>
  </si>
  <si>
    <t>data collected from the department of health</t>
  </si>
  <si>
    <t>1977- 1990</t>
  </si>
  <si>
    <t>(1) States must have enforced
 their laws long enough ago that data were
 available from the period after the law
 took effect, but not so long ago that there
 were no data from the period before the
 law took effect. (2) Since no
 state was available from which travel was
 constrainedstudy states ideally
 permitted examination of travel patterns.(3) Study states required good
 quality data as measured against Alan
 Guttmacher Institute estimates and had to
 be willing to release them."</t>
  </si>
  <si>
    <t>after</t>
  </si>
  <si>
    <t>parental involvement laws</t>
  </si>
  <si>
    <t>"Outcome measures include the birthrate,
 the in-state abortion rate, the odds of
 traveling out of state, and the odds that an
 abortion was delayed."</t>
  </si>
  <si>
    <t>Amount of instate abortions and also comparing the amount of abortions performed in neighboring states.</t>
  </si>
  <si>
    <t>Control Groups:"Birth records were backdated by 6 months to make a cohort of pregnancies conceived at the same time statistically comparable."</t>
  </si>
  <si>
    <t>"[Data] came from the state health department individual records of births and abortions from the US Bureau of the Census , and from the Hope Clinic for Women in Granite City, Ill."</t>
  </si>
  <si>
    <t>state data; service records</t>
  </si>
  <si>
    <t>"Each model specifies
 the log outcome measure as the dependent
 variable. Poisson regresssion was used to estimate models of birth, abortions and pregnancy rates" Chi- Squared statistics</t>
  </si>
  <si>
    <t>interaction in model:age group an dlegal period</t>
  </si>
  <si>
    <t>Gestational age, Participants age</t>
  </si>
  <si>
    <t>Missouri, Minnesota, Indiana</t>
  </si>
  <si>
    <t>"no evidence that parental involvement
 laws drive up the birthrate.""odds of having an abortion later than 8 weeks' gestation increased significantly for minors when the law was imposed and then decreased significantly when the law was removed"</t>
  </si>
  <si>
    <t>"In Missouri, the
 state with the best, if still incomplete, data
 on travel, the odds of travel definitely
 increased for minors (by over 50%) when
 the law took effect. Increases for older
 teenagers and women in their early 20s
 were significantly smaller, at 13% and
 18%, "After the law
 took effect, minors were significantly
 more likely to travel than were older
 women, and the overall pattem shifted to
 increase rather than decrease."</t>
  </si>
  <si>
    <t>"The in-state abortion rates for minors
 fell in every state when parental involvement
 laws were imposed...but it is unclear
 whether these drops are true decreases or are simply attributable to travel. We can conclude only that travel might explain the entire drop in Missouri's in-state abortion ate for minors"</t>
  </si>
  <si>
    <t>Ely</t>
  </si>
  <si>
    <t>International Journal of Sexual Health</t>
  </si>
  <si>
    <t>Where are They from and How Far Must They Go? Examining Location and Travel Distance in U.S. Abortion Fund Patients</t>
  </si>
  <si>
    <t>The purpose of this article is to examine the travel experiences of women who received services from a U.S. abortion fund in order to add to the knowledge base about abortion fund patients.</t>
  </si>
  <si>
    <t>descriptive, exploratory, cross-sectional secondary data analysis</t>
  </si>
  <si>
    <t>NNAF abortion fund cases</t>
  </si>
  <si>
    <t>2010-2015</t>
  </si>
  <si>
    <t>national sample of women who received a financial assistance pledge to help cover some abortion procedural costs- only cases that included state of residence were included in study</t>
  </si>
  <si>
    <t>unclear: national sample of women who received a financial assistance pledge to help cover some abortion procedural costs.</t>
  </si>
  <si>
    <t>state of residence, region of residence, gestational age (trimester)</t>
  </si>
  <si>
    <t>distance traveled, likelihood of out of state travel</t>
  </si>
  <si>
    <t>3452 administrative cases; subset of 2716 used for one analysis</t>
  </si>
  <si>
    <t>descriptive statistics, t-tests, ANOVA, logistic regression</t>
  </si>
  <si>
    <t>Variables with missing data were excluded from the analysis.</t>
  </si>
  <si>
    <t>Women in states where private insurance restricts abortion coverage traveled farther distances. 31.2% of women traveled out of state for abortions and those who traveled out of state traveled 10x the distance as those who did not. Traveling out of state more likely for women in non-expanded Medicaid states and those in second trimester. Travel out of state less likely for women in Midwestern states and those with restrictive private insurance. Average travel distance increased over 100 km from 2010 to 2014.</t>
  </si>
  <si>
    <t>Forrest</t>
  </si>
  <si>
    <t>Family Planning Perspectives</t>
  </si>
  <si>
    <t>Abortion in the United States 1977- 1978</t>
  </si>
  <si>
    <t>A comprehensive report on national abortion services.</t>
  </si>
  <si>
    <t>Cross Sectional Survey (not stated)</t>
  </si>
  <si>
    <t>National</t>
  </si>
  <si>
    <t>hospitals, free standing abortion clinics, physician offices</t>
  </si>
  <si>
    <t>1977- first quarter of 1978</t>
  </si>
  <si>
    <t>Response to survery</t>
  </si>
  <si>
    <t>convenience</t>
  </si>
  <si>
    <t>Comparing occurance rate and residence rate, using data on non residents</t>
  </si>
  <si>
    <t>Alan Guttmacher Institute (AGI) Survey</t>
  </si>
  <si>
    <t>NA</t>
  </si>
  <si>
    <t>1.32 million legal abortions in the US, 29% of pregnant women chose to terminate their pregnancies by abortion, abortion servics dropped from the previous year in hospitals, abortion in free standing clinics increased, 95% abortions occurred in metropolitan areas. 1/3 abortions were obtained by teenagers, 3/4 were obtained by married women. estimations of unmet need."</t>
  </si>
  <si>
    <t>Nince percent of the women who obtained abortions in 1977 had to travel to another state for services , and many traveled to other, often distant, counties in their home states"</t>
  </si>
  <si>
    <t>Abortion in the US 1976-1977</t>
  </si>
  <si>
    <t>Cross-Sectional</t>
  </si>
  <si>
    <t>Untied States</t>
  </si>
  <si>
    <t>Abortion Providers- health institutions and private physicians</t>
  </si>
  <si>
    <t>1976- first quarter of 1977</t>
  </si>
  <si>
    <t>Distance between residence and abortion provider.</t>
  </si>
  <si>
    <t>age, race/ethnicity, residence, relationship status, gestational age, location of where the service was provided, the number of aboritons provided</t>
  </si>
  <si>
    <t>"In 1976, abortion providers were identified in just 698 counties-about one-fifth of all U.S. counties.In 1977, 28 percent of pregnant wom- en in the United States chose to termi- nate their pregnancies by abortion,There were an estimated 1.2 million legal abortions in 1976 and 1.3 million in 1977, a continuation of the steady up- ward trend in use of safe, legal abortion services since the U.S. Supreme Court's abortion decisions of 1973.Thirty-four percent of women es- timated to want abortion services in 1976, and 30 percent in 1977, were un- able to obtain them, primarily because such services were unavailable in their home or nearby communities."</t>
  </si>
  <si>
    <t>"An estimated 458,000 women who did not obtain abortions in 1976 had to travel outside their home counties for services-118,000 to other states and 340,000 to other (often distant) counties within their own states. In 78% of counties, a women would have had to travel outside her home county if she wanted to obtain an aboriton. For some the barriers(from travel) are so great that the woman cannot obtain an abortion at all.</t>
  </si>
  <si>
    <t>The frequent requirements of extentensive travel to obtain abortions impose barriers of cost, time and sophistication that especially disadvantage poor, rural, young and black women, represent a large portion o fthe half-mllion women in need, still unserved in 1977.</t>
  </si>
  <si>
    <t>Foster</t>
  </si>
  <si>
    <t>Perspectives on Sexual and Reproductive Health</t>
  </si>
  <si>
    <t>Who Seeks Abortions at or After 20 Weeks?</t>
  </si>
  <si>
    <t>who will be affected by these bans of increasing and timely importance. The current study addresses this question by analyzing data on women who sought and received an abortion at or after 20 weeks’ gestation for reasons other than fetal anomaly
or life endangerment.</t>
  </si>
  <si>
    <t>Without adequate understanding of who has later abortions and under what circumstances, the effect of legislative bans on procedures at or after 20 weeks cannot be known.</t>
  </si>
  <si>
    <t>Cross sectional study from larger cohoort study</t>
  </si>
  <si>
    <t>three in the West, three in the Northeast, four in the Midwest and six in the South</t>
  </si>
  <si>
    <t>clinics</t>
  </si>
  <si>
    <t>January 2008 - December 2010</t>
  </si>
  <si>
    <t>Obtaining an abortion (any gestational age) at one of the 16 clinic sites in the larger study that provide abortion beyond 20 weeks.</t>
  </si>
  <si>
    <t>During abortion process (recruited before abortion, survey immediately following)</t>
  </si>
  <si>
    <t>Women who had abortions after 20 weeks vs. women who had abortions in the first trimester</t>
  </si>
  <si>
    <t>Demographics and abortion characteristics, delays</t>
  </si>
  <si>
    <t>travel time to clinic (dichotomized as &lt;= 3 hours or more than 3 hours); open ended responses to delays in reaching care related to travel categorized under "difficulty getting to the abortion facility" and "raising money for procedure and related costs"</t>
  </si>
  <si>
    <t>demographics and abortion characteristics</t>
  </si>
  <si>
    <t>interviewer administered</t>
  </si>
  <si>
    <t>structured questionnaire with some open ended responses</t>
  </si>
  <si>
    <t xml:space="preserve">Because the variable describing the gestational age at which the woman discovered the pregnancy was closely associated with gestational age at abortion,
we estimated our model both with and without it to check the sensitivity of the results to its inclusion. </t>
  </si>
  <si>
    <t>272 later abortion , 169 first trimester abortion patients</t>
  </si>
  <si>
    <t>none stated</t>
  </si>
  <si>
    <t>Logistic regression with random intercept for sites, t-tests, and factor analysis to develop "profiles" of later abortion patients</t>
  </si>
  <si>
    <t>not really -- controlled for a variety of things in the logistic regression model without a primary outcome of interest</t>
  </si>
  <si>
    <t>not addressed</t>
  </si>
  <si>
    <t>272 later abortion patients, 169 first trimester</t>
  </si>
  <si>
    <t>The average gestation at time of abortion was 22 weeks among the later abortion group and eight weeks among the fi rst-trimester group. Some 38% of the women in our sample were black; 31% were white, 19% were Latina and 12% were of mixed or some other race. Seventeen percent were aged 15–19, and 63% were already mothers. Our sample is similar in race and ethnicity, age and parity to the population of women who receive abortions nationally.</t>
  </si>
  <si>
    <t>not specified</t>
  </si>
  <si>
    <t>Women aged 20–24 were more likely than those aged 25–34 to have a later abortion (odds ratio, 2.7), and
women who discovered their pregnancy before eight weeks’ gestation were less likely than others to do so (0.1). Later abortion recipients experienced logistical delays (e.g., diffi culty fi nding a provider and raising funds for the procedure and travel costs), which compounded other delays in receiving care. Most women seeking later abortion fi t at least one of fi ve profi les: They were raising children alone, were depressed or using illicit substances, were in confl ict with a male partner or experiencing domestic violence, had trouble deciding and then had access problems, or were young and nulliparous.</t>
  </si>
  <si>
    <t xml:space="preserve">Women who sought later abortions were also much to have to traveled more than three hours to get to the abortion facility (21% vs. 5%). Traveling more than three hours to get to the abortion facility was associated with increased odds of later abortion (4.6) in a multivariate model. Women seeking later abortions were more than twice as likely as first-trimester patients to report that difficulty getting to the abortion facility slowed them down (27% vs. 12%). Women seeking a fi rst-trimester abortion spent an average of $18 (range, $0–400) on transportation to the facility, while women seeking later abortions spent an average of $100 (range, $0–2,200).
</t>
  </si>
  <si>
    <t>not shown</t>
  </si>
  <si>
    <t>Women who sought later abortions had to travel further for their abortions than women who had abortions in the first trimester. (Could be a function of the exclusion criteria of clinics that aren't the only later abortion provider in 150 miles??). Women in the second trimester more likely to report delays related to travel (difficulty getting to clinic, costs)</t>
  </si>
  <si>
    <t>Our data are limited by the exclusion of women who sought later abortions on grounds of fetal anomaly or life endangerment. Because of waiting time for testing and diagnosis, delay in seeking care among that population likely differs significantly from the delays faced by women in our study. In addition, while some aspects of our fi ndings may be generalizable beyond the United States, the results are largely limited in their applicability to other cultural and legal environments.</t>
  </si>
  <si>
    <t>Francome</t>
  </si>
  <si>
    <t>Irish Women Who Seek Abortions in England</t>
  </si>
  <si>
    <t>To learn about the characteristics of women who leave the country and cross the sea to England to obtain an abortion</t>
  </si>
  <si>
    <t xml:space="preserve">Observational - Cross Sectional </t>
  </si>
  <si>
    <t>England</t>
  </si>
  <si>
    <t>Marie Stopes clinics in London and the British Pregnancy Advisory services clinic in Liverpool</t>
  </si>
  <si>
    <t>September 1988- December 1990</t>
  </si>
  <si>
    <t>not specified - perhaps southern irish women who travel to England for abortions</t>
  </si>
  <si>
    <t>during abortion process</t>
  </si>
  <si>
    <t>convenience sample</t>
  </si>
  <si>
    <t>marital status</t>
  </si>
  <si>
    <t>contraceptive use; discussion of sexual activity with family</t>
  </si>
  <si>
    <r>
      <t>Opening paragraph describes a court case of a 14 year old girl who  traveled to England with her parents to receive an abortion. However, because she threatened suicide she could have received her abortion in Ireland. Her story explores one of the various experiences of Irish women seeking abortions outside of their country.</t>
    </r>
    <r>
      <rPr>
        <b/>
        <sz val="10"/>
        <rFont val="Arial"/>
        <family val="2"/>
      </rPr>
      <t xml:space="preserve"> Travel measured as Irish women traveling to England for abortion services.</t>
    </r>
  </si>
  <si>
    <t>n/a</t>
  </si>
  <si>
    <t>self-administered questionnaire.</t>
  </si>
  <si>
    <t>questions on contraceptive use, sexual activity, discussions on sexual activity</t>
  </si>
  <si>
    <t>Not discussed - but presents raw %</t>
  </si>
  <si>
    <t>by marital status</t>
  </si>
  <si>
    <t>not included in percentages</t>
  </si>
  <si>
    <t>200 women</t>
  </si>
  <si>
    <t>Marital status: 151 (76%) single, 32 (16%) currently married, 17 (8%) separated, total:200
Religion: 95% Catholic
Church attendace: 64 (33.3%) past week, 66 (34.4%) past month, 29 (15.1%) past year, 33 (17.1 %) not in the past year, total: 192
Source of info about menstrual cycle: 108 (58%) told mother, 15 (8.1%) told sister, 11 (5.9%) told friends, 5 (2.7%) told teacher, 39 (21%) told no one, 8 (4.3%) told other, total: 186
Age at first intercourse:  3(1.5%) &lt;16, 42 (21.5%) 16-17, 68 (34.9) 18-19, 72 (36.9) 20-24, 10 (5.1%) ≥25
partner at first intercourse: 118 (62.1%) steady boyfriend, 8 (4.2%) fiance, 29 (15.3%) husband, 31 (16.4%) casual partner, 4 (2.1%) other
Person with whom birth control was discussed: 27 (14.8%) mother, 5(2.7%) father, 4(2.2%) religious leader, 38 (20.8%) sister, 6 (3.3%) brother, 124 (67.8%) boyfriend/husband
Person who was told about pregnancy: 18 (9.7%) mother, 7 (3.8%) father, 31 (16.7%) sister, 6 (3.2%) brother, 142 (76.3%) boyfriend/husband, 9 (4.8%) No one, total: 186</t>
  </si>
  <si>
    <t>did not talk about travel all that much and did not measure it as an exposure or outcome of abortion</t>
  </si>
  <si>
    <t>travel barely discussed. Only discussed in terms of women traveling from Ireland to England</t>
  </si>
  <si>
    <t>-large sample size
-very unlikely to have bias because survey was self-administered</t>
  </si>
  <si>
    <t>-article did not discuss eligibility, statistical methods, and main findings were barely discussed, in fact when it came to what was being measured it was quite unclear what they were measuring and why they decided to measure the the characteristics they were measuring</t>
  </si>
  <si>
    <t>I do not recommend using this article. It barely discusses travel and the study is questionable in terms of statistical methods and explanation of main findings. Mostly summarizes the findings of others which could potentially be useful.</t>
  </si>
  <si>
    <t>Gerdts</t>
  </si>
  <si>
    <t>Experiences of Women who travel to England for Abortions: an exploratory pilot study</t>
  </si>
  <si>
    <t>to assess the feasibility of recruiting non-resident women seeking abortions in UK for a research study and conduct a preliminary quantitative exploration of the travel and abortion seeking experiences of these women</t>
  </si>
  <si>
    <t>no quantitative studies have looked at non-resident women seeking abortions in the UK, nor have qualitative studies been conducted to explore non-Irish women's experiences seeking abortions in the UK</t>
  </si>
  <si>
    <t>London and Liverpool</t>
  </si>
  <si>
    <t>United Kingdom</t>
  </si>
  <si>
    <t>British Pregnancy Advisory Service; two in London and Liverpool</t>
  </si>
  <si>
    <t>August 2014- March 2015</t>
  </si>
  <si>
    <t xml:space="preserve">traveled to England for an abortion, from any other country including Ireland; at least 18 and proficient in english, spanish, french, italian, or polish.
</t>
  </si>
  <si>
    <t>approached while waiting for abortion appointment</t>
  </si>
  <si>
    <t>descriptive study</t>
  </si>
  <si>
    <t>socio demogrpahics, reproductive history and abortion seeking, delays, travel experiences</t>
  </si>
  <si>
    <t>burden of travel cost, taking time of work, taking time away from caretaking, length of stay in England, method of travel, travelling alone, travel cost, overnight stay, cost of accomodation, type of accomodation</t>
  </si>
  <si>
    <t>reason for traveling</t>
  </si>
  <si>
    <t>58 women</t>
  </si>
  <si>
    <t>descriptive and bivariate analyses</t>
  </si>
  <si>
    <t>by region of residence (Eastern vs Western vs Ireland vs Middle East)</t>
  </si>
  <si>
    <t>Age (n=56): Age (n 1⁄4 56)
14–19 10 (17.2) 
20–24 15 (25.9) 
25–34 25 (43.1)
35–46 6 (10.4)
Marital Status (n=55):Married 4 (6.9) ,Partnership/cohabitating 7 (12.1) Separated 4 (6.9) Single and never married 32 (55.2) Other 7 (12.1) Prefer not to answer 1 (1.7)
Education (n=56): Primary school 5 (8.6) Secondary school 14 (24.1) Some university 16 (27.6)  University 11 (19) Post-graduate 10 (17.2)
Employment (n=51): Employed full time 19 (32.8) Employed part time 2 (3.5) Unemployed 8 (13.8) 
Homemaker 6 (10.4) Student 16 (27.6)
Sufficient income for basic needs (n=53): All the time 27 (46.6%) Most of the time 12 (20.7%) Some of the time 7 (12.1%) Rarely/never 2 (3.5%) Don’t know 2 (3.5%) Prefer not to answer 3 (5.2%)
Region of birth (n=56): Western Europe 28 (48.3%) Ireland/Northern Ireland 15 (25.9%) 
Northern Europe 1 (1.7%)  Eastern Europe 3 (5.2%)North America 5 (8.6%)  (40%) Africa 2 (3.5%) Prefer not to answer 2 (3.5%)</t>
  </si>
  <si>
    <t>Western Europe, Northern Europe, Eastern Europe, Middle East</t>
  </si>
  <si>
    <r>
      <rPr>
        <b/>
        <sz val="10"/>
        <rFont val="Arial"/>
        <family val="2"/>
      </rPr>
      <t xml:space="preserve">Country of origin and delay of care: </t>
    </r>
    <r>
      <rPr>
        <sz val="10"/>
        <color rgb="FF000000"/>
        <rFont val="Arial"/>
        <family val="2"/>
      </rPr>
      <t xml:space="preserve">women who travel abroad for abortion care travel for 2 main reasons: 1) very restrictive abortion laws in their country of origin 2) gestational limits for age limits to legal abortion in their country of residence
Many Italian women traveled because they faced procedural barriers regarding abortion such as conscientious objection by physicians 
Travel also represents a significant financial burden for many participants in the study </t>
    </r>
  </si>
  <si>
    <t>Burden of travel cost: Very easy or moderate easy 23 (39.7)Difficult or very difficult 29 (50)
Taking time off work: Very easy or moderately easy 26 (44.8) Difficult or very difficult 16 (27.6)
Taking time away from caretaking: Very easy or moderate easy 25 (43.1)
Difficult or very difficult 14 (24.1)
Length of stay in England: Less than a day 7 (12.1) One day 30 (51.7) 1-7 days 12 (20.7)  More than one week 2 (3.5).
Reason for coming to England: To get an abortion 54 (93.1) To come to school 1 (1.7)  Other 1 (1.7)
Traveled alone: Yes 14 (24.1) No 42 (72.4)
Method of travel: Airplane 53 (91.4)  Train 2 (3.5) Bus 1 (1.7) Personal car 1 (1.7)
Travel cost: £1–100 8 (13.8) £101–500 25 (43.1) 14  More than £500 16 (27.6)
Overnight stay Yes 50 (86.2) No 6 (10.4)
Cost of accommodation: £0 6 (10.4) £1–100 15 (25.9)  £101–500 17 (29.3) More than £500 4 (6.9)
Type of accommodation: Hotel/hostel 42 (72.4) With a friend 5 (8.6) With family 5 (8.6) Other 2 (3.5)</t>
  </si>
  <si>
    <t>Travel caused by legal limitations, gestational limits, and conscientious objection by practioners in country of origin
Cost a significant barrier for non-resident women, as well as time</t>
  </si>
  <si>
    <t>first study to explore this population</t>
  </si>
  <si>
    <t>our sample size was limited and
cannot be considered generalizable to the larger population
of non-resident women seeking abortions in the UK.</t>
  </si>
  <si>
    <t>full scale study</t>
  </si>
  <si>
    <t>AJPH Research</t>
  </si>
  <si>
    <t>Impact of Clinic closures on Women Obtaining Abortion Services After Implementation of Restrictive Law in Texas</t>
  </si>
  <si>
    <t>to evaluate the additional burdens experienced by Texas abortion patients whose nearest in-state clinic was one of the more than half of facilities providing abortion that had closed after the introduction of House Bill 2 in 2013</t>
  </si>
  <si>
    <t>In 2013 Texas implemented a TRAP law under House Bill 2 which restricted abortion in 4 ways 1) abortion physicians must have admitting privileges at a hospital 30 miles from the facility 2) medication abortion must be administered according to the mifepristone label approved by the FDA 3) most abortions at or after 20 weeks are banned 4) all abortions must be performed in ASC. Evaluates the burden women experience due to this recent TRAP law</t>
  </si>
  <si>
    <t>survey data analysis? descriptive study</t>
  </si>
  <si>
    <t>sampled 10 facilities which included Planned Parenthood and independent providers</t>
  </si>
  <si>
    <t>between May and August 2014</t>
  </si>
  <si>
    <t>women seeking abortions at one of the facilities
18 years or older
spoke English or Spanish
completed their pre-abortion ultra-sound consultation</t>
  </si>
  <si>
    <t>women waiting in waiting room. Women completed surveys at consultation, procedure, or follow-up visits</t>
  </si>
  <si>
    <t>participants whose nearest clinic closed after the passage of HB2 
participants whose nearest clinic remained open after the passage of HB2</t>
  </si>
  <si>
    <t>distance; travel</t>
  </si>
  <si>
    <t xml:space="preserve">travel measured in terms of clinics physical addresses and the participants residential zip code in order to determine the distance each participants nearest open state clinic in April 2013 and distance to the nearest open state clinic in July 2014. Also calculated the distance to the clinic where the participant while interviewed while seeking abortion care. Distance measured as number of road miles from women's zip codes of residence to clinics
</t>
  </si>
  <si>
    <t>demographics: age, race/ethnicity, education, relationship status, primary language, parity, previous abortion etc.</t>
  </si>
  <si>
    <t>survey</t>
  </si>
  <si>
    <t>In addition to distance traveled study also identified 4 burdens: 1) high out of pocket costs 2) an overnight stay 3) a delay in getting an abortion appointment 4) not obtaining preferred type of aboriton</t>
  </si>
  <si>
    <t>t tests to assess differences between groups</t>
  </si>
  <si>
    <r>
      <t>Age: 1</t>
    </r>
    <r>
      <rPr>
        <b/>
        <sz val="10"/>
        <rFont val="Arial"/>
        <family val="2"/>
      </rPr>
      <t>8–24</t>
    </r>
    <r>
      <rPr>
        <sz val="10"/>
        <color rgb="FF000000"/>
        <rFont val="Arial"/>
        <family val="2"/>
      </rPr>
      <t xml:space="preserve"> 177 (44.6)</t>
    </r>
    <r>
      <rPr>
        <b/>
        <sz val="10"/>
        <rFont val="Arial"/>
        <family val="2"/>
      </rPr>
      <t xml:space="preserve"> 25–35</t>
    </r>
    <r>
      <rPr>
        <sz val="10"/>
        <color rgb="FF000000"/>
        <rFont val="Arial"/>
        <family val="2"/>
      </rPr>
      <t xml:space="preserve"> 188 (47.4) </t>
    </r>
    <r>
      <rPr>
        <b/>
        <sz val="10"/>
        <rFont val="Arial"/>
        <family val="2"/>
      </rPr>
      <t>&gt; 35</t>
    </r>
    <r>
      <rPr>
        <sz val="10"/>
        <color rgb="FF000000"/>
        <rFont val="Arial"/>
        <family val="2"/>
      </rPr>
      <t xml:space="preserve"> 32 (8.1)
Race/ethnicity: </t>
    </r>
    <r>
      <rPr>
        <b/>
        <sz val="10"/>
        <rFont val="Arial"/>
        <family val="2"/>
      </rPr>
      <t xml:space="preserve">Black or African American </t>
    </r>
    <r>
      <rPr>
        <sz val="10"/>
        <color rgb="FF000000"/>
        <rFont val="Arial"/>
        <family val="2"/>
      </rPr>
      <t xml:space="preserve">75 (19.0) White 118 (29.9) </t>
    </r>
    <r>
      <rPr>
        <b/>
        <sz val="10"/>
        <rFont val="Arial"/>
        <family val="2"/>
      </rPr>
      <t xml:space="preserve">Latina or Hispanic </t>
    </r>
    <r>
      <rPr>
        <sz val="10"/>
        <color rgb="FF000000"/>
        <rFont val="Arial"/>
        <family val="2"/>
      </rPr>
      <t xml:space="preserve">163 (41.3) </t>
    </r>
    <r>
      <rPr>
        <b/>
        <sz val="10"/>
        <rFont val="Arial"/>
        <family val="2"/>
      </rPr>
      <t>Asian, Pacific Islander, American Indian/Alaska Native, or other race</t>
    </r>
    <r>
      <rPr>
        <sz val="10"/>
        <color rgb="FF000000"/>
        <rFont val="Arial"/>
        <family val="2"/>
      </rPr>
      <t xml:space="preserve"> 16 (4.1)
Education:</t>
    </r>
    <r>
      <rPr>
        <b/>
        <sz val="10"/>
        <rFont val="Arial"/>
        <family val="2"/>
      </rPr>
      <t xml:space="preserve"> High school or less</t>
    </r>
    <r>
      <rPr>
        <sz val="10"/>
        <color rgb="FF000000"/>
        <rFont val="Arial"/>
        <family val="2"/>
      </rPr>
      <t xml:space="preserve"> 127 (32.4) </t>
    </r>
    <r>
      <rPr>
        <b/>
        <sz val="10"/>
        <rFont val="Arial"/>
        <family val="2"/>
      </rPr>
      <t>Some college</t>
    </r>
    <r>
      <rPr>
        <sz val="10"/>
        <color rgb="FF000000"/>
        <rFont val="Arial"/>
        <family val="2"/>
      </rPr>
      <t xml:space="preserve"> 171 (43.6) </t>
    </r>
    <r>
      <rPr>
        <b/>
        <sz val="10"/>
        <rFont val="Arial"/>
        <family val="2"/>
      </rPr>
      <t>College graduate or higher</t>
    </r>
    <r>
      <rPr>
        <sz val="10"/>
        <color rgb="FF000000"/>
        <rFont val="Arial"/>
        <family val="2"/>
      </rPr>
      <t xml:space="preserve"> 94 (24.0) </t>
    </r>
    <r>
      <rPr>
        <b/>
        <sz val="10"/>
        <rFont val="Arial"/>
        <family val="2"/>
      </rPr>
      <t>Current student</t>
    </r>
    <r>
      <rPr>
        <sz val="10"/>
        <color rgb="FF000000"/>
        <rFont val="Arial"/>
        <family val="2"/>
      </rPr>
      <t xml:space="preserve"> (n = 396) 133 (33.6)
Relationship Status: </t>
    </r>
    <r>
      <rPr>
        <b/>
        <sz val="10"/>
        <rFont val="Arial"/>
        <family val="2"/>
      </rPr>
      <t>Single</t>
    </r>
    <r>
      <rPr>
        <sz val="10"/>
        <color rgb="FF000000"/>
        <rFont val="Arial"/>
        <family val="2"/>
      </rPr>
      <t xml:space="preserve"> 137 (34.4) </t>
    </r>
    <r>
      <rPr>
        <b/>
        <sz val="10"/>
        <rFont val="Arial"/>
        <family val="2"/>
      </rPr>
      <t>Relationship, not living together</t>
    </r>
    <r>
      <rPr>
        <sz val="10"/>
        <color rgb="FF000000"/>
        <rFont val="Arial"/>
        <family val="2"/>
      </rPr>
      <t xml:space="preserve"> 104 (26.1) </t>
    </r>
    <r>
      <rPr>
        <b/>
        <sz val="10"/>
        <rFont val="Arial"/>
        <family val="2"/>
      </rPr>
      <t xml:space="preserve">Living together </t>
    </r>
    <r>
      <rPr>
        <sz val="10"/>
        <color rgb="FF000000"/>
        <rFont val="Arial"/>
        <family val="2"/>
      </rPr>
      <t xml:space="preserve">74 (18.6) </t>
    </r>
    <r>
      <rPr>
        <b/>
        <sz val="10"/>
        <rFont val="Arial"/>
        <family val="2"/>
      </rPr>
      <t>Married</t>
    </r>
    <r>
      <rPr>
        <sz val="10"/>
        <color rgb="FF000000"/>
        <rFont val="Arial"/>
        <family val="2"/>
      </rPr>
      <t xml:space="preserve"> 60 (15.1) </t>
    </r>
    <r>
      <rPr>
        <b/>
        <sz val="10"/>
        <rFont val="Arial"/>
        <family val="2"/>
      </rPr>
      <t xml:space="preserve">Separated or divorced </t>
    </r>
    <r>
      <rPr>
        <sz val="10"/>
        <color rgb="FF000000"/>
        <rFont val="Arial"/>
        <family val="2"/>
      </rPr>
      <t xml:space="preserve">23 (5.8)
Primary language spoken at home: </t>
    </r>
    <r>
      <rPr>
        <b/>
        <sz val="10"/>
        <rFont val="Arial"/>
        <family val="2"/>
      </rPr>
      <t xml:space="preserve">English </t>
    </r>
    <r>
      <rPr>
        <sz val="10"/>
        <color rgb="FF000000"/>
        <rFont val="Arial"/>
        <family val="2"/>
      </rPr>
      <t xml:space="preserve">319 (81.4) </t>
    </r>
    <r>
      <rPr>
        <b/>
        <sz val="10"/>
        <rFont val="Arial"/>
        <family val="2"/>
      </rPr>
      <t>Spanish</t>
    </r>
    <r>
      <rPr>
        <sz val="10"/>
        <color rgb="FF000000"/>
        <rFont val="Arial"/>
        <family val="2"/>
      </rPr>
      <t xml:space="preserve"> 19 (4.8) 
</t>
    </r>
    <r>
      <rPr>
        <b/>
        <sz val="10"/>
        <rFont val="Arial"/>
        <family val="2"/>
      </rPr>
      <t>Both English and Spanish</t>
    </r>
    <r>
      <rPr>
        <sz val="10"/>
        <color rgb="FF000000"/>
        <rFont val="Arial"/>
        <family val="2"/>
      </rPr>
      <t xml:space="preserve"> 50 (12.8) </t>
    </r>
    <r>
      <rPr>
        <b/>
        <sz val="10"/>
        <rFont val="Arial"/>
        <family val="2"/>
      </rPr>
      <t xml:space="preserve">Another language </t>
    </r>
    <r>
      <rPr>
        <sz val="10"/>
        <color rgb="FF000000"/>
        <rFont val="Arial"/>
        <family val="2"/>
      </rPr>
      <t xml:space="preserve">4 (1.0)
200% FPG (n = 305): </t>
    </r>
    <r>
      <rPr>
        <b/>
        <sz val="10"/>
        <rFont val="Arial"/>
        <family val="2"/>
      </rPr>
      <t>£ 200%</t>
    </r>
    <r>
      <rPr>
        <sz val="10"/>
        <color rgb="FF000000"/>
        <rFont val="Arial"/>
        <family val="2"/>
      </rPr>
      <t xml:space="preserve"> 175 (44.3) </t>
    </r>
    <r>
      <rPr>
        <b/>
        <sz val="10"/>
        <rFont val="Arial"/>
        <family val="2"/>
      </rPr>
      <t>&gt; 200%</t>
    </r>
    <r>
      <rPr>
        <sz val="10"/>
        <color rgb="FF000000"/>
        <rFont val="Arial"/>
        <family val="2"/>
      </rPr>
      <t xml:space="preserve"> 130 (32.9)
Parity: </t>
    </r>
    <r>
      <rPr>
        <b/>
        <sz val="10"/>
        <rFont val="Arial"/>
        <family val="2"/>
      </rPr>
      <t>0</t>
    </r>
    <r>
      <rPr>
        <sz val="10"/>
        <color rgb="FF000000"/>
        <rFont val="Arial"/>
        <family val="2"/>
      </rPr>
      <t xml:space="preserve"> 153 (42.3) </t>
    </r>
    <r>
      <rPr>
        <b/>
        <sz val="10"/>
        <rFont val="Arial"/>
        <family val="2"/>
      </rPr>
      <t>1</t>
    </r>
    <r>
      <rPr>
        <sz val="10"/>
        <color rgb="FF000000"/>
        <rFont val="Arial"/>
        <family val="2"/>
      </rPr>
      <t xml:space="preserve"> 80 (22.1) </t>
    </r>
    <r>
      <rPr>
        <b/>
        <sz val="10"/>
        <rFont val="Arial"/>
        <family val="2"/>
      </rPr>
      <t xml:space="preserve">2 </t>
    </r>
    <r>
      <rPr>
        <sz val="10"/>
        <color rgb="FF000000"/>
        <rFont val="Arial"/>
        <family val="2"/>
      </rPr>
      <t xml:space="preserve">73 (20.2) </t>
    </r>
    <r>
      <rPr>
        <b/>
        <sz val="10"/>
        <rFont val="Arial"/>
        <family val="2"/>
      </rPr>
      <t>more than or equal to 3</t>
    </r>
    <r>
      <rPr>
        <sz val="10"/>
        <color rgb="FF000000"/>
        <rFont val="Arial"/>
        <family val="2"/>
      </rPr>
      <t xml:space="preserve"> 56 (15.5)
Previous abortion: (n = 380) 145 (38.2)</t>
    </r>
  </si>
  <si>
    <t xml:space="preserve">Results: For women whose nearest clinic closed (38%), the mean one way distance traveled was 85 miles, compared with 22 miles for women whose nearest clinic remained open. After adjustment, more women whose nearest clinic closed traveled more than 50 miles, had out of pocket costs greater than $100 (32% vs 20%), had a frustrated demand for medication abortion(37% vs 22%), and reported that it was somewhat or very hard to get to a clinic (36% vs 18%). </t>
  </si>
  <si>
    <t>Distance from residence zip code to nearest clinic in 2013: (Mean for total population) 15.0 (17.9) miles
Distance from residence zip code to nearest clinic in 2014: 35.0 (60.8) miles
Distance from residence zip code to facility where recruited: (Mean) 46.2 (70.5) (Range) 1–381
Distance to facility by percentiles: 10th 4.6 25th 10.3 50th 19.6 
75th 39.7 90th 143.4</t>
  </si>
  <si>
    <t xml:space="preserve">Women who traveled more than 50 miles incurred out of pocket costs of over $100 were significantly greater in the nearest clinic closed group
Greater proportion experiencing frustrated demand for medication abortion
</t>
  </si>
  <si>
    <t>Substantial travel burden experienced by women seeking abortion who live in areas of Texas where clinics closed after HB2</t>
  </si>
  <si>
    <t>surveyed women obtaining abortion services more than 6 months after the enforcement of HB2</t>
  </si>
  <si>
    <t>cannot provide a basis for estimating the number of women for whom the additional burdens imposed by HB2 were sufficiently great to prevent them from accessing an abortion that they would have sought in the absence of clinic closures and other restrictions. Not random sample. Does not include Texas residents who may traveled out of state for abortion care or successfully self-induced.</t>
  </si>
  <si>
    <t>Carly: the link between self-induction and travel</t>
  </si>
  <si>
    <t>Grossman</t>
  </si>
  <si>
    <t>Changes in Delivery Patterns after Introduction of Telemedicine Provision of Medical Abortion in Iowa</t>
  </si>
  <si>
    <t>To determine "whether the proportion of abortions that were medical abortion and second - trimester abortion changed, as well as whether there were changes in the geographical patterns of service delivery. "</t>
  </si>
  <si>
    <t>"How the clinics system's service delivery patterns changed after the introduction of telemedicine"</t>
  </si>
  <si>
    <t>Iowa</t>
  </si>
  <si>
    <t>Planned Parenthood of the Heartland</t>
  </si>
  <si>
    <t>2006-2010</t>
  </si>
  <si>
    <t>Women within 500 miles of the clinics</t>
  </si>
  <si>
    <t>Vital statistics records from Iowa as well as those from PP</t>
  </si>
  <si>
    <t>introduction to telemedicine</t>
  </si>
  <si>
    <t>proportion of all abortions that were medical abortion (vs surgical abortion), the proportion of all abortions performed at £ 13 weeks (vs abortion &gt; 13 weeks), distance traveled to clinic , and distance of patient to the nearest clinic that offered surgical abortion, to assess whether women came from more remote areas of the state following the introduction of telemedicine.</t>
  </si>
  <si>
    <t>(approximated with straight-line calculations between clinic and patient residential zip codes</t>
  </si>
  <si>
    <t>Billing data from  PP</t>
  </si>
  <si>
    <t>state data, service records</t>
  </si>
  <si>
    <t>state data, billing data</t>
  </si>
  <si>
    <t>All abortion encounters within 500 miles of the clinics</t>
  </si>
  <si>
    <t>Chi Squared, t test, linear regression, pre post distance analysis</t>
  </si>
  <si>
    <t>age race ethnicity and education level</t>
  </si>
  <si>
    <t>Patient age, race and ethnicity, education level, and residential zip code; whether the patient received financial assistance at the clinic to pay for her abortion; gestational age (for surgical abortion gestational age was recorded as ≤  13 weeks' or &gt;13 weeks' gestation; by definition medical abortion was performed at ≤ 9 weeks' gestation); and type of abortion (medical vs surgical)</t>
  </si>
  <si>
    <t>The number of surgical abortions decreased among women residing throughout the state, but especially for those living in the central and western portions of the state. The number of medical abortions increased among women residing throughout the state, but especially among residents of the western and eastern portions of the state.Most of the increase in the number of medical abortions after telemedicine introduction occured among women living more than 50 miles from one of the surgical abortion clinics, specially in more remote parts of Iowa, as well as in eastern Nebraska and northwest Illinois. The data showerd scattered areas where fewer women obtained medical abortions but no clear pattern emerged.</t>
  </si>
  <si>
    <t>The average distance that women traveled from their home to the clinic decreseased slightly from 33.2 before telemedicine introduction to 30.7 miles agter. The proportion of patients who traveled more than 50 miles to the clinic also declined slightly, from 25% to 23%. The median distance travel did not change. Women obtaining services after the introduction of telemedicine had a 31.6- mile decrease in average distance traveled to the clinic, after adjustment for sociodemographic factos. Women presenting after telemediceine introductuion also had a 12% reduced likelihood of traveling more than 50 miles to the clinic, after adjustment for sociodemographic factors. The proportion o fpaients who lived more than 25 miles and more than 50 imles from a surgical abortion clinic increased from 40% to 44% and from 24% to 26% respectively. After adjustment for sociodemographic factors patients were 12% more likely to reside more than 50 miles from a clinic that provided surgical abortion after than before telemedicine was introduced. When the analysis was restricted to medical abortion patients (n= 886) and controlled for sociodemographic factors, the authors found that after relemedicine introduction medical abortion patients had 16% greater likelihood of residing more than 50 miles from a aclinic providing surgical abortion.</t>
  </si>
  <si>
    <t>"Respondents estimated that 8% of women having abortions in nonhospital facilities travel more than 100 miles to obtain this service, and that an additional 16% travel 50–100 miles. In the East South Central and the West North Central states, 43% and 37%, respectively, of women travel at least 50 miles to obtain an abortion, including 14–15% who travel more than 100 miles. In contrast, only 11% of women in the Middle Atlantic states travel 50 miles or more. Only 6% of clients of providers that perform fewer than 30 abortions a year travel 50 miles or more, compared with 26% of clients of providers that perform 1,000–4,990 abortions and 18% of women seeing providers that perform 5,000 or more abortions annually. Some 26% of clients of abortion clinics (which tend to have larger caseloads than other providers) travel at least 50 miles to obtain an abortion, compared with 16–18% of clients of other types of facilities."</t>
  </si>
  <si>
    <t>"The ability to analyze the entire universe of abortion encounters in this clinic system over a 4-year period and the novel spatial mapping techniques we used to determine access to abortion care."</t>
  </si>
  <si>
    <t>"Causality cannot be inferred because it was an observational study. 
Another limitation is that we only examined the first 2 years after telemedicine introduction. The telemedicine sites that began offering services later in the study period had small volumes of patients, and these numbers might increase over time. Findings are specific to the service delivery model implemented in the clinic system and cannot be generalizable to other models in other settings. 
"</t>
  </si>
  <si>
    <t>"the effect of telemedicine on gestational age at time of abortion should be evaluated over a longer period and in other settings to confirm our findings.It would be interesting to evaluate whether telemedicine availability also reduces surgical abortion at 9 to 13 weeks’ gestation."</t>
  </si>
  <si>
    <t>Contraception</t>
  </si>
  <si>
    <t>Change in abortion services after implementation of a restrictive law in Texas</t>
  </si>
  <si>
    <t>"In this paper, we aimed to rapidly assess the effect of these
provisions ( decrease in abortion rates and the number of clinics) on abortion services in the first six months after HB2 was implemented."</t>
  </si>
  <si>
    <t>Observational- Cross-sectional (not stated)</t>
  </si>
  <si>
    <t>Abortion Providers</t>
  </si>
  <si>
    <t>Period 1 : six months prior to the debate of HB2 Nov 1 2012-April 30 2013. Period 2: May 2013-October 31 2013, HB2 publicly debated and passed. Period 3: Nov 1 2013- April 30 2014, after enforcement o fall provisions of HB2 except the ambulatory surgical center requirementt.</t>
  </si>
  <si>
    <t>HB2</t>
  </si>
  <si>
    <t>abortion rates and the number of open clinics in Texas</t>
  </si>
  <si>
    <t>travel distance - computed travel distance from 4 metropolitan areas( Austin, Ft. Worth/Dallas, San Antonio, Houston) to the nearest Texas county in which there was at least one abortion provider .</t>
  </si>
  <si>
    <t>Interview and reports in the press and by intermittent requests to the Texas Depatment of State Health Services.</t>
  </si>
  <si>
    <t>state data, provider survey</t>
  </si>
  <si>
    <t>Total number of induced abortions, early medical abortions, surgical abortions less than 12 weeks and 12 or greater weeks gestation . Monthly number of abortions in Lower Rio Grande Valley area.</t>
  </si>
  <si>
    <t># of Closed Clinics: Period 1- none Period 2- 8, leaving 33 open facilities. Period 3- 11, leaving 22 open facilities. 11 out of the 13 closed facilities were outside the four largest metropoloitan area. Compared to Period 1, there was a 13% decline in the state’s abortion rate in Period 3. The number of medical abortions declined by 70% in Period 3 compared to
 Period 1, and seven facilities stopped offering medical abortion in Period 3. There was a
 small but significant increase in the proportion of abortions performed in the second
 trimester in Period 3 compared to Periods 1 and 2</t>
  </si>
  <si>
    <t>While
 approximately 10,000 women in Period 1 lived &gt;200 miles from a Texas clinic providing
 abortions, this increased to 290,000 at the end of Period 3; more than twice that many
 woman will live &gt;200 miles from a Texas clinic when the ASC requirement goes into effect.</t>
  </si>
  <si>
    <t>[The]
 number of women required to travel great distances to reach a provider increased
 dramatically. Our findings suggest that most women desiring an abortion—but not all—
 overcame the barriers of distance and additional cost to obtain the service they needed.</t>
  </si>
  <si>
    <t>The admitting privileges requirement was almost certainly
 the main driver of the large number of clinic closures observed in the months preceding and
 following its implementation. In just one year, the number of facilities providing abortion in
 Texas declined by 46%, vast swaths of the state were left without a provider, and the
 number of women required to travel great distances to reach a provider increased
 dramatically.</t>
  </si>
  <si>
    <t>Strengths of
 the study are that it includes the entire universe of licensed abortion facilities in the state and
 that 90% of the abortion data in Period 3 was obtained directly from providers.</t>
  </si>
  <si>
    <t>. Since this is an observational study, we cannot prove
 causality between the state restrictions and falling abortion rate; the timing, however, is
 suggestive of a link. In addition, where data were not directly available, we used informants or made internal estimates. we also do not have data on women traveling out of state for abortion services, so we do not know if the "missing abortions" were obtained elsewhere or not at all.</t>
  </si>
  <si>
    <t>As more restrictions on abortion care are imposed by state legislatures, it is critical to assess
 the effect of these laws on women.</t>
  </si>
  <si>
    <t>JAMA</t>
  </si>
  <si>
    <t>Change in Distance to Nearest Facility and Abortion in Texas, 2012 to 2014.</t>
  </si>
  <si>
    <t>We hypothesized that the decline in abortions would be greater as the change in distance to the nearest open facility increased.</t>
  </si>
  <si>
    <t>Abortion facilities</t>
  </si>
  <si>
    <t>2012-2014</t>
  </si>
  <si>
    <t>Counties with closed facilities</t>
  </si>
  <si>
    <t>distance to nearest facility</t>
  </si>
  <si>
    <t>number of abortions</t>
  </si>
  <si>
    <t xml:space="preserve">2012: 66,098 abortions / 2014: 53,882 abortions. 2012: 41 facilities in 17 counties / 2014: 21 facilities in 6 counties </t>
  </si>
  <si>
    <t>Declines in abortions increased as distance to nearest facility increased</t>
  </si>
  <si>
    <t>Health Care for Women International</t>
  </si>
  <si>
    <t>Mexican Women Seeking Safe Abortion Services in San Diego, California</t>
  </si>
  <si>
    <t>Our objective in this mixed methods study was to determine the proportion of women traveling from Mexico to seek abortion in San Diego clinics, and to better understand their motivations and experiences.</t>
  </si>
  <si>
    <t>California</t>
  </si>
  <si>
    <t>Four abortion clinics in San Diego</t>
  </si>
  <si>
    <t>October 2004- October 2005</t>
  </si>
  <si>
    <t>Self identification as Mexican residents</t>
  </si>
  <si>
    <t>Followup appointment</t>
  </si>
  <si>
    <t>city/state of residence in Mexico</t>
  </si>
  <si>
    <t>gestational age, repro health knowledge, reason for traveling for abortion</t>
  </si>
  <si>
    <t>Transportation costs</t>
  </si>
  <si>
    <t>Self administered questionnaire &amp; 30-45 minute in-depth interview</t>
  </si>
  <si>
    <t>Survey &amp; interview</t>
  </si>
  <si>
    <t>No monetary incentives, self-identification as Mexican residents</t>
  </si>
  <si>
    <t>87 surveyed, 17 interviewed</t>
  </si>
  <si>
    <t>Two independent coders</t>
  </si>
  <si>
    <t>87 survey, 17 interviewed</t>
  </si>
  <si>
    <t>Mexico</t>
  </si>
  <si>
    <t>Barriers to travel to US from Mexico for abortion are informational, logistical, and financial (including transportation costs, passport/paperwork, and clinic information or where to go)</t>
  </si>
  <si>
    <t xml:space="preserve">Sample was privileged compared to general Mexican population (had passports, money to travel, lived close to border). </t>
  </si>
  <si>
    <t>Henshaw</t>
  </si>
  <si>
    <t>The accessibility of abortion services in the Uited States, 2001</t>
  </si>
  <si>
    <t>"This article documents the current status of abortion service accessibility in the United States, on the basis of data collected in a survey of all known U.S. abortion providers conducted in 2001–2002 by The Alan Guttmacher Institute AGI)."</t>
  </si>
  <si>
    <t>Some measurement of accessibility. "Although it is difficult to measure the impact of the accessibility
of abortion services on abortion incidence, lack
of access likely prevents some women from terminating
unintended pregnancies."</t>
  </si>
  <si>
    <t>Observational Retrospective(Not Stated)</t>
  </si>
  <si>
    <t>All known abortion providers-- hospital, abortion clinics, other clinics and physician offices</t>
  </si>
  <si>
    <t>2001-2002</t>
  </si>
  <si>
    <t>Response to four mailings and telephone call.</t>
  </si>
  <si>
    <t>All abortion providers that responded- convenience</t>
  </si>
  <si>
    <t>Gestational Limits, Distance Traveled, Charges, How women pay, Early Medical Abortion, Harrassment</t>
  </si>
  <si>
    <t>distance (miles) of clients' homes from the facility is known from their addresses and from planning for follow-up care . Those who travel more than atleast 50 miles, 50-100 miles and more than 100 miles.</t>
  </si>
  <si>
    <t>Mail in questionnaire or telephone call</t>
  </si>
  <si>
    <t>Those that responded to the mail in survey or a telephone call</t>
  </si>
  <si>
    <t>"More than 90% of all abortion providers offer services at 8-10 weeks, LMP. The mean amount paid by clients is lower than the mean amount charged by the typical provider. A large majority of women pay for abortions with their own money or with funds they obtain from their partner, family or others. How providers structure their early medical abortion services influences the number of locations where the method is offered, the proportion of women who are eligible, the charges to cliensnts asn the convenience of the method from the clients point of view. 56% of all non hospoital providers experience at least one of the five types of harassment- picketing, picketing coupled with physical contact with or blocking of clients, vandalism (Such as jamming locks or other physical damage). picketing of the homes of staff and bomb threats."</t>
  </si>
  <si>
    <t>"Although a distance of 50 miles may not create any difficulty for some women, for others it may pose a significant problem. Providers estimate that 8% of women who have abortions travel more than 100 miles to do so, a proportion that has not changed in recent years."</t>
  </si>
  <si>
    <t>Used AGI, the only national source of information on the numbers and types of providers and their geographic distribution.</t>
  </si>
  <si>
    <t>"This article presents only a partial picture of the barriers women face in seeking abortion services [ becuase we surveyed abortion providers]"</t>
  </si>
  <si>
    <t xml:space="preserve">IM </t>
  </si>
  <si>
    <t>Factors Hindering Access to Abortion Services</t>
  </si>
  <si>
    <t>"this article uses data from The Alan Guttmacher Institute's (AGI) 1993 Abortion Provider Survey to provide information on the percentage of women who travel long distances to obtain abortion services, the availability of abortion providers for women who need services during the second trimester of pregnancy, the need to make more than one trip to the abortion facility and the amount abortion providers charge for services. In addition, it presents a mea- sure of antiabortion harassment of abortion providers, which also affects women seeking an abortion, and providers' views of the problems that cause them the most difficulty in offering their services."</t>
  </si>
  <si>
    <t>Observational</t>
  </si>
  <si>
    <t>1991-mid 1993</t>
  </si>
  <si>
    <t>Response to questionnaire</t>
  </si>
  <si>
    <t>Sent questionnaire out to all known abortion providers, 1, 525</t>
  </si>
  <si>
    <t>Distance Traveled, Gestation limits, Apointment Availability, Charges, Problems faced by Providers. Harrassment</t>
  </si>
  <si>
    <t>"The providers were asked to estimate the distribution of their abortion patients by distance of their patients residents from the facility (within 50 miles, 50-100 miles or more than 100 miles)."</t>
  </si>
  <si>
    <t>Self Administered</t>
  </si>
  <si>
    <t>Those who responded to the questionnaire.</t>
  </si>
  <si>
    <t>"For pregnancies no more thatn eight weeks' gestation, 98% of facilities will provide services. Only three providers are know to perform third-trimester abortions, although others may occasioaly perform such procedures. Facilities with high abortion caseoads tend to have higher minimum gestational limits than those that perform only a few abortions. Thirty-three percent estimated the interval [how long it takes to get an appointment] at 1-3 days, 17% at 5-6 days, 18% at seven days, and 14% at more than seven days. Abortion providers report that a large majority of abortions are paid for by the patients themselves rather than by insurance. In all, 55% of non hospital providers reported expriencing at least one of the 10 listed types of harassment during 1992. Their [providers] responses indicate that providers see harassment and other expressions of antiabortion sentiment in the community as their most important problem with rspect to abortion. "</t>
  </si>
  <si>
    <t>"8% of women having abortions in nonhospital facilities in 1992 traveled more than 100 miles for abortion services, and an additional 16% traveled 50-100 miles. The need to travel long distances was greatest in the East South Central census division, where an estimated 15% of those having abortions in nonhospital facilities lived more than 100 miles from the provider and about 31% lived 50-100 miles away. Distances traveled were also above average in the other noncoastal census divisions except the East North Central region. "</t>
  </si>
  <si>
    <t>Distance from a provider is often a problem, especially for women who need a second- trimester procedure.</t>
  </si>
  <si>
    <t xml:space="preserve">Limitations: Volunteer/ Selection Bias.  </t>
  </si>
  <si>
    <t>Abortion in the United States 1978- 1979</t>
  </si>
  <si>
    <t>A comprehensive national report of the abortions provided in the United States by The Alan Guttmacher Institute of health institutions and private physicians.</t>
  </si>
  <si>
    <t>abortion Providers</t>
  </si>
  <si>
    <t>1978-first quarter of 1979</t>
  </si>
  <si>
    <t>Those who responded</t>
  </si>
  <si>
    <t>Telephone survey</t>
  </si>
  <si>
    <t>"thirty four percent of women estimated ot be in need of abortion services were unable to obtain them in 1978 and 29 percent could not get them in 1979. .. Only 5% of abortions are performed in nonmetropolitan ares, where 26% of women in need live. In both 1978 adn 1979, about 3% of women of reproductive age obtained legal abortions, and about 30% of women who were pregnant chose to terminate those pregnancies by abortion. Studies indicate that restrictions on Medicaid funding of abortions comeplled 18,000-30,000 women to haveunintended births in 1978- births they could have otherwised terminated by abortion. The legal aboriton rate continued its long term rise, reachign a level of 28.2 abortions per 1,00 women of reproductive age in 1978 adn a projected level of 30.2 in 1979. The U.S abortion rate falls in the middle range of rates for countries where abortion in legal and data are available. The vast majority of abortions were performed inmetropolitan areas: only 4% were carried out in non metropolitan areas"</t>
  </si>
  <si>
    <t>only eight percent (a total of
 113,000) of women who obtained abortions in
 1978 had to cross state lines to do so, a much
 larger proportion had to travel, often considerable
 distances, to get to the major cities in
 their states where most abortion facilities are
 located. In five states where few abortion
 facilities were available, about half of the
 women who obtained abortions had to go
 outside of the state to obtain the procedure.
 (</t>
  </si>
  <si>
    <t>In the five states with the most adequateIn states with low occurrence rates, many
 women obtained abortions outside their own
 states, presumably because services were
 not available locally. Geographical distance from a service provider may pose a significant barrier ot the utilization of abortion services to cross a state line to obtain the procedure.</t>
  </si>
  <si>
    <t>Characteristics of Abortion Patients in the United States, 1979 and 1980</t>
  </si>
  <si>
    <t>"As part of its ongoing efforts to montor abortion services in the United States, The Alan Guttmacher Institute (AGI) has estimated the number of women obtaining abortion services, accordig to selected characterisitics, for each year since 1973."</t>
  </si>
  <si>
    <t>1974-1980</t>
  </si>
  <si>
    <t>Data from AGI and CDC</t>
  </si>
  <si>
    <t>Data used in the calculations are the numbers of abortions occuring in each state,as derived from the AGI survey of all identified abortion providers, and the percentage distribution of women obtaining abortions, according to various characteristics, as compiled by the US CDC.</t>
  </si>
  <si>
    <t>regression analysis</t>
  </si>
  <si>
    <t>"The United States has a high concentration of abortions among younger women and unmarried women. It appears that women at all educational levels above the eigth grade have abortions at about the same rate. When favced with unintended pregnancy, non whites choose abortion only slightly more than whites. The proportion of abortions performed in hospitals has declined, hospitals are still important source of abortion services for non white women and women with little education, particularly in states which pay for Medicare abortions"</t>
  </si>
  <si>
    <t>About six percent of U. S. residents obtainting abortions in 1980 traveled outside their home states to do so, often because of lack ol services closer to home; in addition, an es- timated 27 percent went outside their home county" " Between 1979- 1980, about hald of the states experienced a reduction in the proportion of residents who went out of states for abortion services" "Women who travel outside their home states and home counties tend to have abortions at slightly later gestational age than those who obtain abortions locally. The mean gestation among women who obtained abortions out of state in 1979 was 9.3 weeks compareed with 9.1 weeks for women obtaining abortions in their state of residence."</t>
  </si>
  <si>
    <t>"Travel outside one's county of residence is associated with a five-day delay in obtaining abortion services. Residence in a non- metropolitan county results in an average of delay of one and a half days in obtaining the abortion, probably because on average women in nonmetropolitan counties must travel longer distance tfor abortions services than women in metropolitan counties. "</t>
  </si>
  <si>
    <t>The accessibility of abortion services in the United States.</t>
  </si>
  <si>
    <t>"This article focuses on the aspects of abortion services that affect their accessibility to the women who need them"</t>
  </si>
  <si>
    <t>" A great deal of attention has been focused on the number and characteristics of women who have abortions each year and on the implications of recent court decisions imposing new restrictions. Abortion services themselves, however, and their accessibility to the women who need them, have not received much attention."</t>
  </si>
  <si>
    <t>Providers estimate proportion o f patients traveling 50-100 miles and those traveling more than 100 miles to reach the facility.</t>
  </si>
  <si>
    <t>Alan Guttmacher Institute (AGI) Survey , telephone</t>
  </si>
  <si>
    <t>"Number of the first- and second-trimester abortions performed in the facilities, facility licensing , the provision of services to non abortion patients, fees charged for abortions and related services, the distance traveled by patients, harassment of staff and clients, the provision of late abortionsand abortions to women testing positive for the human immunodefiency virus(HIV), and thprovision of counseling"</t>
  </si>
  <si>
    <t>National, US</t>
  </si>
  <si>
    <t>"The prportion [of clinic abortions] in 1988 was 64%. %4% of non hospital facilties say they provide more than one options- counseling session for a patient, if necessary.Physician ho perform abortions in their offiec are slightly less likely to offer extensive counseling than are either abortion clinics or other clinics. In 1989, the average abortion clinic charged $245 for an abortion performed with local anesthesia at 10 weeks since the onset of the last menstrual period. Average charges for a first-trimester abortion were somewhat higher ($294) in clinics not specializing in abortion services, and were much higher ($360) in physicians' offices.In nonhospital facilities, charges rise steeply from an average of $500-$600 at 16 weeks to $900-$1,000 at 20 weeks, with physicians' offices again charging more than clinics. The average charge in hospitals — $1339 for outpatient curettage procedures done at 16 weeks and $1,605 for those at 20 weeks. In 1988, the proportion of facilities reporting harassment was similar to that in 1985: Forty-nine percent of all nonhospital facilities, and 85 percent of the larger facilities (those reporting 400 or more abortions in 1988), had been the target of at least one of the six forms of harassment specified in the questionnaire.</t>
  </si>
  <si>
    <t>"In 1988, an estimated 27 percent of nonhospital abortion patients in the United States traveled at least 50 miles from their homes to reach the clinic; 18 percent traveled 50-100 miles and nine percent made over a 100 mile trip. The distances traveled are shorter in the Pacific and Mountain states because the population is concentrated in large cities where providers and services are widely available.</t>
  </si>
  <si>
    <t>"While the system appears to work well for the majority of women, many must overcome significant barriers to gain access to services. These barriers include the following:
 Distance to providers. Lack of local services means that women must seek information about, and possibly be referred to, unfamiliar providers and may be unable to assess the quality of care they are likely to receive."</t>
  </si>
  <si>
    <t>Jewell</t>
  </si>
  <si>
    <t>The Social Science Journal</t>
  </si>
  <si>
    <t>An Economic Analysis of Abortion: The Effect of Travel Cost on Teenagers</t>
  </si>
  <si>
    <t>Estimate the responsivenedd ot teenage abortion rates to variations in the local availability of abortion providers.</t>
  </si>
  <si>
    <t>Texas Department of Health</t>
  </si>
  <si>
    <t>1992 and 1993</t>
  </si>
  <si>
    <t>All abortions to Texas women ages 13 - 17 in Texas in 1992 and 1993, county level data on all counties</t>
  </si>
  <si>
    <t>Number of abortions per women resident 13 - 17 in each county, and number of abortions per pregnancy of women 13 to 17 years of age.</t>
  </si>
  <si>
    <t>Travel cost = travel distance in road miles from center of each county to nearest city with an abortion provider X county median income per minute</t>
  </si>
  <si>
    <t xml:space="preserve">female employment conditions, % county that is white, % failies with 2 parent household. Religious affiliation, </t>
  </si>
  <si>
    <t>254 counties (modeling rates by county)</t>
  </si>
  <si>
    <t>Log-Linear model, weighted least squares linear probability function</t>
  </si>
  <si>
    <t>% households in poverty, % high schoole ducation, % female employment, % married households, % Catholic, % Baptist, % White, % urbanized, family planning clinics per 1000</t>
  </si>
  <si>
    <t>Counties with providers, counties without providers</t>
  </si>
  <si>
    <t>254 counties</t>
  </si>
  <si>
    <t>Demographics reported as % by county</t>
  </si>
  <si>
    <t>Counties with higher travel costs have lower teenage abortion rates</t>
  </si>
  <si>
    <t xml:space="preserve">Mean travel cost in a county that currently has abortion privders is $3.61 and $15.48 in counties without abortion providers. In their model, travel cost is negatively associated with the abortion rate both per woman and per pregnancy. Overall mean travel costs is $14.59, a $1.00 increas in travel cost results in a .86% decrease in abortion rate per woman and .67% decrease in the abortion rate per pregnancy. </t>
  </si>
  <si>
    <t>causual language without strong case for exchangeability of counterfactual experience!!</t>
  </si>
  <si>
    <t>Johns</t>
  </si>
  <si>
    <t>BMC Health Services Research</t>
  </si>
  <si>
    <t>Distance traveled for Medicaid-covered abortion care in California</t>
  </si>
  <si>
    <t>We examine the distances women travel for Medi-Cal-covered abortion care in California, the factors associated with traveling longer distances, and the facilities offering abortion care to Medi-Cal beneficiaries using a unique dataset on abortions covered by California’s state Medicaid program in 2011 and 2012.</t>
  </si>
  <si>
    <t>Retrospective cohort study</t>
  </si>
  <si>
    <t>Medi-Cal abortion claims data</t>
  </si>
  <si>
    <t>2011-2012</t>
  </si>
  <si>
    <t>All abortion claims covered by fee for service Medi-Cal program in 2011 &amp; 2012</t>
  </si>
  <si>
    <t>city/state/zipcode of residence</t>
  </si>
  <si>
    <t>distance traveled</t>
  </si>
  <si>
    <t>billing (MediCal)</t>
  </si>
  <si>
    <t>35,431 abortions to 32,582 women</t>
  </si>
  <si>
    <t>Mean travel distance was 23.5 miles, 12% traveled more than 50 miles. Teens, Hispanic/Asian women, medication abortion less likely to travel 50+ miles. Women getting second trimester/later abortion, going to hospital, rural women more likely to travel 50+ miles.</t>
  </si>
  <si>
    <t xml:space="preserve">Jones </t>
  </si>
  <si>
    <t>Journal of Womens Health</t>
  </si>
  <si>
    <t>How Far Did US Women Travel for Abortion Services in 2008?</t>
  </si>
  <si>
    <t>"This study uses data from a national sample of abortion patients to asses how far women traveled for abortion services in 2008 and which groups of women traveled farther. "</t>
  </si>
  <si>
    <t>"The study will serve as a baseline for monitoring further trends in distance traveled, as since 2008 a number of states have implemented restrictions around abortion services that may require women to travel farther and prevent some from accessing aortion services at all."</t>
  </si>
  <si>
    <t>National- US</t>
  </si>
  <si>
    <t>random sampling of 107 clincis</t>
  </si>
  <si>
    <t>Categorica measure of distacnce traveled to the facility. Less than 25 miles, 25–49
 miles, 50–100 miles and &gt; 100 miles.</t>
  </si>
  <si>
    <t>the starting and ending points were generated from the latitude
 and longitude based on the centroid of the woman’s zip
 code and the centroid of the zip code of the provider where
 she obtained the abortion.</t>
  </si>
  <si>
    <t>Control Variables: age, race/ethnicity, nativity, method of payment of abortion, whether the respondent lived in a metropolitan statistical area, and whether she crossed state lines to obtain an abortion</t>
  </si>
  <si>
    <t>Data from 2008 Abortion Patient Survey , self administered</t>
  </si>
  <si>
    <t>self administered surveys - english and spanish</t>
  </si>
  <si>
    <t>9,493 women</t>
  </si>
  <si>
    <t>Chi Square, ordered logistic regression models , stepwise regression, Wald testing</t>
  </si>
  <si>
    <t>A chi- squared analysis was used to compare available characteristics.</t>
  </si>
  <si>
    <t>waiting period, highest level of education, poverty statsus, gestation , zipcode, age, race/ethnicity, nativity, method of payment</t>
  </si>
  <si>
    <t>"10% of the sample lived in a state that required two in-person visits prior to the procedure, and an additional 31% lived in a state with a waiting period that did not require two visits"</t>
  </si>
  <si>
    <t>"approximately two-thirds of abortion patients,
 67%, traveled less than 25 miles, and 16% traveled 25–49 miles, 6 % traveled more than 100 miles to obtain abortions.Women traveled a mean distance of 30 miles for
 abortion services, with a median of 15 miles.women
 who lived in a state with a 24-hour waiting periodwere at least
 four times as likely to have traveled 100 or more miles than
 women who lived in a state with no waiting period, regardless
 of whether two visits were required. The proportion of white women whotraveled more than 100 miles (9%) was higher than that for all
 other groups, and Hispanic women were least likely to travel
 this far,The proportion of women born outside the US
 who obtained abortions within 25 miles of their home (81%)
 was substantially higher than the proportion of native-born
 women (66%). " There were associations between distance traveled and: education, gestational age, waiting period, race and if they lived in a metropolitan statistical area</t>
  </si>
  <si>
    <t>"Factors such as cost, accessibility, and preference for a particular provider are factors that can influence where women go for abortion care services. For some women, ability to travel longer distances may be beneficial or positive option."</t>
  </si>
  <si>
    <t>"Twelve percent of the sample was missing data that would have allowed us to estimate distance traveled. Non-white, poor, and less educated women were less likely to provide this information, and as a such the sample was biased."</t>
  </si>
  <si>
    <t>Women's Health Issues</t>
  </si>
  <si>
    <t xml:space="preserve">At What Cost? Payment for Abortion Care by U.S Women </t>
  </si>
  <si>
    <t>study explores how women procure funds for abortion services</t>
  </si>
  <si>
    <t>most abortion patients are poor or low income and still have to pay several hundred dollars in out of pocket costs for abortion services</t>
  </si>
  <si>
    <t>major cities in Arkansas, California, Georgia, Illinois, New Jersey, and Texas</t>
  </si>
  <si>
    <t>6 abortion providers in the United States</t>
  </si>
  <si>
    <t>between May and July 2011</t>
  </si>
  <si>
    <t>were a patient at the clinic seeking an abortion 
15 years of age or older
spoke English or Spanish</t>
  </si>
  <si>
    <t xml:space="preserve">women in waiting room for abortion or abortion follow up appointment </t>
  </si>
  <si>
    <t>purposive sample</t>
  </si>
  <si>
    <t>amount paid for abortion; health insurance coverage</t>
  </si>
  <si>
    <t>where and how those funds were obtained; the relative ease or difficulty paying for the abortion; out of pocket expenses related to transportation, lodging, childcare etc, women's emotions related to obtaining the financial resources to pay for abortion care</t>
  </si>
  <si>
    <t>travel conceptualized as an additional financial outcome</t>
  </si>
  <si>
    <t>birth control history, experiences with current sex partners, experiences with family planning services</t>
  </si>
  <si>
    <t>None mentioned. "Most abortion patients invited to participate"- not sure what this means but it may indicate selection bias</t>
  </si>
  <si>
    <t>little discussed</t>
  </si>
  <si>
    <r>
      <t xml:space="preserve">Age: </t>
    </r>
    <r>
      <rPr>
        <b/>
        <sz val="10"/>
        <rFont val="Arial"/>
        <family val="2"/>
      </rPr>
      <t xml:space="preserve">&lt;20 </t>
    </r>
    <r>
      <rPr>
        <sz val="10"/>
        <color rgb="FF000000"/>
        <rFont val="Arial"/>
        <family val="2"/>
      </rPr>
      <t xml:space="preserve">17.4 </t>
    </r>
    <r>
      <rPr>
        <b/>
        <sz val="10"/>
        <rFont val="Arial"/>
        <family val="2"/>
      </rPr>
      <t xml:space="preserve">20–24 </t>
    </r>
    <r>
      <rPr>
        <sz val="10"/>
        <color rgb="FF000000"/>
        <rFont val="Arial"/>
        <family val="2"/>
      </rPr>
      <t xml:space="preserve">34.3 </t>
    </r>
    <r>
      <rPr>
        <b/>
        <sz val="10"/>
        <rFont val="Arial"/>
        <family val="2"/>
      </rPr>
      <t>25–29</t>
    </r>
    <r>
      <rPr>
        <sz val="10"/>
        <color rgb="FF000000"/>
        <rFont val="Arial"/>
        <family val="2"/>
      </rPr>
      <t xml:space="preserve"> 23.9  </t>
    </r>
    <r>
      <rPr>
        <b/>
        <sz val="10"/>
        <rFont val="Arial"/>
        <family val="2"/>
      </rPr>
      <t>30–34</t>
    </r>
    <r>
      <rPr>
        <sz val="10"/>
        <color rgb="FF000000"/>
        <rFont val="Arial"/>
        <family val="2"/>
      </rPr>
      <t xml:space="preserve"> 14.4  </t>
    </r>
    <r>
      <rPr>
        <b/>
        <sz val="10"/>
        <rFont val="Arial"/>
        <family val="2"/>
      </rPr>
      <t>35–39</t>
    </r>
    <r>
      <rPr>
        <sz val="10"/>
        <color rgb="FF000000"/>
        <rFont val="Arial"/>
        <family val="2"/>
      </rPr>
      <t xml:space="preserve"> 7.2  </t>
    </r>
    <r>
      <rPr>
        <b/>
        <sz val="10"/>
        <rFont val="Arial"/>
        <family val="2"/>
      </rPr>
      <t>40</t>
    </r>
    <r>
      <rPr>
        <sz val="10"/>
        <color rgb="FF000000"/>
        <rFont val="Arial"/>
        <family val="2"/>
      </rPr>
      <t xml:space="preserve"> 2.8
Union Status: </t>
    </r>
    <r>
      <rPr>
        <b/>
        <sz val="10"/>
        <rFont val="Arial"/>
        <family val="2"/>
      </rPr>
      <t xml:space="preserve">Married </t>
    </r>
    <r>
      <rPr>
        <sz val="10"/>
        <color rgb="FF000000"/>
        <rFont val="Arial"/>
        <family val="2"/>
      </rPr>
      <t xml:space="preserve">12.3 </t>
    </r>
    <r>
      <rPr>
        <b/>
        <sz val="10"/>
        <rFont val="Arial"/>
        <family val="2"/>
      </rPr>
      <t xml:space="preserve">Cohabiting, not married </t>
    </r>
    <r>
      <rPr>
        <sz val="10"/>
        <color rgb="FF000000"/>
        <rFont val="Arial"/>
        <family val="2"/>
      </rPr>
      <t>21.3 2</t>
    </r>
    <r>
      <rPr>
        <b/>
        <sz val="10"/>
        <rFont val="Arial"/>
        <family val="2"/>
      </rPr>
      <t xml:space="preserve"> Not currently married</t>
    </r>
    <r>
      <rPr>
        <sz val="10"/>
        <color rgb="FF000000"/>
        <rFont val="Arial"/>
        <family val="2"/>
      </rPr>
      <t xml:space="preserve"> 66.4
Race and ethnicity: </t>
    </r>
    <r>
      <rPr>
        <b/>
        <sz val="10"/>
        <rFont val="Arial"/>
        <family val="2"/>
      </rPr>
      <t>Non-Hispanic White</t>
    </r>
    <r>
      <rPr>
        <sz val="10"/>
        <color rgb="FF000000"/>
        <rFont val="Arial"/>
        <family val="2"/>
      </rPr>
      <t xml:space="preserve"> 25.2</t>
    </r>
    <r>
      <rPr>
        <b/>
        <sz val="10"/>
        <rFont val="Arial"/>
        <family val="2"/>
      </rPr>
      <t xml:space="preserve"> Non-Hispanic Black</t>
    </r>
    <r>
      <rPr>
        <sz val="10"/>
        <color rgb="FF000000"/>
        <rFont val="Arial"/>
        <family val="2"/>
      </rPr>
      <t xml:space="preserve"> 48.8 </t>
    </r>
    <r>
      <rPr>
        <b/>
        <sz val="10"/>
        <rFont val="Arial"/>
        <family val="2"/>
      </rPr>
      <t>Non-Hispanic other</t>
    </r>
    <r>
      <rPr>
        <sz val="10"/>
        <color rgb="FF000000"/>
        <rFont val="Arial"/>
        <family val="2"/>
      </rPr>
      <t xml:space="preserve"> 7.5
</t>
    </r>
    <r>
      <rPr>
        <b/>
        <sz val="10"/>
        <rFont val="Arial"/>
        <family val="2"/>
      </rPr>
      <t xml:space="preserve">Hispanic </t>
    </r>
    <r>
      <rPr>
        <sz val="10"/>
        <color rgb="FF000000"/>
        <rFont val="Arial"/>
        <family val="2"/>
      </rPr>
      <t xml:space="preserve">16.7 </t>
    </r>
    <r>
      <rPr>
        <b/>
        <sz val="10"/>
        <rFont val="Arial"/>
        <family val="2"/>
      </rPr>
      <t>Missing/NA</t>
    </r>
    <r>
      <rPr>
        <sz val="10"/>
        <color rgb="FF000000"/>
        <rFont val="Arial"/>
        <family val="2"/>
      </rPr>
      <t xml:space="preserve"> 1.7
Education: </t>
    </r>
    <r>
      <rPr>
        <b/>
        <sz val="10"/>
        <rFont val="Arial"/>
        <family val="2"/>
      </rPr>
      <t>Less than high school</t>
    </r>
    <r>
      <rPr>
        <sz val="10"/>
        <color rgb="FF000000"/>
        <rFont val="Arial"/>
        <family val="2"/>
      </rPr>
      <t xml:space="preserve"> 14.4  </t>
    </r>
    <r>
      <rPr>
        <b/>
        <sz val="10"/>
        <rFont val="Arial"/>
        <family val="2"/>
      </rPr>
      <t xml:space="preserve">High school graduate/GED </t>
    </r>
    <r>
      <rPr>
        <sz val="10"/>
        <color rgb="FF000000"/>
        <rFont val="Arial"/>
        <family val="2"/>
      </rPr>
      <t xml:space="preserve">31.8  </t>
    </r>
    <r>
      <rPr>
        <b/>
        <sz val="10"/>
        <rFont val="Arial"/>
        <family val="2"/>
      </rPr>
      <t xml:space="preserve">Some college/associate degree </t>
    </r>
    <r>
      <rPr>
        <sz val="10"/>
        <color rgb="FF000000"/>
        <rFont val="Arial"/>
        <family val="2"/>
      </rPr>
      <t xml:space="preserve">37.8  </t>
    </r>
    <r>
      <rPr>
        <b/>
        <sz val="10"/>
        <rFont val="Arial"/>
        <family val="2"/>
      </rPr>
      <t xml:space="preserve">College graduate or higher </t>
    </r>
    <r>
      <rPr>
        <sz val="10"/>
        <color rgb="FF000000"/>
        <rFont val="Arial"/>
        <family val="2"/>
      </rPr>
      <t>16.0
Prior births:</t>
    </r>
    <r>
      <rPr>
        <b/>
        <sz val="10"/>
        <rFont val="Arial"/>
        <family val="2"/>
      </rPr>
      <t xml:space="preserve"> 0</t>
    </r>
    <r>
      <rPr>
        <sz val="10"/>
        <color rgb="FF000000"/>
        <rFont val="Arial"/>
        <family val="2"/>
      </rPr>
      <t xml:space="preserve"> 40.2 </t>
    </r>
    <r>
      <rPr>
        <b/>
        <sz val="10"/>
        <rFont val="Arial"/>
        <family val="2"/>
      </rPr>
      <t>1</t>
    </r>
    <r>
      <rPr>
        <sz val="10"/>
        <color rgb="FF000000"/>
        <rFont val="Arial"/>
        <family val="2"/>
      </rPr>
      <t xml:space="preserve"> 27.5 </t>
    </r>
    <r>
      <rPr>
        <b/>
        <sz val="10"/>
        <rFont val="Arial"/>
        <family val="2"/>
      </rPr>
      <t>2</t>
    </r>
    <r>
      <rPr>
        <sz val="10"/>
        <color rgb="FF000000"/>
        <rFont val="Arial"/>
        <family val="2"/>
      </rPr>
      <t xml:space="preserve"> 32.3
Prior abortions: </t>
    </r>
    <r>
      <rPr>
        <b/>
        <sz val="10"/>
        <rFont val="Arial"/>
        <family val="2"/>
      </rPr>
      <t>0</t>
    </r>
    <r>
      <rPr>
        <sz val="10"/>
        <color rgb="FF000000"/>
        <rFont val="Arial"/>
        <family val="2"/>
      </rPr>
      <t xml:space="preserve"> 45.9 </t>
    </r>
    <r>
      <rPr>
        <b/>
        <sz val="10"/>
        <rFont val="Arial"/>
        <family val="2"/>
      </rPr>
      <t xml:space="preserve"> 1 </t>
    </r>
    <r>
      <rPr>
        <sz val="10"/>
        <color rgb="FF000000"/>
        <rFont val="Arial"/>
        <family val="2"/>
      </rPr>
      <t xml:space="preserve">30.0  </t>
    </r>
    <r>
      <rPr>
        <b/>
        <sz val="10"/>
        <rFont val="Arial"/>
        <family val="2"/>
      </rPr>
      <t>2</t>
    </r>
    <r>
      <rPr>
        <sz val="10"/>
        <color rgb="FF000000"/>
        <rFont val="Arial"/>
        <family val="2"/>
      </rPr>
      <t xml:space="preserve"> 24.1
Poverty status:</t>
    </r>
    <r>
      <rPr>
        <b/>
        <sz val="10"/>
        <rFont val="Arial"/>
        <family val="2"/>
      </rPr>
      <t xml:space="preserve"> &lt;100% </t>
    </r>
    <r>
      <rPr>
        <sz val="10"/>
        <color rgb="FF000000"/>
        <rFont val="Arial"/>
        <family val="2"/>
      </rPr>
      <t xml:space="preserve">53.9  </t>
    </r>
    <r>
      <rPr>
        <b/>
        <sz val="10"/>
        <rFont val="Arial"/>
        <family val="2"/>
      </rPr>
      <t xml:space="preserve">100%–199% </t>
    </r>
    <r>
      <rPr>
        <sz val="10"/>
        <color rgb="FF000000"/>
        <rFont val="Arial"/>
        <family val="2"/>
      </rPr>
      <t xml:space="preserve">27.5 </t>
    </r>
    <r>
      <rPr>
        <b/>
        <sz val="10"/>
        <rFont val="Arial"/>
        <family val="2"/>
      </rPr>
      <t>200%</t>
    </r>
    <r>
      <rPr>
        <sz val="10"/>
        <color rgb="FF000000"/>
        <rFont val="Arial"/>
        <family val="2"/>
      </rPr>
      <t xml:space="preserve"> 18.5
Health insurance coverage: Medicaid 33.8 31.0
“Presumptive” coverage 7.7 NA
Private or other 30.6
None 35.6</t>
    </r>
  </si>
  <si>
    <t xml:space="preserve">Only 36% of the sample lacked health insurance, but at least 69% were paying out of pocket for abortion care. Women were twice as likely to pay using Medicaid (16% of abortions) than private health insurance (7%). The most common reason women were not using private insurance was because it did not cover the procedure (46%), or they were unsure if it was covered (29%). Among women who did not use insurance for their abortion, 52% found it difficult to pay for the procedure. One half of patients relied on someone else to help cover costs, most commonly the man involved in the pregnancy. Most women incurred ancillary expenses in the form of transportation (mean, $44), and a minority also reported lost wages (mean, $198), childcare expenses (mean, $57) and other travel-related costs (mean, $140). Substantial minorities also delayed or did not pay bills such as rent (14%), food (16%), or utilities and other bills (30%) to pay for the abortion.
</t>
  </si>
  <si>
    <t xml:space="preserve">Travel seen as an additional cost: A majority of women in the study incur ancillary expenses such as travel, transportation, childcare services
Travel results seen in Table 5: Insurance and Payment Profiles for First and Second Trimester Abortion Patients
</t>
  </si>
  <si>
    <t>Since most of the women seeking abortions in the United States have limited financial resouces, even if the cost of travel is much smaller than the actual abortion cost, these small expenses can ultimately determine whether a low income woman actually gets an abortion or not</t>
  </si>
  <si>
    <t>Compares study sample to the national sample in order to show and provide evidence for costs of abortion</t>
  </si>
  <si>
    <t>not representative of all U.S abortion patients. Black women and poor women were overrepresented.
Some findings may be distorted: ie among the larger population of abortion patients a lower proportion might obtain money from friends, partners, or family members because they are better off financially and obtaining lower cost, first trimester procedures</t>
  </si>
  <si>
    <t>Understand how women are effected by abortion cost under the Affordable Care Act</t>
  </si>
  <si>
    <t xml:space="preserve">This is a great article to use because when concerning travel the main argument is that even if travel costs may seem small, for low income women this can pose as a significant burden to access abortion coverage and could ultimately determine if a woman chooses to terminate or continue an unwanted pregnancy. This is a great foundational argument for the larger European travel study </t>
  </si>
  <si>
    <t>Joyce</t>
  </si>
  <si>
    <t>Journal of Health Economics</t>
  </si>
  <si>
    <t>Abortion before &amp; after Roe</t>
  </si>
  <si>
    <t>"Analyze changes in availability of abortion services before and after Roe.  Use two suply shocks following early legalization of abortion in New York and then national legalization with Roe to identify the effect of distance to a legal abortion provider on abortion rates. "</t>
  </si>
  <si>
    <t>Observational Retrospective (Not Stated)</t>
  </si>
  <si>
    <t>1971-1975</t>
  </si>
  <si>
    <t>"Regression on abortion rate and distance: distance to abortion provider in New York, year, if the state had reformed its abortion laws or repealed its abortion laws. Insured unemployment rate, per capita income, the percent of the female population that was nonwhite. Dichotomous indicator of whether state policies allowed women less than 21 years of age to pbtain the contraception pill without parental consent."</t>
  </si>
  <si>
    <t>abortion rate for a specific age or racial group in a particular state in a particular year</t>
  </si>
  <si>
    <t xml:space="preserve">The authors averaged the county-level distances weighted by the county-level population of women 15–44 years of age to arrive at the average distance to the nearest abortion provider within NewYork. 
 They also computed distance to the nearest legal abortion providerin any state from 1970 to 1975. 
 </t>
  </si>
  <si>
    <t>national natality data, data from the NY state department of health (abortion services), CDC reported abortions</t>
  </si>
  <si>
    <t>state data; national data</t>
  </si>
  <si>
    <t>linear regression</t>
  </si>
  <si>
    <t>first order interactions</t>
  </si>
  <si>
    <t>Sensitivity Analysis without New York</t>
  </si>
  <si>
    <t>Aggregate data by state of residence: age, race, and year</t>
  </si>
  <si>
    <t>Drop in distance post Roe was not commensurate with a drop in birth rates.</t>
  </si>
  <si>
    <t>"The midpoint, 233 miles, is the average distance to New York in the 13- state sample excluding New York. The mean distance for the full sample is 828 miles. The overall abortion rate falls by 1.02 abortions per 1000 women 15–44 years of age when distance increases from 183 to 283 miles.(prior to Roe)" "...Race captures gross differences in socioeconomic status, then less advantaged women appear more sensitive to the costs associated with travel distance" "by1975 abortion services in New York were largely irrelevant to non-residents " Distance to nearest legal abortion provider by four state groupings between 1972 and 1973 decreased from apprximately 521 miles on average to 29 miles in the post Roe period.</t>
  </si>
  <si>
    <t>"Roe v. Wade was arguably less important for unintended childbearing than was access to services in California, the District of Columbia and especially New York in the years before Roe. Access to legalized abortion before Roe induced thousands of women in non- repeal states to travel to repeal states for an abortion which resulted in a substantial decrease in fertility. states have imposed new requirements ofabortion providers that, if enforced, will increase the distancewomen have to travel to access services."</t>
  </si>
  <si>
    <t>"Lacks generalizability given that the data was from 1971-1975 (due to te advances in contraceptive technology and access to information. The authors address it by stating that the relationship between the availability and use of abortion sevices in the 1970s lively provied an upper bound estimate as to the effects of changes in policies today."</t>
  </si>
  <si>
    <t>Karasek</t>
  </si>
  <si>
    <t>Abortion Patients' Experience and Perceptions of Waiting Periods: Survey Evidence before Arizona's Two-visit 24-hour Mandatory Waiting Period Law</t>
  </si>
  <si>
    <t>Using abortion patient survey data, we describe the financial costs women incurred when accessing abortion, assess anticipated emotional response to a change in the law, and identify women who may be particularly affected by a 24-hour waiting period</t>
  </si>
  <si>
    <t>Arizona</t>
  </si>
  <si>
    <t>Abortion clinic</t>
  </si>
  <si>
    <t>June 2009 - June 2010</t>
  </si>
  <si>
    <t>Women over 18 seeking abortion care from this clinic</t>
  </si>
  <si>
    <t>before</t>
  </si>
  <si>
    <t>SES (poverty status) / travel costs</t>
  </si>
  <si>
    <t xml:space="preserve">travel costs, distance traveled / delay of paying other expenses, delays in care </t>
  </si>
  <si>
    <t>Income differences were significant for delays in getting care because of travel costs. Travel time was greater for women below Federal Poverty Level and they paid more in travel costs (transportation, overnight stay).</t>
  </si>
  <si>
    <t>Kiley</t>
  </si>
  <si>
    <t>Delays in request for pregnancy termination: comparison of patients in the first and second trimesters</t>
  </si>
  <si>
    <t>identify protective and risk factors associated with women who delay requesting abortions until the second trimester</t>
  </si>
  <si>
    <t>Chicago, Illinois</t>
  </si>
  <si>
    <t>a single freestanding family clinic</t>
  </si>
  <si>
    <t>between July 2007 and July 2008</t>
  </si>
  <si>
    <t>spoke English
18 years or older
presenting for surgical abortion for all indications excluding fetal anomaly or fetal demise</t>
  </si>
  <si>
    <t>difficulty finding money; fear of procedure; traveled more than 81 miles to get procedure; employment outside of home</t>
  </si>
  <si>
    <t>delay in care; second trimester abortions; gestational age</t>
  </si>
  <si>
    <t>distance traveled to clinic in miles</t>
  </si>
  <si>
    <t>self-administered questionnaire; medical records</t>
  </si>
  <si>
    <t xml:space="preserve">Surveys adapted through existing surveys incorporating reproductive health topics. During assessment for face validity researchers and clinicians reviewed the survey and it was pilot-tested on patients. </t>
  </si>
  <si>
    <t>Chi-square tests used in order to assess the significance of univariate associations with trimester. Statistical analysis performed via STATA</t>
  </si>
  <si>
    <t>247 respondents. 168 presented in the first trimester and 79 in the second</t>
  </si>
  <si>
    <r>
      <t xml:space="preserve">Age group years: </t>
    </r>
    <r>
      <rPr>
        <b/>
        <sz val="10"/>
        <rFont val="Arial"/>
        <family val="2"/>
      </rPr>
      <t>18–21</t>
    </r>
    <r>
      <rPr>
        <sz val="10"/>
        <color rgb="FF000000"/>
        <rFont val="Arial"/>
        <family val="2"/>
      </rPr>
      <t xml:space="preserve"> 112 (45.3)  </t>
    </r>
    <r>
      <rPr>
        <b/>
        <sz val="10"/>
        <rFont val="Arial"/>
        <family val="2"/>
      </rPr>
      <t>22–29</t>
    </r>
    <r>
      <rPr>
        <sz val="10"/>
        <color rgb="FF000000"/>
        <rFont val="Arial"/>
        <family val="2"/>
      </rPr>
      <t xml:space="preserve"> 83 (33.6)  </t>
    </r>
    <r>
      <rPr>
        <b/>
        <sz val="10"/>
        <rFont val="Arial"/>
        <family val="2"/>
      </rPr>
      <t>30</t>
    </r>
    <r>
      <rPr>
        <sz val="10"/>
        <color rgb="FF000000"/>
        <rFont val="Arial"/>
        <family val="2"/>
      </rPr>
      <t xml:space="preserve"> 52 (21.1)
Race/ethnicity:</t>
    </r>
    <r>
      <rPr>
        <b/>
        <sz val="10"/>
        <rFont val="Arial"/>
        <family val="2"/>
      </rPr>
      <t xml:space="preserve"> Black </t>
    </r>
    <r>
      <rPr>
        <sz val="10"/>
        <color rgb="FF000000"/>
        <rFont val="Arial"/>
        <family val="2"/>
      </rPr>
      <t xml:space="preserve">109 (44.1)  </t>
    </r>
    <r>
      <rPr>
        <b/>
        <sz val="10"/>
        <rFont val="Arial"/>
        <family val="2"/>
      </rPr>
      <t>Latina</t>
    </r>
    <r>
      <rPr>
        <sz val="10"/>
        <color rgb="FF000000"/>
        <rFont val="Arial"/>
        <family val="2"/>
      </rPr>
      <t xml:space="preserve"> 53 (21.5) </t>
    </r>
    <r>
      <rPr>
        <b/>
        <sz val="10"/>
        <rFont val="Arial"/>
        <family val="2"/>
      </rPr>
      <t>White</t>
    </r>
    <r>
      <rPr>
        <sz val="10"/>
        <color rgb="FF000000"/>
        <rFont val="Arial"/>
        <family val="2"/>
      </rPr>
      <t xml:space="preserve"> 85 (34.4)
Marital status: </t>
    </r>
    <r>
      <rPr>
        <b/>
        <sz val="10"/>
        <rFont val="Arial"/>
        <family val="2"/>
      </rPr>
      <t>Single or divorced</t>
    </r>
    <r>
      <rPr>
        <sz val="10"/>
        <color rgb="FF000000"/>
        <rFont val="Arial"/>
        <family val="2"/>
      </rPr>
      <t xml:space="preserve"> 210 (85.0)  </t>
    </r>
    <r>
      <rPr>
        <b/>
        <sz val="10"/>
        <rFont val="Arial"/>
        <family val="2"/>
      </rPr>
      <t>Married</t>
    </r>
    <r>
      <rPr>
        <sz val="10"/>
        <color rgb="FF000000"/>
        <rFont val="Arial"/>
        <family val="2"/>
      </rPr>
      <t xml:space="preserve"> 37 (15.0)
Education status: </t>
    </r>
    <r>
      <rPr>
        <b/>
        <sz val="10"/>
        <rFont val="Arial"/>
        <family val="2"/>
      </rPr>
      <t>High school graduate or less</t>
    </r>
    <r>
      <rPr>
        <sz val="10"/>
        <color rgb="FF000000"/>
        <rFont val="Arial"/>
        <family val="2"/>
      </rPr>
      <t xml:space="preserve"> 77 (31.2)  </t>
    </r>
    <r>
      <rPr>
        <b/>
        <sz val="10"/>
        <rFont val="Arial"/>
        <family val="2"/>
      </rPr>
      <t xml:space="preserve">Attended college and/or graduate school </t>
    </r>
    <r>
      <rPr>
        <sz val="10"/>
        <color rgb="FF000000"/>
        <rFont val="Arial"/>
        <family val="2"/>
      </rPr>
      <t xml:space="preserve">170 (68.8)
</t>
    </r>
    <r>
      <rPr>
        <i/>
        <sz val="10"/>
        <rFont val="Arial"/>
        <family val="2"/>
      </rPr>
      <t>Economic variables</t>
    </r>
    <r>
      <rPr>
        <sz val="10"/>
        <color rgb="FF000000"/>
        <rFont val="Arial"/>
        <family val="2"/>
      </rPr>
      <t xml:space="preserve">: </t>
    </r>
    <r>
      <rPr>
        <b/>
        <sz val="10"/>
        <rFont val="Arial"/>
        <family val="2"/>
      </rPr>
      <t>Employed outside of home</t>
    </r>
    <r>
      <rPr>
        <sz val="10"/>
        <color rgb="FF000000"/>
        <rFont val="Arial"/>
        <family val="2"/>
      </rPr>
      <t xml:space="preserve"> 171 (69.2)  b.0001 </t>
    </r>
    <r>
      <rPr>
        <b/>
        <sz val="10"/>
        <rFont val="Arial"/>
        <family val="2"/>
      </rPr>
      <t>Insurance status:</t>
    </r>
    <r>
      <rPr>
        <sz val="10"/>
        <color rgb="FF000000"/>
        <rFont val="Arial"/>
        <family val="2"/>
      </rPr>
      <t xml:space="preserve">
</t>
    </r>
    <r>
      <rPr>
        <b/>
        <sz val="10"/>
        <rFont val="Arial"/>
        <family val="2"/>
      </rPr>
      <t>Uninsured</t>
    </r>
    <r>
      <rPr>
        <sz val="10"/>
        <color rgb="FF000000"/>
        <rFont val="Arial"/>
        <family val="2"/>
      </rPr>
      <t xml:space="preserve"> 71 (28.7)  </t>
    </r>
    <r>
      <rPr>
        <b/>
        <sz val="10"/>
        <rFont val="Arial"/>
        <family val="2"/>
      </rPr>
      <t xml:space="preserve">Medicaid </t>
    </r>
    <r>
      <rPr>
        <sz val="10"/>
        <color rgb="FF000000"/>
        <rFont val="Arial"/>
        <family val="2"/>
      </rPr>
      <t xml:space="preserve">60 (24.3) </t>
    </r>
    <r>
      <rPr>
        <b/>
        <sz val="10"/>
        <rFont val="Arial"/>
        <family val="2"/>
      </rPr>
      <t>Private insurance</t>
    </r>
    <r>
      <rPr>
        <sz val="10"/>
        <color rgb="FF000000"/>
        <rFont val="Arial"/>
        <family val="2"/>
      </rPr>
      <t xml:space="preserve"> 116 (47.0) </t>
    </r>
    <r>
      <rPr>
        <b/>
        <sz val="10"/>
        <rFont val="Arial"/>
        <family val="2"/>
      </rPr>
      <t>Paid out of pocket for procedure</t>
    </r>
    <r>
      <rPr>
        <sz val="10"/>
        <color rgb="FF000000"/>
        <rFont val="Arial"/>
        <family val="2"/>
      </rPr>
      <t xml:space="preserve"> 168 (68.0) </t>
    </r>
    <r>
      <rPr>
        <b/>
        <sz val="10"/>
        <rFont val="Arial"/>
        <family val="2"/>
      </rPr>
      <t>Difficulty finding money for abortion</t>
    </r>
    <r>
      <rPr>
        <sz val="10"/>
        <color rgb="FF000000"/>
        <rFont val="Arial"/>
        <family val="2"/>
      </rPr>
      <t xml:space="preserve"> 87 (35.2)
</t>
    </r>
    <r>
      <rPr>
        <i/>
        <sz val="10"/>
        <rFont val="Arial"/>
        <family val="2"/>
      </rPr>
      <t xml:space="preserve">Medical Variables: </t>
    </r>
    <r>
      <rPr>
        <sz val="10"/>
        <color rgb="FF000000"/>
        <rFont val="Arial"/>
        <family val="2"/>
      </rPr>
      <t xml:space="preserve">Gravidity: </t>
    </r>
    <r>
      <rPr>
        <b/>
        <sz val="10"/>
        <rFont val="Arial"/>
        <family val="2"/>
      </rPr>
      <t>Primigravid</t>
    </r>
    <r>
      <rPr>
        <sz val="10"/>
        <color rgb="FF000000"/>
        <rFont val="Arial"/>
        <family val="2"/>
      </rPr>
      <t xml:space="preserve"> 64 (25.9)</t>
    </r>
    <r>
      <rPr>
        <b/>
        <sz val="10"/>
        <rFont val="Arial"/>
        <family val="2"/>
      </rPr>
      <t xml:space="preserve">Multigravid </t>
    </r>
    <r>
      <rPr>
        <sz val="10"/>
        <color rgb="FF000000"/>
        <rFont val="Arial"/>
        <family val="2"/>
      </rPr>
      <t xml:space="preserve">183 (74.1) 
Parity: Nulliparous 97 (39.3) Had living children 150 (60.7)
Prior abortion 117 (41.4)
</t>
    </r>
    <r>
      <rPr>
        <i/>
        <sz val="10"/>
        <rFont val="Arial"/>
        <family val="2"/>
      </rPr>
      <t xml:space="preserve">Psychological variables: </t>
    </r>
    <r>
      <rPr>
        <b/>
        <sz val="10"/>
        <rFont val="Arial"/>
        <family val="2"/>
      </rPr>
      <t>Hoped that positive pregnancy test was wrong</t>
    </r>
    <r>
      <rPr>
        <i/>
        <sz val="10"/>
        <rFont val="Arial"/>
        <family val="2"/>
      </rPr>
      <t xml:space="preserve"> </t>
    </r>
    <r>
      <rPr>
        <sz val="10"/>
        <color rgb="FF000000"/>
        <rFont val="Arial"/>
        <family val="2"/>
      </rPr>
      <t>161 (65.2)</t>
    </r>
    <r>
      <rPr>
        <i/>
        <sz val="10"/>
        <rFont val="Arial"/>
        <family val="2"/>
      </rPr>
      <t xml:space="preserve">
</t>
    </r>
    <r>
      <rPr>
        <b/>
        <sz val="10"/>
        <rFont val="Arial"/>
        <family val="2"/>
      </rPr>
      <t>Afraid of having abortion</t>
    </r>
    <r>
      <rPr>
        <i/>
        <sz val="10"/>
        <rFont val="Arial"/>
        <family val="2"/>
      </rPr>
      <t xml:space="preserve"> </t>
    </r>
    <r>
      <rPr>
        <sz val="10"/>
        <color rgb="FF000000"/>
        <rFont val="Arial"/>
        <family val="2"/>
      </rPr>
      <t xml:space="preserve">184 (74.5)
</t>
    </r>
  </si>
  <si>
    <t xml:space="preserve">Since cost of abortion services increase with later gestational age, findings that already suggest that women find it difficult to obtain money for abortion services are even more prevalent amongst second trimester patients. Demographics of women who found it difficult to afford their abortions were more likely to be young and less educated. </t>
  </si>
  <si>
    <r>
      <t xml:space="preserve">Logistical variables:
</t>
    </r>
    <r>
      <rPr>
        <b/>
        <sz val="10"/>
        <rFont val="Arial"/>
        <family val="2"/>
      </rPr>
      <t>Distance traveled to clinic, miles</t>
    </r>
    <r>
      <rPr>
        <sz val="10"/>
        <color rgb="FF000000"/>
        <rFont val="Arial"/>
        <family val="2"/>
      </rPr>
      <t xml:space="preserve">
</t>
    </r>
    <r>
      <rPr>
        <b/>
        <sz val="10"/>
        <rFont val="Arial"/>
        <family val="2"/>
      </rPr>
      <t>&lt;20</t>
    </r>
    <r>
      <rPr>
        <sz val="10"/>
        <color rgb="FF000000"/>
        <rFont val="Arial"/>
        <family val="2"/>
      </rPr>
      <t xml:space="preserve"> 96 (38.9)
</t>
    </r>
    <r>
      <rPr>
        <b/>
        <sz val="10"/>
        <rFont val="Arial"/>
        <family val="2"/>
      </rPr>
      <t>21–80</t>
    </r>
    <r>
      <rPr>
        <sz val="10"/>
        <color rgb="FF000000"/>
        <rFont val="Arial"/>
        <family val="2"/>
      </rPr>
      <t xml:space="preserve"> 115 (46.6) 
</t>
    </r>
    <r>
      <rPr>
        <b/>
        <sz val="10"/>
        <rFont val="Arial"/>
        <family val="2"/>
      </rPr>
      <t>&gt;81</t>
    </r>
    <r>
      <rPr>
        <sz val="10"/>
        <color rgb="FF000000"/>
        <rFont val="Arial"/>
        <family val="2"/>
      </rPr>
      <t xml:space="preserve"> 36 (14.6)
</t>
    </r>
    <r>
      <rPr>
        <b/>
        <sz val="10"/>
        <rFont val="Arial"/>
        <family val="2"/>
      </rPr>
      <t xml:space="preserve">
Problems finding clinic for abortion</t>
    </r>
    <r>
      <rPr>
        <sz val="10"/>
        <color rgb="FF000000"/>
        <rFont val="Arial"/>
        <family val="2"/>
      </rPr>
      <t xml:space="preserve"> 45 (18.2) 
</t>
    </r>
    <r>
      <rPr>
        <b/>
        <sz val="10"/>
        <rFont val="Arial"/>
        <family val="2"/>
      </rPr>
      <t>Took time off work for procedure</t>
    </r>
    <r>
      <rPr>
        <sz val="10"/>
        <color rgb="FF000000"/>
        <rFont val="Arial"/>
        <family val="2"/>
      </rPr>
      <t xml:space="preserve"> 105 (42.5)
</t>
    </r>
    <r>
      <rPr>
        <b/>
        <sz val="10"/>
        <rFont val="Arial"/>
        <family val="2"/>
      </rPr>
      <t>Problems arranging child care, for those with children</t>
    </r>
    <r>
      <rPr>
        <sz val="10"/>
        <color rgb="FF000000"/>
        <rFont val="Arial"/>
        <family val="2"/>
      </rPr>
      <t xml:space="preserve"> 28 (18.7) 
</t>
    </r>
    <r>
      <rPr>
        <b/>
        <sz val="10"/>
        <rFont val="Arial"/>
        <family val="2"/>
      </rPr>
      <t xml:space="preserve">
Problems finding transportation to clinic 27</t>
    </r>
    <r>
      <rPr>
        <sz val="10"/>
        <color rgb="FF000000"/>
        <rFont val="Arial"/>
        <family val="2"/>
      </rPr>
      <t xml:space="preserve"> (10.9)</t>
    </r>
  </si>
  <si>
    <t>Travel measured as a logistical variable. Needing to travel far indicates the paucity of abortion providers in some geographical areas, compounded by the relatively few number of surgeons trained to perform second trimester abortions</t>
  </si>
  <si>
    <t>study looks specifically at women who attended a clinic where Medicaid does not cover "elective" procedures- this provides a better look at the constraints women experience due to state-funding and cost of abortion</t>
  </si>
  <si>
    <t>-cross-sectional design which doesn't allow for conclusions on causality between associations
-convenience sampling a potential source for bias
-recall bias due to survey questions
-generalizability of results</t>
  </si>
  <si>
    <t>Look at how second trimester procedures confer higher costs to the health care system and how this is related to longer procedure times, increased number of preoperative visits, increased surgical risks and higher complication rates.</t>
  </si>
  <si>
    <t>Levin</t>
  </si>
  <si>
    <t>Exploring the costs and economic consequences of unsage abortion in Mexico City before legalisation</t>
  </si>
  <si>
    <t>"The aim of this study was to estimate the costs incurred by the health care system associatied with the treatment of incomplete abortion and other abortion complications due to unsafe abortion in Mexico City prior to reform of the abortion law."</t>
  </si>
  <si>
    <t xml:space="preserve">Cross-Sectional </t>
  </si>
  <si>
    <t>Mexico City</t>
  </si>
  <si>
    <t>Three public hospitals and one private clinic</t>
  </si>
  <si>
    <t>January - July 2005</t>
  </si>
  <si>
    <t>Representative facilities providing abortion services to women.</t>
  </si>
  <si>
    <t>Providing abortions</t>
  </si>
  <si>
    <t>Health outcomes, cost of treating incomplete abortion and/ or induced abortion. Cost of treating abortion complications, Cost profiles, cost of safe vs unsafe abortion</t>
  </si>
  <si>
    <t>Transport cost</t>
  </si>
  <si>
    <t>Used a proxy of the average daily wage across all women who reported missing work.</t>
  </si>
  <si>
    <t>Health workers administered to women seeking reproductive health services.</t>
  </si>
  <si>
    <t>Questionnaire</t>
  </si>
  <si>
    <t>Sensitivity Analysis</t>
  </si>
  <si>
    <t>Mexico CIty</t>
  </si>
  <si>
    <t>" the incidence of complications reported in the hospital discharge data is still much higher than that reported in settings where abortion is safe and legal, and we have demonstrated significant cost savings to the health system in Mexico City if complications are reduced even further."</t>
  </si>
  <si>
    <t>"This gave a total  cost of US $2.6 million to treat all complications related to unsafe abortion for one year for Mexico City, or an average cost per woman treated of US $186. The cost of providing abortion services declines as access increases at smaller public and private health failities, which can provide abortion care efficiently and at less cost than large hospitals."</t>
  </si>
  <si>
    <t>Focus on the cost from th perspective of the health care syststem unable to capture women's perspective. Not generalizable to other parts of Mexico</t>
  </si>
  <si>
    <t>Capture a complete picture of the true costs associated with both safe and unsafe abortions in Mexico for women and providers.</t>
  </si>
  <si>
    <t>Loeber</t>
  </si>
  <si>
    <t>Factors Influencing the Percentage of Second Trimester Abortions in the Netherlands</t>
  </si>
  <si>
    <t>This paper seeks to answer the following questions: What are the most important motivations and reasons for delay of women who have had a second trimester abortion? Are there specific sub-groups of women who are more likely to have later abortions? Are there aspects of abortion service delivery that cause delays in obtaining an abortion until the second trimester?</t>
  </si>
  <si>
    <t>"A study of the factors influencing the percentage of second trimester abortions has not been dones since the ealry 1980s…it si therefore valuable to get renewed insight into ther factors associated with second trimester abortion"</t>
  </si>
  <si>
    <t>small scale exploratory study</t>
  </si>
  <si>
    <t>Netherlands</t>
  </si>
  <si>
    <t>3 clinics</t>
  </si>
  <si>
    <t>"The three clinics were selected to participate in the study on grounds of willingess to make the files asnt heir time available"</t>
  </si>
  <si>
    <t>women living abroad traveling from the Netherlands seeking services.</t>
  </si>
  <si>
    <t>Self administered. Another sournce that was used was Landelijke Abortus Registratie (LAR, National Abortion Registry).</t>
  </si>
  <si>
    <t>service records; national data</t>
  </si>
  <si>
    <t>service records (details on reasons in clinic record); national data</t>
  </si>
  <si>
    <t>n=254 (from the clinics)</t>
  </si>
  <si>
    <t>"Information was collected about age, duration of pregnancy, reason for wanting to terminate the pregnancy, referral time and the reason why the abortion was delayed."</t>
  </si>
  <si>
    <t>Most frequent reason for abortion was that pregnancy was too early (42%), there were relationship problems (23%), their family was complete (10%)</t>
  </si>
  <si>
    <t>"There is a very high proportion of women from other countries who had second trimester abortions, which they could not access int heir own countries. Since the late 1970s, twomen from countries with more restrictive abortion laws have been travelling to the Netherlands for second trimester abortiosn. The proportion of foreign women needing to do this was declining, but the number has stabilised over the past five years. In 2006. 13/6% of all abortion patients were residents of another country".</t>
  </si>
  <si>
    <t>"Until the countries they (women from other countries) come from make it possible for women to get a second trimester abortion at home, these abortions will continue to be needed and the Netherlands, alongside Spain, England and Wales , have an important responsibility in Europe in this regard."</t>
  </si>
  <si>
    <t>Lokeland</t>
  </si>
  <si>
    <t>ACTA Obstetricia Gynecologica</t>
  </si>
  <si>
    <t>Medical abortion with mifepristone and home administration of misoprostol up to 63 days gestation</t>
  </si>
  <si>
    <t>To evaluate the acceptibility and efficacy of medical abortion at home up to 63 days gestation without limits on travel distance to a registered institution</t>
  </si>
  <si>
    <t>limit of studies that look at home administration of medical abortion at 63 weeks gestation</t>
  </si>
  <si>
    <t>Observational prospective study</t>
  </si>
  <si>
    <t>Norway</t>
  </si>
  <si>
    <t>Department of Obstetrics and Gynecology, Haukeland University Hospital</t>
  </si>
  <si>
    <t>May 2006 through May 2009</t>
  </si>
  <si>
    <t>documented pregnancy length of up to 63 days  gestation were eligible</t>
  </si>
  <si>
    <t>All women who underwent home administration of MA during the study period</t>
  </si>
  <si>
    <t>gestational age, travel</t>
  </si>
  <si>
    <t>Evacuation rate, pain, bleeding, acceptibility, influence of distance on treatment</t>
  </si>
  <si>
    <t>Travel time measured by car using the webpage "Viseg" of the Norwegian Public Roads Adminstration that calculates travel distance and time between two addresses</t>
  </si>
  <si>
    <t>age, parity, previous abortions</t>
  </si>
  <si>
    <t>interviewer administered (nurse) via phone on day of misoprostol administration, clinic records</t>
  </si>
  <si>
    <t>surveyL level of bleeding as none, light, moderate or
heavy, and pain as none, light, moderate or strong; they were questioned about the acceptability
through the questions: (i) Would you rather have been at the hospital? and (ii) Are you content with being at
home?</t>
  </si>
  <si>
    <t>1018 women</t>
  </si>
  <si>
    <t>observations with missing data not included in analyses</t>
  </si>
  <si>
    <t>Acceptability: 962
Pain: 983
Bleeding: 977</t>
  </si>
  <si>
    <t xml:space="preserve"> median (range) 
Age:27 (18-48)
Previous births: 0 (0-9)
Prior abortions: 0 (0-4)
Travel time to provider in minutes: 15 (1-540)
</t>
  </si>
  <si>
    <t>Median gestational age was 50 days and 70 of the women lived more than 60 minutes from the clinic. The rate of completed abortion was 93.6% and surgical evacuation was performed in 4.9% of cases. Moderate to strong pain was indicated by 68.4% of women and 74.7% reported moderate to heavy bleeding. In all 95.1% of women were satisfied with staying at home</t>
  </si>
  <si>
    <t>Travel time to provider in minutes: 15 (1-540)
over 60 minutes travel time n (%): 70/988 (7.1%)
There was no difference in the likelihood that women living more than 60 min travel away would prefer hospital (OR 0.33; 95% CI 0.05–2.4) compared with women living within
60 min of the hospital. Women living more than 60 min from hospital did not differ from women living closer than 61 min away in their level of pain (OR 0.6; 95% CI 0.3–1.7), bleeding (OR 1.2; 95% CI 0.7–2.0) or need of surgery (OR 0.8; 95% CI 0.2–2.7).</t>
  </si>
  <si>
    <t>Bleeding, pain, acceptability, and clinical outcomes similar between women living within 60 miles from the hospital compared to those living farther than 61 miles. Women should be offered the option of home administration of misoprostol regardless of where they live.</t>
  </si>
  <si>
    <t>-large sample size
- low loss to follow-up rate</t>
  </si>
  <si>
    <t>-likely underpowered to detect any differences due to low % of women in the &gt;61 miles group
-possible that 60 mile cut-off isn't the appropriate difference</t>
  </si>
  <si>
    <t>-future studies in other settings to explore this issue</t>
  </si>
  <si>
    <t>Nickson</t>
  </si>
  <si>
    <t>Australian and New Zealand Journal of Public Health</t>
  </si>
  <si>
    <t>Travel undertaken by women accessing private Victorian pregnancy termination services</t>
  </si>
  <si>
    <t>To investigate the extent and cost of travel undertaken by women assessing Victorian termination of pregnancy services</t>
  </si>
  <si>
    <t>looks at newly collected survey data to analyze the degree of intrastate travel undertaken by women accessing Victorian termination of pregnancy services, the money and time extended to travel, and the reason women chose those particular clinics</t>
  </si>
  <si>
    <t>cross sectional observational survey</t>
  </si>
  <si>
    <t>Melbourne; Victoria</t>
  </si>
  <si>
    <t xml:space="preserve"> Australia</t>
  </si>
  <si>
    <t>all known large Victorian service providers</t>
  </si>
  <si>
    <t>between November 2002 and June 2003</t>
  </si>
  <si>
    <t>Australian residents
Spoke English, Vietnamese, or Chinese</t>
  </si>
  <si>
    <t>Age</t>
  </si>
  <si>
    <t>Distance travelled, money and time expended undertaken travel, and reasons women chose particular clinics</t>
  </si>
  <si>
    <t>Distance measured in km</t>
  </si>
  <si>
    <t xml:space="preserve">1244 resident respondents </t>
  </si>
  <si>
    <t>Measures of travel undertaken where results are reported as odds ratios were analyzed as logistic regression, adjusted for age, with robust variance estimates to account for the clinic clustered nature of the sample.</t>
  </si>
  <si>
    <r>
      <t xml:space="preserve">n=1244
-Age group: Range 15-47 majority 20-24 (27.0%)
-Place of residence for all ages: Melbourne statistical division (1,023 (86.3)) Other Victorian Statistical Division (163 (13.7))
-Clinic location for all ages: Urban 1,029 (83.0) Rural 211 (17.0)
-Distance travelled to the service for all ages: Less than 15km </t>
    </r>
    <r>
      <rPr>
        <b/>
        <sz val="10"/>
        <rFont val="Arial"/>
        <family val="2"/>
      </rPr>
      <t xml:space="preserve">431 (35.7) </t>
    </r>
    <r>
      <rPr>
        <sz val="10"/>
        <color rgb="FF000000"/>
        <rFont val="Arial"/>
        <family val="2"/>
      </rPr>
      <t xml:space="preserve">Between 15km and 50km </t>
    </r>
    <r>
      <rPr>
        <b/>
        <sz val="10"/>
        <rFont val="Arial"/>
        <family val="2"/>
      </rPr>
      <t xml:space="preserve">539 (44.7) </t>
    </r>
    <r>
      <rPr>
        <sz val="10"/>
        <color rgb="FF000000"/>
        <rFont val="Arial"/>
        <family val="2"/>
      </rPr>
      <t xml:space="preserve">Between 50km and 100km </t>
    </r>
    <r>
      <rPr>
        <b/>
        <sz val="10"/>
        <rFont val="Arial"/>
        <family val="2"/>
      </rPr>
      <t xml:space="preserve">125 (10.4) </t>
    </r>
    <r>
      <rPr>
        <sz val="10"/>
        <color rgb="FF000000"/>
        <rFont val="Arial"/>
        <family val="2"/>
      </rPr>
      <t>More than 100km</t>
    </r>
    <r>
      <rPr>
        <b/>
        <sz val="10"/>
        <rFont val="Arial"/>
        <family val="2"/>
      </rPr>
      <t xml:space="preserve"> 112 (9.3)
</t>
    </r>
    <r>
      <rPr>
        <sz val="10"/>
        <color rgb="FF000000"/>
        <rFont val="Arial"/>
        <family val="2"/>
      </rPr>
      <t xml:space="preserve">-Travel Time for all ages: Less than one hour </t>
    </r>
    <r>
      <rPr>
        <b/>
        <sz val="10"/>
        <rFont val="Arial"/>
        <family val="2"/>
      </rPr>
      <t xml:space="preserve">950 (77.3) </t>
    </r>
    <r>
      <rPr>
        <sz val="10"/>
        <color rgb="FF000000"/>
        <rFont val="Arial"/>
        <family val="2"/>
      </rPr>
      <t>Between one and three hours</t>
    </r>
    <r>
      <rPr>
        <b/>
        <sz val="10"/>
        <rFont val="Arial"/>
        <family val="2"/>
      </rPr>
      <t xml:space="preserve"> 255 (20.8) </t>
    </r>
    <r>
      <rPr>
        <sz val="10"/>
        <color rgb="FF000000"/>
        <rFont val="Arial"/>
        <family val="2"/>
      </rPr>
      <t xml:space="preserve">More than three hours </t>
    </r>
    <r>
      <rPr>
        <b/>
        <sz val="10"/>
        <rFont val="Arial"/>
        <family val="2"/>
      </rPr>
      <t xml:space="preserve">24 (2.0)
</t>
    </r>
    <r>
      <rPr>
        <sz val="10"/>
        <color rgb="FF000000"/>
        <rFont val="Arial"/>
        <family val="2"/>
      </rPr>
      <t xml:space="preserve">-Travel costs for all ages: Less than $10 </t>
    </r>
    <r>
      <rPr>
        <b/>
        <sz val="10"/>
        <rFont val="Arial"/>
        <family val="2"/>
      </rPr>
      <t>597 (48.7)</t>
    </r>
    <r>
      <rPr>
        <sz val="10"/>
        <color rgb="FF000000"/>
        <rFont val="Arial"/>
        <family val="2"/>
      </rPr>
      <t xml:space="preserve"> Between $10 and $50 </t>
    </r>
    <r>
      <rPr>
        <b/>
        <sz val="10"/>
        <rFont val="Arial"/>
        <family val="2"/>
      </rPr>
      <t>528 (43.1)</t>
    </r>
    <r>
      <rPr>
        <sz val="10"/>
        <color rgb="FF000000"/>
        <rFont val="Arial"/>
        <family val="2"/>
      </rPr>
      <t xml:space="preserve"> Between $50 and $100 </t>
    </r>
    <r>
      <rPr>
        <b/>
        <sz val="10"/>
        <rFont val="Arial"/>
        <family val="2"/>
      </rPr>
      <t xml:space="preserve">83 (6.8) </t>
    </r>
    <r>
      <rPr>
        <sz val="10"/>
        <color rgb="FF000000"/>
        <rFont val="Arial"/>
        <family val="2"/>
      </rPr>
      <t xml:space="preserve">More than $100 </t>
    </r>
    <r>
      <rPr>
        <b/>
        <sz val="10"/>
        <rFont val="Arial"/>
        <family val="2"/>
      </rPr>
      <t xml:space="preserve">17 (1.4)
</t>
    </r>
    <r>
      <rPr>
        <sz val="10"/>
        <color rgb="FF000000"/>
        <rFont val="Arial"/>
        <family val="2"/>
      </rPr>
      <t xml:space="preserve">-Stayed home overnight for all ages: Yes 88 (7.3) No 1,121 (92.7)
</t>
    </r>
  </si>
  <si>
    <t xml:space="preserve">Of all the 1244 participants who resided in Victoria, 9.3% travelled more than 100km to access services. Teenagers were 2.5 times more likely than other respondents to travel further than 100km. </t>
  </si>
  <si>
    <r>
      <t xml:space="preserve">Please see Demographic results.
Reasons for visiting a particular clinic
</t>
    </r>
    <r>
      <rPr>
        <b/>
        <sz val="10"/>
        <rFont val="Arial"/>
        <family val="2"/>
      </rPr>
      <t>Location or convenience:</t>
    </r>
    <r>
      <rPr>
        <sz val="10"/>
        <color rgb="FF000000"/>
        <rFont val="Arial"/>
        <family val="2"/>
      </rPr>
      <t xml:space="preserve"> Closest clinic-131 ( 12.7%)</t>
    </r>
  </si>
  <si>
    <t xml:space="preserve">Younger women tended to travel longer distances as well as spend more money and time travelling to services and staying away from home overnight than other women </t>
  </si>
  <si>
    <t xml:space="preserve">-selection bias </t>
  </si>
  <si>
    <t>further invesitigation needs to be done on the travel subsidy accomadation through the Victorian Patient Transport Assistance Scheme and why only 42 percent of women in the study who travelled 100km were referred by a doctor</t>
  </si>
  <si>
    <t>Use of interstate services for the termination of pregnancy in Australia</t>
  </si>
  <si>
    <t>"The primary aim of this paper is to document the extent to which women in Australia use interstate termination of pregnancy services, as indicated by Medicare claims for these services, and to determine whether the pattern of these claims suggests that the legal and political climate in particular jurisdictions is related to the use of services interstate."</t>
  </si>
  <si>
    <t>Ecological Study</t>
  </si>
  <si>
    <t>New South Wales, Australian Capital Territory, South Australia with the Norther Territory and Victoria with Tasmania</t>
  </si>
  <si>
    <t>Australia</t>
  </si>
  <si>
    <t>Patient claims for Medicare benefits for privately funded termination of pregnancy services</t>
  </si>
  <si>
    <t>Financial year 1984/85- 1999/2000</t>
  </si>
  <si>
    <t>used published Medicare Benefits schedule (MBS) published by Health Insurance Commission (HIC)</t>
  </si>
  <si>
    <t>Medicare claims for number of services provided and place of residentce</t>
  </si>
  <si>
    <t>Surplus or deficit in Medicare claims made by abortion services provided and residents between different regions of Australia</t>
  </si>
  <si>
    <t>Records of Medicare Benefits Schedule were obtained from the Health Insurance Commission</t>
  </si>
  <si>
    <t>Medicare billing</t>
  </si>
  <si>
    <t>5 States and territories - (excluding Western Australia, the Northern Territory and South Australia)</t>
  </si>
  <si>
    <t>"States and Territories in which the surplus or deficit of claims was sufficiently large to be interpretable against the surplus or deficit of conitguous States or Territories"</t>
  </si>
  <si>
    <t>Proportions, and they appeared to have done chi-square testing (not stated)</t>
  </si>
  <si>
    <t>its not</t>
  </si>
  <si>
    <t>Western an Australia and South Australia were excluded from the analysis</t>
  </si>
  <si>
    <t>Used 5 states and territories</t>
  </si>
  <si>
    <t>Not stated</t>
  </si>
  <si>
    <t>"....In 1984-85 to 199-2000 there were 34,253 fewer clainms for services provided in Queensland than claims by queensland residents. In New South Wales (NSW) and Australian Capital Terretory (ACT) there were more claims for services provided than there were claims by residents of NSW/ACT" "92% of claims by ACT residents were for services received interstate" "there was symmetry between the annual deficit of claims in Tasmania and the annual suplus of claims for Victoria"</t>
  </si>
  <si>
    <t>"Differences [ in services used by residents and the number of services provided] suggested that women from Queensland and the Australian Capital Territory were using NSW services and Tasmanian women were using Victorian services""Atleast 2,94 women used interstate termination of pregnancy services in 1999/2000 and there was an average of 2,684 women using interstate services per year since 1984/85."</t>
  </si>
  <si>
    <t>"The method relied on finding marked and interpretbale patterns between States in a country where there is great variation in population by State and Territory. There was also great deal of variation in the rates of private termination of pregnancy sercive use by State or Territory""Claims by residence and claims by place of service would represent tourists or patients who have moved interstate either temporarily or without updating their address at Medicare.</t>
  </si>
  <si>
    <t>"The reasons why women seek interstate termination of pregnancy and the impact of interstate travel on patient care should be investigated further"</t>
  </si>
  <si>
    <t>Roberts</t>
  </si>
  <si>
    <t>Implications for women of Louisiana's law requiring abortion providers to have hospital admitting privileges</t>
  </si>
  <si>
    <t>Describe the population who would be affected if LA admitting privleges law were to go into effect ad how the clousre of clinics would affect the distance LA women would need to travel for an abortion</t>
  </si>
  <si>
    <t>Controbutes evidence to public and policy conversations about possible effects of the law</t>
  </si>
  <si>
    <t>Cross-sectional</t>
  </si>
  <si>
    <t>Louisiana</t>
  </si>
  <si>
    <t>Clinics</t>
  </si>
  <si>
    <t>Sept 1 2013 - August 31 2014</t>
  </si>
  <si>
    <t>All abortions during this time period at 3 LA clinics, year prior to when the admitting priveleges law was to take effect</t>
  </si>
  <si>
    <t>Convenience sample of clinics, all charts abstracted</t>
  </si>
  <si>
    <t>Clinic closure</t>
  </si>
  <si>
    <t>travel distance</t>
  </si>
  <si>
    <t>Actual travel distance calculated using woman's zip code of residence and location of facilitiy where she received abortion care. Projected travel distance after clinic closure: Idnetified closest "open" clinic from parish centroid to provider for each parish, then actual projected travel distance calculcated from woman's zip code to closest clinic.</t>
  </si>
  <si>
    <t>Chart abstraction and existing database of loction of abortion providers</t>
  </si>
  <si>
    <t>service records: Induced Terminiation of Pregnant Form (filled out for all abortions by law in Louisiana)</t>
  </si>
  <si>
    <t>None mentioned</t>
  </si>
  <si>
    <t>5641 women who had abortions at three clinics during the time period</t>
  </si>
  <si>
    <t>All abortions from clinics</t>
  </si>
  <si>
    <t>Descriptive statistics</t>
  </si>
  <si>
    <t>presented as separate category in data if more than 5% missing</t>
  </si>
  <si>
    <t>5641 women who had an abortion in 3 LA clinics, 4453 LA residents who had an abortion in LA</t>
  </si>
  <si>
    <t>half (47%) were between 25 and 34 years of age, one third (32%) 20–24, and 11% 19 or younger (Table 1). Close to half
(47%) had some education beyond high school, while about one in seven (14%) had not completed high school. Almost
two thirds (62%) of women were black, 30% white and 5% Hispanic.Almost three fourths (73%) had a previous live birth.
Eighty-nine percent had their abortion before 14 weeks, 58% at or before eight weeks, and 31% between 9 and 13 weeks.
Most (79%) were Louisiana residents, although 15% were Texas residents. Among the 4453 abortion patients who
lived in Louisiana, 42% had the abortion at the facility closest to their parish of residence. The median income of
the parishes in which the abortion patients resided averaged $43,042 [95% confidence interval (CI) $42,823–$43,260];
the average percentage of residents living in poverty in the parishes in which abortion patients resided was 20.5% (95%
CI 20.3%–20.6%).</t>
  </si>
  <si>
    <t>Louisiana, some out of state (mostly Texas, Arkansas, and Mississippi)</t>
  </si>
  <si>
    <t>Abortion patients residing in Louisiana traveled a mean distance of 58 miles each way for an abortion. If all Louisiana facilities close, the mean distance women would need to travel would more than triple to 208 miles, and the proportion of Louisiana women of reproductive age who live more than 150 miles from an abortion facility would increase from 1% to 72%.</t>
  </si>
  <si>
    <t>The women who had abortions in Louisiana traveled a mean of 71 miles each way for their abortion. Abortion patients residing in Louisiana traveled a mean distance of 58 miles each way for an abortion. If all Louisiana facilities close, the mean distance women would need to travel would more than triple to 208 mile; 100% of the abortion pateints who reside in Louisiana would have needed to travel at least 50 miles, and 76% would need to travel more than 150 miles each way. The proportion of Louisiana women of reproductive age who live more than 150 miles from an abortion facility would increase from 1% to 72%.</t>
  </si>
  <si>
    <t>Closure of clinics would result in increased travel distance to abortion provider for women living in Louisiana.</t>
  </si>
  <si>
    <t>Large sample from almost half of the state's abortion clinics (representing 60% of abortions performed in Louisiana)</t>
  </si>
  <si>
    <t>Exclusion of two facilities, whose patients may differ from the other facilities.</t>
  </si>
  <si>
    <t>Rogers</t>
  </si>
  <si>
    <t>New Zealand Medical Journal</t>
  </si>
  <si>
    <t>Characteristics of New Zealand Women Seeking Abortion in Melbourne, Australia</t>
  </si>
  <si>
    <t>"This paper provides a profile of these 145 women (New Zealand women who traveled to australia seeking aboriton services) by age, marital status, previous pregnancies and their outcome, previous contraception use or non-use, and the gestation of pregnancy when the patients wre seen in Melbourne"</t>
  </si>
  <si>
    <t>Observational Cross sectional (Not Stated)</t>
  </si>
  <si>
    <t>Melbourne</t>
  </si>
  <si>
    <t>July 1972 - July 1974</t>
  </si>
  <si>
    <t>Prohibitive abortion laws in New Zealand</t>
  </si>
  <si>
    <t>Travel to Melbourne for abortion services</t>
  </si>
  <si>
    <t>Women who obtained abortion services in Melbourne that were from New Zealand</t>
  </si>
  <si>
    <t>Abortion seekers (women) from New Zealand</t>
  </si>
  <si>
    <t>Age (14-43), Marital Status 83.5% single, 76.5% were experiencing their first pregnancy, 96% had abortions before , almost half had ever used contraceptives, gestation ranged from 6-18 weeks (10.6 average).</t>
  </si>
  <si>
    <t>New Zealand</t>
  </si>
  <si>
    <t>"Only a minority posssess the ability and the resources to deal with their problem pregnancy by aboriton in Melbourne. Financial sacrifices are made"</t>
  </si>
  <si>
    <t>"Travel costs also prevent frightened patients of all ages from being accompanied by parents, boyfriends or husbands"</t>
  </si>
  <si>
    <t>"Characteristics and motivations of women seeking abortions may (not) be described accurately.A large uknown part of the population is screened out and the sample of abortions -seekers is constrained to represetn itself according to legal criteria. No relevant control group"</t>
  </si>
  <si>
    <t>"further accurate analysis (of abortion services provided to New Zealand women in Australia))"</t>
  </si>
  <si>
    <t>Sanders</t>
  </si>
  <si>
    <t>The longest Wait: Examining the Impact of Utah's 72-Hour Waiting Period for Abortion</t>
  </si>
  <si>
    <t>This study examines the impact of the increase from a
 24-hour mandatory waiting period to a 72-hour waiting period
 on the proportion of women who obtain an abortion among
 those who completed the abortion information consultation and
 consent at the three largest family planning clinics in Utah</t>
  </si>
  <si>
    <t>Collectively, these findings provide
 insight into the impact of this legislative change on women
 seeking and receiving an abortion within the state of Utah.</t>
  </si>
  <si>
    <t>1. Retrospective chard review of three abortion clinincs and eight associated clinic locations that offer abortion counseling and consent within the state of Utah. 2. Data collected directly from the aptients using an anonymous online survey</t>
  </si>
  <si>
    <t>Utah</t>
  </si>
  <si>
    <t>Clinic</t>
  </si>
  <si>
    <t>1. To compare the two different time perriods: May 8 2011 -May 7 2012 and May 8 2012- May 7 2013, after the new law was enforced.</t>
  </si>
  <si>
    <t>Completion of the anonymous survey</t>
  </si>
  <si>
    <t>volunteer</t>
  </si>
  <si>
    <t>HB 461 (72 hour wait time law) enacted</t>
  </si>
  <si>
    <t>lost wages, childcare costs, school days missed, distance traveled for counseling, distance traveled for procedure, transportation costs, and the ability to keep their abortion confidential</t>
  </si>
  <si>
    <t>distance traveled for counseling and the procedure</t>
  </si>
  <si>
    <t>self administered</t>
  </si>
  <si>
    <t>clinc data; Anonymous survey</t>
  </si>
  <si>
    <t xml:space="preserve">Chi- square </t>
  </si>
  <si>
    <t>24 Hour Wait Period- Age: &lt; 18 (5%), 18-29 (65%), 30-39 (26%), &gt;40(4%)/ Education: less than high school graduate (5%), high school graduation (40%) beyond highschool (55%). Marital Status: Never married (50%), Married (29%), Widowed Divorced (21%), Race: White (75%) Other (25%), Hispanic: Yes (20%) No (80%) Second trimester abortions (8%) 72 Hour Wait Period- Age: &lt; 18 (3%), 18-29 (65%), 30-39 (28%), &gt;40(5%)/ Education: less than high school graduate (6%), high school graduation (40%) beyond highschool (54%). Marital Status: Never married (52%), Married (25%), Widowed Divorced (23%), Race: White (72%) Other (28%), Hispanic: Yes (19%) No (81%) Second trimester abortions (6%)</t>
  </si>
  <si>
    <t>Utah’s 72-hour waiting period was associated with a small but
 statistically significant decrease in the percentage of counseled
 womenwho returned for their abortion procedure (77%) compared
 with the percentage returning during the 24-hour waiting period
 (80%) (p &lt; .05). Women obtaining an abortion after the implementation
 of the 72-hour law reported several burdensome
 aspects, including lost wages and increased expenses.</t>
  </si>
  <si>
    <t>About two-thirds of
 women could be counseled and consented within 25 miles from
 their home; however, only 42% could receive their abortion procedure
 within 25 miles. More than 10% of women traveled more
 than 100 miles from their home for their procedure.</t>
  </si>
  <si>
    <t>Other research
 has shown that states requiring two visits impose substantial
 time cost and travel expenses without having a significant effect
 on states abortion rates. Of note, states with
 mandatory waiting periods that allow for the counseling material
 to be read over the phone, delivered via recorded message, or
 email rather than in person have been shown to reduce patient
 burden as compared with when the counseling must occur in
 person (Medoff, 2012).</t>
  </si>
  <si>
    <t>Strengths of the study include use of state-level data, which
 allowed us to confirm that the number of abortions being
 captured by direct contact with clinics was similar to the number
 of procedures reported to the state health department. Another
 notable strength is the relatively large sample size, which
 captures statistically significant differences with modest changes
 in demographics between the two periods. However, the 1% to
 2% difference in the distribution age, marital status, race, or
 having a second trimester procedure is unlikely a clinically
 significant difference for population-level care. The difference in
 the primary outcome of the proportion of women returning for
 their abortion procedure may be better assessed as a trend over
 several years.</t>
  </si>
  <si>
    <t>Given
 that we were unable to access counseling data from all abortion
 clinics, there is potential for misclassification regarding the
 number of women completing mandated counseling. Additionally,
 the abortion information session and 72-hour consent can
 be completed at independent medical providers; however, very
 few physicians in Utah do this counseling and many may be
 unaware that this is an option. For assessment 2, the use of the survey
 allowed us to capture patient perspectives but was retrospective
 in nature and therefore subject to recall bias. Additionally, we
 only used a single center for the patient survey and surveyed
 only women who returned for their desired abortion procedure,
 which has the potential to introduce sampling bias and reduced
 generalizability.</t>
  </si>
  <si>
    <t>Seims</t>
  </si>
  <si>
    <t>Abortion Availability in the United States</t>
  </si>
  <si>
    <t xml:space="preserve">To shed light on the accessibility and availability of abortion services throughout the nation. </t>
  </si>
  <si>
    <t>Modeling/ Hypothetical</t>
  </si>
  <si>
    <t xml:space="preserve">Abortion Providers </t>
  </si>
  <si>
    <t>Women In need of abortions</t>
  </si>
  <si>
    <t>Before</t>
  </si>
  <si>
    <t>no abortion providers in the counties in which they live, non existent/minimals services, public laws and policies restrict their access</t>
  </si>
  <si>
    <t>Women unable to obtain abortions or experience great difficulty in doing so</t>
  </si>
  <si>
    <t>Abortion providers that offer services for al or most of their own residents and it is assumed that women in poorly served areas have to travel if they are to obtain the services.</t>
  </si>
  <si>
    <t>Data estimates from census and aggregate measures of abortion rates from six different states; California, Maryland, Massachusetts, New Jersey, New York and Washington.</t>
  </si>
  <si>
    <t>unmet need for abortion services estimates of women 15-44</t>
  </si>
  <si>
    <t>standardization</t>
  </si>
  <si>
    <t>Estimates of women with unmet need for abortion services by counties</t>
  </si>
  <si>
    <t>Counties nation wide (U.S)</t>
  </si>
  <si>
    <t>"The women who experience perhaps the greatest difficulty in locating abortion services are those who live not only in a county without a provider but also in one that does not border a county containing a facility to which thy might travel to obtain an abortion. There were an estimated 195,100 women in need (of abortion services) who would probably have had to travel some distance from their home communities for abortion services.</t>
  </si>
  <si>
    <t>"Strategies and priorities for improving service offers should be put in place according to the different need in the communities"</t>
  </si>
  <si>
    <t>Sentha</t>
  </si>
  <si>
    <t>Women's Studies International Forum</t>
  </si>
  <si>
    <t>Spatial disparities and travel to freestanding abortion clinics in Canada</t>
  </si>
  <si>
    <t>mapped data reflects the spatial disparities in abortion access, namely: 1) the paucity of services outside of urban centers 2) the significance of substantial access gaps; particularly for women living in the Atlantic, Northern, and coastal communities 3) the burdensome costs of travel, and in some cases the cost of abortion services, especially for younger women 4) the unique challenges First Nations and Metis women face in accessing abortion services</t>
  </si>
  <si>
    <t xml:space="preserve">first time national study of travel to freestanding abortion clinics </t>
  </si>
  <si>
    <t>national study?</t>
  </si>
  <si>
    <t>Canada</t>
  </si>
  <si>
    <t>17 clinics agreed to participate out of 26</t>
  </si>
  <si>
    <t>one month</t>
  </si>
  <si>
    <t>did not specify</t>
  </si>
  <si>
    <t>race, geographical/spatial location, income</t>
  </si>
  <si>
    <t>distance traveled, clinic choice</t>
  </si>
  <si>
    <t>self-administered survey</t>
  </si>
  <si>
    <t>simple counts and percentages taken for most variables. Where possible, odds ratios with a 95% confidence intervals were calculated</t>
  </si>
  <si>
    <t>Age: Average=26.0 Range= 12 to 48 0.5% were under the age of 16, 14.6% under the age of 20
Finances: Over 60% of participants reported that they made less than $30,000 per year, 23.8% earned less than $10,000, and 9.7% were receiving government assistance. 
Race/Ethnicity: 76.7% were Canadian born and 64.3% identified as white. Asian 4.9%, South Asian 5.3%, Black 8.6%, First nations/Metis 7.4%, Middle Eastern 1.8%, Latina 1.6%, Mixed Race 2.9%
Relationship Status: Single 23.1, Boyfriend/partner 59.3, Married 13.9, Separated 2.1, Divorced 1.5, Widowed 0.1
Education: None 2.3, Elementary 0.8, High School 38.9, College 32.5, University, undergraduate 17.8, University, graduate 7.8</t>
  </si>
  <si>
    <r>
      <t xml:space="preserve">"The majority of women accessing clinic abortion services are in their mid-twenties and low-income, compounding the burden of paying out of pocket for abortions and/or associated travel costs. These women are the most likely to fall through the cracks created by policies from the federal government and the reluctance to enforce the principles of the Canada Health Act. Abortion is one of just 16 medical procedures exempt from the portability requirement permitting reciprocal billing when the procedure is </t>
    </r>
    <r>
      <rPr>
        <b/>
        <sz val="10"/>
        <rFont val="Arial"/>
        <family val="2"/>
      </rPr>
      <t xml:space="preserve">obtained outside of their residence with their home province health coverage. This restriction is particularly critical for students who often live outside their home province while attending university and college because they are temporary residents in that province, are not required to obtain new health coverage. </t>
    </r>
    <r>
      <rPr>
        <sz val="10"/>
        <color rgb="FF000000"/>
        <rFont val="Arial"/>
        <family val="2"/>
      </rPr>
      <t xml:space="preserve">Finally the data reveals that First Nations and Metis women particularly those living in remote/rural communities face several intersecting barriers to accessing abortion care. 40% of Aboriginal people live on reserves...The establishment of reserves, along with residential schools and classification system of "Indians" under the Indian Act (1876) has resulted in negative health legacy for Aboriginal women. </t>
    </r>
  </si>
  <si>
    <t xml:space="preserve">Mostly focused on spatial patterns: Need help interpreting graphs </t>
  </si>
  <si>
    <t xml:space="preserve">Maps provide convincing visual evidence that women living in rural, Northern, and coastal Canada are underserved compared with urban women </t>
  </si>
  <si>
    <t>-strong visual data and evidence</t>
  </si>
  <si>
    <t>-total survey response rate could not be calculated
-study focused only on free standing abortion clinics
-unable to figure out who was overrepresented in study due to a lack of similar comparable data in Canada's national abortion statistics</t>
  </si>
  <si>
    <t>Reccommend for European visual mapping. Has this been done before?</t>
  </si>
  <si>
    <t>Womens Health</t>
  </si>
  <si>
    <t>Far from home? A Pilot Study Tracking Women's Journeys to a Canadian Abortion Clinic</t>
  </si>
  <si>
    <t>pilot study tracks the women's journeys to the Toronto Morgentaler Clinic for abortion services</t>
  </si>
  <si>
    <t xml:space="preserve">pilot study </t>
  </si>
  <si>
    <t>Toronto</t>
  </si>
  <si>
    <t>Toronto Morgentaler Clinic</t>
  </si>
  <si>
    <t>4 month period</t>
  </si>
  <si>
    <t>distance conceptualized as a journey...distance traveled from clinic from residence</t>
  </si>
  <si>
    <t>54% of respondents aged 21-30, 55.8% had a partner, and 50.5% were employed fulltime, most respondents reported (68.2%) an income less than $30,000 a year and almost 30% made less than $10,000 a year</t>
  </si>
  <si>
    <t>Since this is a pilot study there was not a lot of discussion on main findings or discussion about results. I am assuming because there is so little research on travel for young and low-income women this pilot study was used primarily to compile data and characteristics of women traveling to the Toronto clinic. What the study did say is that many of the women were less concerned about travel and more concerned about accessing the service. Many women, even when they faced logistical and psychological barriers did not put into question the lack of abortion services near their place of residence.</t>
  </si>
  <si>
    <t>Majority of women (73.5%) traveled an hour or more to the clinic. 
Remaining women (26. 5%) traveled less than an hour
Majority of respondents lived within 100km of Toronto
Slightly more than 15% of women traveled between 100km and 1000km to get to the clinic. Most women traveled by car with a companion which increased cost obviously for overnight accomodations</t>
  </si>
  <si>
    <t>Please look at main findings since this study was mostly focused on travel</t>
  </si>
  <si>
    <t>-instrument previously untested
-only focused on one clinic
-some questions had low response rates, especially about those considering cost of travel, income and place of residence
-place of residence the most often variable missing</t>
  </si>
  <si>
    <t>Future studies will need to use alternative means to capture place of residence and more accurate ways of measuring distance travelled to abortion services</t>
  </si>
  <si>
    <t>Medical tourism should be looked into and this article should be read in conjuction with the other Sentha article</t>
  </si>
  <si>
    <t>Shelton</t>
  </si>
  <si>
    <t>Abortion Utilization: Does Travel Distance Matter?</t>
  </si>
  <si>
    <t>In this article, the authors examined the effect of travel distance on this variation in Georgia and they also examined this effect on the abortion utilization of black women and teenagers.</t>
  </si>
  <si>
    <t>Observational Cross-Sectional (Not Stated)</t>
  </si>
  <si>
    <t>Georgia</t>
  </si>
  <si>
    <t>Abortion Providers in Atlanta</t>
  </si>
  <si>
    <t>Abortions within the state of Georgia of residents that lived further than 100 miles of either Jacksonville or Tallahassee.</t>
  </si>
  <si>
    <t>Convenience Sample (not stated)</t>
  </si>
  <si>
    <t>Highway distance to Atlanta.</t>
  </si>
  <si>
    <t>linear bivariate regression line</t>
  </si>
  <si>
    <t>Race and Age</t>
  </si>
  <si>
    <t>"The general tendency is for abortion utilization to be highest in northwest Georgia around Atlanta and to decrease with distance from Atlanta. The effect of distance is more highly correlated for black women than for white women "</t>
  </si>
  <si>
    <t>Their data indicate that the farther a woman has to travel to obtain an abortion, the less likely she is to obtain one.</t>
  </si>
  <si>
    <t>Limitations: lacking generalizability to other regions given the amount of abortion providers</t>
  </si>
  <si>
    <t>Shochet</t>
  </si>
  <si>
    <t>Detriments of Demand: Method Selection and Provider Preference among US Women Seeking Abortion Services</t>
  </si>
  <si>
    <t>To understand why and how women make decisions both regarding their abortion method and their provider</t>
  </si>
  <si>
    <t>Medication abortion is useful to expand abortion availability, but without an understanding of women’s preferences expansion efforts may be misguided and valuable resources may be wasted.</t>
  </si>
  <si>
    <t>exploratory study</t>
  </si>
  <si>
    <t>3 Planned Parenthood Clinics of Greater Iowa</t>
  </si>
  <si>
    <t>May through July 2006</t>
  </si>
  <si>
    <t>-18 or older
 -fluency in English, presenting at clinics for abortion (aspiration or medical)</t>
  </si>
  <si>
    <t>Day of procedure</t>
  </si>
  <si>
    <t>knowledge of medication abortion, previous medication abortion, reasons for method selection, demographics</t>
  </si>
  <si>
    <t>choice of method was aspiration, choice of method was medication, preference for primary care provider, preference for obgyn</t>
  </si>
  <si>
    <t>Travel time not a predictor of preferring one’s physician for abortion services, though potentially is a predictor of prefering one's own OBGYN for abortion services</t>
  </si>
  <si>
    <t>semi-structured interviewer administered survey</t>
  </si>
  <si>
    <t>semi-structured interviews: Interview questions  ddressed where and when
the clients learned about  medication abortion, what factors and who may have influenced the choices of method and provider, and whether clients would have preferred to obtain an abortion with their regualr physician</t>
  </si>
  <si>
    <t>double coding of interview data</t>
  </si>
  <si>
    <t>Double data entry and coding, descriptive statistics, differences by clinic site were assessed using Fisher’s Exact Test and one-way analysis of variance was used for comparing means. Unadjusted and adjusted logistic regression was used to assess predictors of 4 primary outcomes.</t>
  </si>
  <si>
    <t>Majority white
 average age 25
 43% had attended some college
 One way travel to the clinic averaged 43 minutes Max: 210 min</t>
  </si>
  <si>
    <t>-found that many women did not prefer their primary physicians to provide the abortion services
 -Method choice trumps provider choice for women who preferred their regular provider, same effect found for those who received medication and aspiration abortions
 -medication abortion information that women receive is primarily negative or “disconcerting” in some way</t>
  </si>
  <si>
    <t>long travel times not found to be a primary factor in women’s preference for provider or method.</t>
  </si>
  <si>
    <t xml:space="preserve">Women who would have preferred their OB/GYN were more likely to have spent a longer amount of time traveling to the
clinic (p=.05; travel time was not a predictor of preferring one's regular physician for the abortion services. </t>
  </si>
  <si>
    <t>first exploratory study, launching point for future work</t>
  </si>
  <si>
    <t>sample not random
 omission of minors since they likely experience greater barriers to abortion services than women (cost, confidentiality, time)
 study did not include non-English speakers</t>
  </si>
  <si>
    <t>Further investigation needs to be done on the information that is given about medication abortion by abortion providers, media, and health websites</t>
  </si>
  <si>
    <t>Even though study did not link travel as a significant factor in women’s preferences when it comes to method/provider it should be stated that when women do not have any options, especially when there is not a lot of abortion clinics/access the ability to “choose” should come into question.</t>
  </si>
  <si>
    <t>Silva</t>
  </si>
  <si>
    <t>Geographical access to terminiation of pregnancy services in New Zealand</t>
  </si>
  <si>
    <t>Present geographic distribution of TOP services in New Zealand</t>
  </si>
  <si>
    <t>Highlight geographical inequalities in access, contribute towards improvement of access around the country</t>
  </si>
  <si>
    <t>Ecological Study / Descriptive Study</t>
  </si>
  <si>
    <t>N/A, country level data</t>
  </si>
  <si>
    <t>Regions with no first trimester TOP service</t>
  </si>
  <si>
    <t>Region</t>
  </si>
  <si>
    <t>Return trip driving distance between main regional center and referred TOP clinic</t>
  </si>
  <si>
    <t>Return-trip driving distance, calculated from main centers in regions that do not have first trimester TOP service to location with potential services where patients are referred. Referral patterns for each region ascertained in previous study, and driving distance calcualted using online driving distance calculator.</t>
  </si>
  <si>
    <t xml:space="preserve">% of totla NZ female population that resides in each region, % Maori of total population within region, Abortion rate/1,000 of total population. </t>
  </si>
  <si>
    <t>Census data/online website</t>
  </si>
  <si>
    <t>national data</t>
  </si>
  <si>
    <t>5 regions</t>
  </si>
  <si>
    <t>All regions that do not have a first trimester TOP service, excluding Tasman as the main center is adjacent to a city that provides a TOP service.</t>
  </si>
  <si>
    <t>Calculated average travel distance, software not mentioned but not a complicated analysis.</t>
  </si>
  <si>
    <t>Presented by region</t>
  </si>
  <si>
    <t>Of 16 regional countils, 10 regions have first trimester TOP service available within the region. 1 region has TOP service directly adjacent. The remaining 5 regions without TOP represent 16.2% of the female population.</t>
  </si>
  <si>
    <t>Regions that do not offer local TOP services are on average 442 km round trip from a TOP service (calculated from main center in their region to location of clinic where they would be referred to). Three of the five regions that do not have loval TOP services have a higher than average proportion of Maori population.</t>
  </si>
  <si>
    <t xml:space="preserve">Regions that do not offer local TOP services are on average 442 km round trip from a TOP service (calculated from main center in their region to location of clinic where they would be referred to) (range: 116 - 1130 km). This represents an average travel time of 5.5 hours. Women who live in Southland have an estimated 1130 km round trip distance to the referral clinic. </t>
  </si>
  <si>
    <t>First trimester TOP services are relatively difficult to access for over 1/6 of the women in New Zealand, based on travel distance.</t>
  </si>
  <si>
    <t>Data on referral patterns</t>
  </si>
  <si>
    <t>No actual data on women's true travel distance (e.g. from home to center where they received services). No weighted average based on the number of women in the areas that are the furthest from TOP services, and thus overall average misrepresents the true "average"</t>
  </si>
  <si>
    <t>Upadhyay</t>
  </si>
  <si>
    <t>Denial of Abortion Because of Provider Gestational Age Limits in the United States</t>
  </si>
  <si>
    <t>To examine factors influencing delay in seeking abortion and the outcomes for women denied abortion care because of gestational age limits at abortion facilities</t>
  </si>
  <si>
    <t>-important given delays contributing to 2nd tri abortions, women's preference for earlier abortions, limitation on providers providing 2nd tri services, and increasing number of states with GA limits</t>
  </si>
  <si>
    <t>Turnaway Study: 5 year longitudinal prospective study of women who receive an abortion and women who are denied an abortion because they present for care after the providers gestational limit. Baseline survey (1 week after recruitment), then follow-up phone interviews every 6 months for 5 years.</t>
  </si>
  <si>
    <t>21 states</t>
  </si>
  <si>
    <t>Abortion clinics in 21 states</t>
  </si>
  <si>
    <t>Turnaway Study from 2008-2010 (recrutiment) 6 month follow-up</t>
  </si>
  <si>
    <t>Eligible if they sought an abortion within gestational limits for each of the study groups, spoke English or Spanish, and were aged 15 years or older.</t>
  </si>
  <si>
    <t>1 week after recruitment and 6 months after recruitment</t>
  </si>
  <si>
    <t>1:2:1 ratio Women who presented up to 3 weeks over the providers gestational limit and were turned away, women who presented up to 2 weeks under the limit and received abortions, and women who presented in the first trimester and received abortions.</t>
  </si>
  <si>
    <t>sociodemographic characteristics and reproductive history</t>
  </si>
  <si>
    <t>first tri vs. near limits (&lt;2 weeks before limit) vs. turnaways (&lt;3 weeks after limit); among turnaways, ultimately having an abortion</t>
  </si>
  <si>
    <t>Distance travelled from provider and residential zip codes. Travel plus cost of care were one of the primary factors of delay of care because women had to raise funds.</t>
  </si>
  <si>
    <t>baseline survey (1 week after recruitment) follow up phone interviews every 6 months for 5 years.</t>
  </si>
  <si>
    <t>3045 women approached, 956 women participated.</t>
  </si>
  <si>
    <t>bivariate mixed-effects regression models, multivariable mixed-effects regression model
 Analysis conducted in 3 parts: 1) Comparison of sociodemographic characteristics and reproductive history and intentions of “first trimester patients,” “near-limit abortion patients,” and “turnaways” 2) Examined factors associated with having an abortion after being denied one. 3) Estimated the incidence of being denied an abortion because of provider gestational limits and projected the number of women affected nationally per year.</t>
  </si>
  <si>
    <t>age, race, education, maternal education, insurance status</t>
  </si>
  <si>
    <t>not explicitly mentioned; 16-20% missing on reasons for delay; these individuals excluded from denominator</t>
  </si>
  <si>
    <t>First trimester: 273
Near limit: 452
Turnaways: 251</t>
  </si>
  <si>
    <t>-50.4% Latina or African-American
 -78.8% single/never married
 -59.2% had previous children
-26% high school eduction
28.8% inuninsured, 43.8 Medicaid</t>
  </si>
  <si>
    <t>-In 2008 more than 4000 women carried unwanted pregnancies to term after they were denied an abortion because of provider gestational age limits
 -Project that many more women will be denied abortions in the upcoming years because of new legislation
 -Many women do not realize they are pregnant until later in pregnancy and cannot travel to other states for abortions.
 -women who are raise children from unwanted pregnancies have higher rates of economic and educational disadvantages</t>
  </si>
  <si>
    <t>For near-limits and turnaways, most common delay was travel and procedure costs; these costs were higher for turnaways compared to those who obtained abortions in the first trimester. Near-limits traveled farther to reach a clinic than those who terminated in the first trimester and those who were turned away,</t>
  </si>
  <si>
    <t>-Travel a significant factor for delay of care
 -Travel most discussed in terms of delay of care and how this impacted women due to gestational limits
 -Ways to address these limits: strengthen existing financial support and referral systems (i.e. National Abortion Federation and the National Network of Abortion Funds)
 -Expand number of clinics/providers in underserved areas
 -Enable providers to raise gestational limits</t>
  </si>
  <si>
    <t>longitudinal study, diverse participants</t>
  </si>
  <si>
    <t>-sample lower than 1000 participants
 -high rates of missing data on reasons for delay because early in data collection women were not asked these specific questions</t>
  </si>
  <si>
    <t>-Did not explicitly state, but article made some suggestions to address gestational limits. (Please see “main conclusions related to travel”)</t>
  </si>
  <si>
    <t>Study had interesting facts about legislation that restricts women’s abilities to pay for and access abortion services (33 states still deny women Medicaid coverage except in cases of life endangerment, rape, or incest). This obviously disadvantages women who are low-income.</t>
  </si>
  <si>
    <t>PLoS Medicine</t>
  </si>
  <si>
    <t>Comparison of Outcomes before and after Ohio's Law Mandating Use of the FDA-Approved Protocol for Medication Abortion: A Retrospective Cohort Study</t>
  </si>
  <si>
    <t>to examine the association of an Ohio law mandating use of the United States Food and Drug Administration (FDA)-approved protocol for mifepristone with medication abortion outcomes and utilization.</t>
  </si>
  <si>
    <t>retrospective cohort design</t>
  </si>
  <si>
    <t>Ohio</t>
  </si>
  <si>
    <t>4 abortion-providing health care facilities in Ohio</t>
  </si>
  <si>
    <t>January 2010- October 2014</t>
  </si>
  <si>
    <t>All medication abortion patients</t>
  </si>
  <si>
    <t>Chart data from facilities</t>
  </si>
  <si>
    <t>demographics- age, SES, education, race/ethnicity, zip code, distance traveled</t>
  </si>
  <si>
    <t>need for additional intervention following medication abortion (such as aspiration, repeat misoprostol, and blood transfusion), frequency of continuing pregnancy, reports of side effects, and the proportion of abortions that were medication abortions (versus other abortion procedures), number of follow-up visits</t>
  </si>
  <si>
    <t>Miles from home zip code to clinic</t>
  </si>
  <si>
    <t>chart review</t>
  </si>
  <si>
    <t>service records (chart review)</t>
  </si>
  <si>
    <t>Extensive training for abstractors, given equal balance of pre- and post-law charts, regular data entry error checks</t>
  </si>
  <si>
    <t>5095 charts</t>
  </si>
  <si>
    <t>All charts during study period</t>
  </si>
  <si>
    <t>chi-square, multivariable logistic regression, sensitivity analyses</t>
  </si>
  <si>
    <t>controlled for confounders during regression analyses</t>
  </si>
  <si>
    <t>Number of previous births= based on other data points in chart, developed counterfactuals (#5 under Data Analysis section) to create assumptions about where missing charts were from, tested whether 352 missing charts affected results</t>
  </si>
  <si>
    <t>Addressed missing charts, sensitivity analyses</t>
  </si>
  <si>
    <t>2783 charts= 1156 pre-law and 1627 post-law</t>
  </si>
  <si>
    <t>Most women (86%) travelled &lt;50 mi for abortion care, although 13% travelled 50 mi or more. No difference in distance traveled pre and post-law. Traveling 50+ miles was associated with a need for additional interventions and not returning for a follow-up visit.</t>
  </si>
  <si>
    <t>No control group, women may have gone to another facility with outcomes (side effects), missing charts, only 1 abortion per person was included</t>
  </si>
  <si>
    <t>Van Bebber</t>
  </si>
  <si>
    <t>Patient Costs for Medication Abortion: Results from a Study of Five Clinical Practices</t>
  </si>
  <si>
    <t>To determine total patient costs for medication abortion amidst the limited understanding of patient costs associated with the FDA approved mifepristone</t>
  </si>
  <si>
    <t>May be useful for improving counseling and patient decision-making</t>
  </si>
  <si>
    <t>5 states</t>
  </si>
  <si>
    <t>5 clinics (Planned parenthood, nonprofit, and for profit)</t>
  </si>
  <si>
    <t>November 2003 to the end of March 2004</t>
  </si>
  <si>
    <t>women had received a medication abortion, over the age of 16 at women’s first post-abortion appointment; sample of health care practices were all clinics (Planned Parenthood, for-profit, and non-profit)</t>
  </si>
  <si>
    <t>women had received medication abortion</t>
  </si>
  <si>
    <t>n/a, descriptive study</t>
  </si>
  <si>
    <t>direct medical costs, direct nonmedical costs (childcare, travel, accomodation), productivity losses</t>
  </si>
  <si>
    <t>Distance estimated as number of road miles traveled to clinic. Travel described in this study as a “non-medical” expense</t>
  </si>
  <si>
    <t>age, race, education, income, how they found their abortion provider, companions, health insurance, use of health insurance for abortion</t>
  </si>
  <si>
    <t>unique survey instrument using standard economic guides to develop a survey based on economic cost theory</t>
  </si>
  <si>
    <t>212 Women; convenience sample of 5 health care practices</t>
  </si>
  <si>
    <t>Chie-square tests for categorical data and Student t-tests to determine significant differences between means</t>
  </si>
  <si>
    <t>-80% women were 30 years or younger
 -69% white
 -74% educated
 -one third reported an annual household income of &gt;$50,000
 -72% had health insurance</t>
  </si>
  <si>
    <t>-a patient perspective of medication abortion cost is more accurate
 -key way to lower medication abortion costs and to improve access is by removing the laws that deny women access to financial coverage through Medicaid or private health insurance.</t>
  </si>
  <si>
    <t>-Travel described in this study as a “non-medical” expense
 -found that costs for overnight travel as high as $150 and $100 for travel
One-way distance traveled (miles)
 15 38%
15–50 42%
51–100 13%
 100 6%
44% (94) paid for travel: mean of $18, range $1 - 100.;3 women paid for lodging (range $25 - $90) and 8 reported paying for childcare</t>
  </si>
  <si>
    <t>Travel and other nondirect medical costs do not make up a large portion of the costs that women must bear for abortion services.</t>
  </si>
  <si>
    <t xml:space="preserve">-first study to directly ask nonmedical costs
-varied clinic locations
</t>
  </si>
  <si>
    <t>-convenience sample of 5 practices limits generalizability
 -women surveyed do not represent the majority of women who receive medication abortion
 -survey only conducted in English, excluding non-English speakers who may receive medication abortion and the barriers they face
 -timing of survey, conducted post-abortion appointment-recall bias</t>
  </si>
  <si>
    <t>-additional research needed on the effect of private health insurance coverage and the potential value of explicit coverage of abortion
 -more research needed on the trade-offs women make and prefer for abortion care (example: confidentiality may be more important to some women rather than provider and costs).</t>
  </si>
  <si>
    <t>Study had some great insights about travel and cost, but also the study did not explicitly state what region women were traveling from or where the convenience sample of the 5 practices took place. This definitely limits generalizability in terms of how far women have to travel to receive abortion care.</t>
  </si>
  <si>
    <t>White</t>
  </si>
  <si>
    <t xml:space="preserve">Travel for Abortion Services in Alabama and Delays Obtaining Care </t>
  </si>
  <si>
    <t>In this analysis, we assess the association between one-way distance traveled for abortion services and women's return for the procedure after the mandatory consultation and waiting period in Alabama.</t>
  </si>
  <si>
    <t>Alabama</t>
  </si>
  <si>
    <t>Two clinics in the same organizational system</t>
  </si>
  <si>
    <t>Jan 2013- Dec 2013</t>
  </si>
  <si>
    <t>Women seeking abortions at two Alabama clinics in 2013</t>
  </si>
  <si>
    <t>demographics, race, age, gestational age, SES, residential zip code, payment for abortion, number in household, procedure type</t>
  </si>
  <si>
    <t>whether women returned for abortion procedure, number of days between consultation and procedure visit</t>
  </si>
  <si>
    <t>distance (miles) traveled from residential zip code to facility</t>
  </si>
  <si>
    <t>billing data</t>
  </si>
  <si>
    <t>service records (billing data)</t>
  </si>
  <si>
    <t>2730 women who came to consultation visit, 2216 women who returned for procedure visit (2801 total abortions in 2013)</t>
  </si>
  <si>
    <t>Women who had more than 1 abortion- only first one used; 26 didn't have zipcodes, 14 used permanent address (excluded)</t>
  </si>
  <si>
    <t>2730 women who came to consultation visit, 2216 women who returned for procedure visit</t>
  </si>
  <si>
    <t>Alabama, Mississippi, Louisiana, Florida, Georgia, Tennessee</t>
  </si>
  <si>
    <t>Women with incomes of less than 100% of the FPL were less likely to return for the procedure visit, and those who did return had longer intervals between the two visits compared with women whose incomes were 100% to 199% of the FPL. Minor teens were less likely to return for the procedure after the consultation visit.</t>
  </si>
  <si>
    <t>Women who traveled farther distances had longer intervals between visits. (No association between distance traveled and returning for abortion visit.)</t>
  </si>
  <si>
    <r>
      <rPr>
        <b/>
        <sz val="10"/>
        <rFont val="Arial"/>
        <family val="2"/>
      </rPr>
      <t>odds ratios calculated with logistic regression</t>
    </r>
    <r>
      <rPr>
        <sz val="10"/>
        <rFont val="Arial"/>
        <family val="2"/>
      </rPr>
      <t>. The mean number of terminations with home administration of misoprotol per month per year for the whole study period was used to illustrate the increased use of the mehtod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</si>
</sst>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2"/>
      <name val="Arial"/>
      <family val="2"/>
    </font>
    <font>
      <b/>
      <i/>
      <sz val="10"/>
      <name val="Arial"/>
      <family val="2"/>
    </font>
    <font>
      <b/>
      <sz val="10"/>
      <name val="Arial"/>
      <family val="2"/>
    </font>
    <font>
      <i/>
      <sz val="10"/>
      <name val="Arial"/>
      <family val="2"/>
    </font>
    <font>
      <sz val="10"/>
      <name val="Arial"/>
      <family val="2"/>
    </font>
    <font>
      <sz val="10"/>
      <color rgb="FF000000"/>
      <name val="Arial"/>
      <family val="2"/>
    </font>
    <font>
      <sz val="10"/>
      <color rgb="FF660066"/>
      <name val="Arial"/>
      <family val="2"/>
    </font>
    <font>
      <sz val="11"/>
      <name val="Calibri"/>
      <family val="2"/>
      <scheme val="minor"/>
    </font>
  </fonts>
  <fills count="11">
    <fill>
      <patternFill patternType="none"/>
    </fill>
    <fill>
      <patternFill patternType="gray125"/>
    </fill>
    <fill>
      <patternFill patternType="solid">
        <fgColor rgb="FFD9D9D9"/>
        <bgColor rgb="FFD9D9D9"/>
      </patternFill>
    </fill>
    <fill>
      <patternFill patternType="solid">
        <fgColor rgb="FFC9DAF8"/>
        <bgColor rgb="FFC9DAF8"/>
      </patternFill>
    </fill>
    <fill>
      <patternFill patternType="solid">
        <fgColor rgb="FFF9CB9C"/>
        <bgColor rgb="FFF9CB9C"/>
      </patternFill>
    </fill>
    <fill>
      <patternFill patternType="solid">
        <fgColor rgb="FFF6B26B"/>
        <bgColor rgb="FFF6B26B"/>
      </patternFill>
    </fill>
    <fill>
      <patternFill patternType="solid">
        <fgColor rgb="FFB4A7D6"/>
        <bgColor rgb="FFB4A7D6"/>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FF9900"/>
        <bgColor rgb="FFFF9900"/>
      </patternFill>
    </fill>
  </fills>
  <borders count="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4">
    <xf numFmtId="0" fontId="0" fillId="0" borderId="0" xfId="0"/>
    <xf numFmtId="0" fontId="1" fillId="2" borderId="0" xfId="0" applyFont="1" applyFill="1" applyAlignment="1">
      <alignment vertical="top"/>
    </xf>
    <xf numFmtId="0" fontId="0" fillId="0" borderId="0" xfId="0" applyFont="1" applyAlignment="1"/>
    <xf numFmtId="0" fontId="1" fillId="3" borderId="0" xfId="0" applyFont="1" applyFill="1" applyAlignment="1">
      <alignment vertical="top"/>
    </xf>
    <xf numFmtId="0" fontId="1" fillId="4" borderId="0" xfId="0" applyFont="1" applyFill="1" applyAlignment="1">
      <alignment vertical="top"/>
    </xf>
    <xf numFmtId="0" fontId="1" fillId="5" borderId="0" xfId="0" applyFont="1" applyFill="1" applyAlignment="1">
      <alignment vertical="top"/>
    </xf>
    <xf numFmtId="0" fontId="1" fillId="6" borderId="0" xfId="0" applyFont="1" applyFill="1" applyAlignment="1">
      <alignment vertical="top"/>
    </xf>
    <xf numFmtId="0" fontId="1" fillId="7" borderId="0" xfId="0" applyFont="1" applyFill="1" applyAlignment="1">
      <alignment vertical="top"/>
    </xf>
    <xf numFmtId="0" fontId="1" fillId="8" borderId="0" xfId="0" applyFont="1" applyFill="1" applyAlignment="1">
      <alignment vertical="top"/>
    </xf>
    <xf numFmtId="0" fontId="2" fillId="2" borderId="0" xfId="0" applyFont="1" applyFill="1" applyAlignment="1">
      <alignment vertical="top"/>
    </xf>
    <xf numFmtId="0" fontId="3" fillId="3" borderId="0" xfId="0" applyFont="1" applyFill="1" applyAlignment="1">
      <alignment vertical="top"/>
    </xf>
    <xf numFmtId="0" fontId="5" fillId="4" borderId="0" xfId="0" applyFont="1" applyFill="1" applyAlignment="1">
      <alignment vertical="top"/>
    </xf>
    <xf numFmtId="0" fontId="5" fillId="5" borderId="0" xfId="0" applyFont="1" applyFill="1" applyAlignment="1">
      <alignment vertical="top"/>
    </xf>
    <xf numFmtId="0" fontId="5" fillId="6" borderId="0" xfId="0" applyFont="1" applyFill="1" applyAlignment="1"/>
    <xf numFmtId="0" fontId="3" fillId="7" borderId="0" xfId="0" applyFont="1" applyFill="1" applyAlignment="1">
      <alignment vertical="top"/>
    </xf>
    <xf numFmtId="0" fontId="3" fillId="2" borderId="0" xfId="0" applyFont="1" applyFill="1" applyAlignment="1"/>
    <xf numFmtId="0" fontId="3" fillId="3" borderId="0" xfId="0" applyFont="1" applyFill="1" applyAlignment="1"/>
    <xf numFmtId="0" fontId="3" fillId="4" borderId="0" xfId="0" applyFont="1" applyFill="1" applyAlignment="1"/>
    <xf numFmtId="0" fontId="3" fillId="4" borderId="0" xfId="0" applyFont="1" applyFill="1" applyAlignment="1"/>
    <xf numFmtId="0" fontId="3" fillId="5" borderId="0" xfId="0" applyFont="1" applyFill="1" applyAlignment="1">
      <alignment horizontal="left"/>
    </xf>
    <xf numFmtId="0" fontId="3" fillId="5" borderId="0" xfId="0" applyFont="1" applyFill="1" applyAlignment="1"/>
    <xf numFmtId="0" fontId="3" fillId="6" borderId="0" xfId="0" applyFont="1" applyFill="1" applyAlignment="1"/>
    <xf numFmtId="0" fontId="3" fillId="6" borderId="0" xfId="0" applyFont="1" applyFill="1" applyAlignment="1"/>
    <xf numFmtId="0" fontId="3" fillId="7" borderId="0" xfId="0" applyFont="1" applyFill="1" applyAlignment="1"/>
    <xf numFmtId="0" fontId="3" fillId="8" borderId="0" xfId="0" applyFont="1" applyFill="1" applyAlignment="1"/>
    <xf numFmtId="0" fontId="5" fillId="0" borderId="1" xfId="0" applyFont="1" applyBorder="1" applyAlignment="1"/>
    <xf numFmtId="0" fontId="3" fillId="4" borderId="1" xfId="0" applyFont="1" applyFill="1" applyBorder="1" applyAlignment="1"/>
    <xf numFmtId="0" fontId="3" fillId="5" borderId="1" xfId="0" applyFont="1" applyFill="1" applyBorder="1" applyAlignment="1"/>
    <xf numFmtId="0" fontId="3" fillId="6" borderId="1" xfId="0" applyFont="1" applyFill="1" applyBorder="1" applyAlignment="1"/>
    <xf numFmtId="0" fontId="3" fillId="7" borderId="1" xfId="0" applyFont="1" applyFill="1" applyBorder="1" applyAlignment="1"/>
    <xf numFmtId="0" fontId="3" fillId="7" borderId="1" xfId="0" applyFont="1" applyFill="1" applyBorder="1" applyAlignment="1">
      <alignment horizontal="right"/>
    </xf>
    <xf numFmtId="0" fontId="3" fillId="8" borderId="1" xfId="0" applyFont="1" applyFill="1" applyBorder="1" applyAlignment="1"/>
    <xf numFmtId="0" fontId="5" fillId="0" borderId="0" xfId="0" applyFont="1" applyAlignment="1"/>
    <xf numFmtId="0" fontId="5" fillId="0" borderId="0" xfId="0" applyFont="1" applyBorder="1" applyAlignment="1"/>
    <xf numFmtId="0" fontId="0" fillId="0" borderId="0" xfId="0" applyFont="1" applyBorder="1" applyAlignment="1"/>
    <xf numFmtId="0" fontId="0" fillId="0" borderId="0" xfId="0" applyFont="1" applyAlignment="1"/>
    <xf numFmtId="0" fontId="6" fillId="0" borderId="0" xfId="0" applyFont="1" applyBorder="1" applyAlignment="1"/>
    <xf numFmtId="0" fontId="6" fillId="0" borderId="0" xfId="0" applyFont="1" applyAlignment="1"/>
    <xf numFmtId="0" fontId="5" fillId="9" borderId="0" xfId="0" applyFont="1" applyFill="1" applyAlignment="1"/>
    <xf numFmtId="0" fontId="5" fillId="9" borderId="2" xfId="0" applyFont="1" applyFill="1" applyBorder="1" applyAlignment="1"/>
    <xf numFmtId="0" fontId="0" fillId="9" borderId="0" xfId="0" applyFont="1" applyFill="1" applyBorder="1" applyAlignment="1"/>
    <xf numFmtId="0" fontId="0" fillId="0" borderId="0" xfId="0" applyFont="1" applyFill="1" applyBorder="1" applyAlignment="1"/>
    <xf numFmtId="0" fontId="5" fillId="0" borderId="2" xfId="0" applyFont="1" applyBorder="1" applyAlignment="1"/>
    <xf numFmtId="0" fontId="0" fillId="0" borderId="2" xfId="0" applyFont="1" applyBorder="1" applyAlignment="1"/>
    <xf numFmtId="0" fontId="5" fillId="0" borderId="0" xfId="0" applyFont="1" applyFill="1" applyAlignment="1"/>
    <xf numFmtId="0" fontId="0" fillId="0" borderId="0" xfId="0" applyFont="1" applyFill="1" applyAlignment="1"/>
    <xf numFmtId="0" fontId="0" fillId="0" borderId="0" xfId="0" applyFont="1" applyFill="1" applyAlignment="1">
      <alignment horizontal="right"/>
    </xf>
    <xf numFmtId="0" fontId="0" fillId="0" borderId="2" xfId="0" applyFont="1" applyFill="1" applyBorder="1" applyAlignment="1"/>
    <xf numFmtId="0" fontId="6" fillId="0" borderId="0" xfId="0" applyFont="1" applyFill="1" applyAlignment="1"/>
    <xf numFmtId="0" fontId="5" fillId="0" borderId="2" xfId="0" applyFont="1" applyFill="1" applyBorder="1" applyAlignment="1"/>
    <xf numFmtId="0" fontId="0" fillId="0" borderId="0" xfId="0" applyFont="1" applyAlignment="1">
      <alignment horizontal="right"/>
    </xf>
    <xf numFmtId="0" fontId="7" fillId="0" borderId="0" xfId="0" applyFont="1" applyAlignment="1"/>
    <xf numFmtId="0" fontId="5" fillId="0" borderId="0" xfId="0" quotePrefix="1" applyFont="1" applyAlignment="1"/>
    <xf numFmtId="0" fontId="5" fillId="10" borderId="0" xfId="0" applyFont="1" applyFill="1" applyAlignment="1"/>
    <xf numFmtId="0" fontId="5" fillId="0" borderId="0" xfId="0" applyFont="1" applyAlignment="1">
      <alignment horizontal="left"/>
    </xf>
    <xf numFmtId="0" fontId="0" fillId="9" borderId="0" xfId="0" applyFont="1" applyFill="1" applyAlignment="1">
      <alignment horizontal="left"/>
    </xf>
    <xf numFmtId="0" fontId="5" fillId="0" borderId="0" xfId="0" applyFont="1" applyAlignment="1">
      <alignment vertical="top"/>
    </xf>
    <xf numFmtId="3" fontId="0" fillId="0" borderId="0" xfId="0" applyNumberFormat="1" applyFont="1" applyAlignment="1">
      <alignment horizontal="right"/>
    </xf>
    <xf numFmtId="0" fontId="3" fillId="0" borderId="0" xfId="0" applyFont="1" applyAlignment="1"/>
    <xf numFmtId="0" fontId="5" fillId="9" borderId="0" xfId="0" applyFont="1" applyFill="1" applyAlignment="1">
      <alignment vertical="top"/>
    </xf>
    <xf numFmtId="0" fontId="4" fillId="0" borderId="0" xfId="0" applyFont="1" applyAlignment="1"/>
    <xf numFmtId="0" fontId="0" fillId="9" borderId="0" xfId="0" applyFont="1" applyFill="1" applyAlignment="1"/>
    <xf numFmtId="0" fontId="0" fillId="0" borderId="0" xfId="0" applyFont="1" applyFill="1" applyBorder="1" applyAlignment="1">
      <alignment horizontal="right"/>
    </xf>
    <xf numFmtId="0" fontId="5" fillId="0" borderId="0" xfId="0" applyFont="1" applyFill="1" applyBorder="1" applyAlignment="1"/>
    <xf numFmtId="0" fontId="0" fillId="0" borderId="0" xfId="0" quotePrefix="1" applyFont="1" applyFill="1" applyBorder="1" applyAlignment="1"/>
    <xf numFmtId="0" fontId="6" fillId="0" borderId="0" xfId="0" applyFont="1" applyFill="1" applyBorder="1" applyAlignment="1"/>
    <xf numFmtId="0" fontId="0" fillId="9" borderId="0" xfId="0" applyFont="1" applyFill="1" applyAlignment="1">
      <alignment horizontal="right"/>
    </xf>
    <xf numFmtId="0" fontId="0" fillId="0" borderId="0" xfId="0" quotePrefix="1" applyFont="1" applyAlignment="1"/>
    <xf numFmtId="0" fontId="0" fillId="9" borderId="0" xfId="0" quotePrefix="1" applyFont="1" applyFill="1" applyBorder="1" applyAlignment="1"/>
    <xf numFmtId="0" fontId="6" fillId="9" borderId="0" xfId="0" applyFont="1" applyFill="1" applyBorder="1" applyAlignment="1"/>
    <xf numFmtId="0" fontId="8" fillId="9" borderId="0" xfId="0" applyFont="1" applyFill="1" applyAlignment="1"/>
    <xf numFmtId="0" fontId="8" fillId="9" borderId="0" xfId="0" applyFont="1" applyFill="1" applyAlignment="1">
      <alignment horizontal="left"/>
    </xf>
    <xf numFmtId="0" fontId="8" fillId="9" borderId="0" xfId="0" quotePrefix="1" applyFont="1" applyFill="1" applyAlignment="1"/>
    <xf numFmtId="0" fontId="8" fillId="0" borderId="0" xfId="0" applyFont="1"/>
  </cellXfs>
  <cellStyles count="1">
    <cellStyle name="Normal" xfId="0" builtinId="0"/>
  </cellStyles>
  <dxfs count="128">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ont>
        <color rgb="FF9C0006"/>
      </font>
      <fill>
        <patternFill>
          <bgColor rgb="FFFFC7CE"/>
        </patternFill>
      </fill>
    </dxf>
    <dxf>
      <font>
        <color rgb="FF9C6500"/>
      </font>
      <fill>
        <patternFill>
          <bgColor rgb="FFFFEB9C"/>
        </patternFill>
      </fill>
    </dxf>
    <dxf>
      <font>
        <color theme="1"/>
      </font>
      <fill>
        <patternFill patternType="solid">
          <fgColor indexed="64"/>
          <bgColor theme="6"/>
        </patternFill>
      </fill>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B7E1CD"/>
          <bgColor rgb="FFB7E1CD"/>
        </patternFill>
      </fill>
      <border>
        <left/>
        <right/>
        <top/>
        <bottom/>
      </border>
    </dxf>
    <dxf>
      <font>
        <color rgb="FF9C0006"/>
      </font>
      <fill>
        <patternFill>
          <bgColor rgb="FFFFC7CE"/>
        </patternFill>
      </fill>
    </dxf>
    <dxf>
      <font>
        <color rgb="FF9C6500"/>
      </font>
      <fill>
        <patternFill>
          <bgColor rgb="FFFFEB9C"/>
        </patternFill>
      </fill>
    </dxf>
    <dxf>
      <font>
        <color theme="1"/>
      </font>
      <fill>
        <patternFill patternType="solid">
          <fgColor indexed="64"/>
          <bgColor theme="6"/>
        </patternFill>
      </fill>
    </dxf>
    <dxf>
      <fill>
        <patternFill patternType="solid">
          <fgColor rgb="FFB7E1CD"/>
          <bgColor rgb="FFB7E1CD"/>
        </patternFill>
      </fill>
      <border>
        <left/>
        <right/>
        <top/>
        <bottom/>
      </border>
    </dxf>
    <dxf>
      <font>
        <color rgb="FF9C0006"/>
      </font>
      <fill>
        <patternFill>
          <bgColor rgb="FFFFC7CE"/>
        </patternFill>
      </fill>
    </dxf>
    <dxf>
      <font>
        <color rgb="FF9C6500"/>
      </font>
      <fill>
        <patternFill>
          <bgColor rgb="FFFFEB9C"/>
        </patternFill>
      </fill>
    </dxf>
    <dxf>
      <font>
        <color theme="1"/>
      </font>
      <fill>
        <patternFill patternType="solid">
          <fgColor indexed="64"/>
          <bgColor theme="6"/>
        </patternFill>
      </fill>
    </dxf>
    <dxf>
      <fill>
        <patternFill patternType="solid">
          <fgColor rgb="FFB7E1CD"/>
          <bgColor rgb="FFB7E1CD"/>
        </patternFill>
      </fill>
      <border>
        <left/>
        <right/>
        <top/>
        <bottom/>
      </border>
    </dxf>
    <dxf>
      <font>
        <color rgb="FF9C0006"/>
      </font>
      <fill>
        <patternFill>
          <bgColor rgb="FFFFC7CE"/>
        </patternFill>
      </fill>
    </dxf>
    <dxf>
      <font>
        <color rgb="FF9C6500"/>
      </font>
      <fill>
        <patternFill>
          <bgColor rgb="FFFFEB9C"/>
        </patternFill>
      </fill>
    </dxf>
    <dxf>
      <font>
        <color theme="1"/>
      </font>
      <fill>
        <patternFill patternType="solid">
          <fgColor indexed="64"/>
          <bgColor theme="6"/>
        </patternFill>
      </fill>
    </dxf>
    <dxf>
      <fill>
        <patternFill patternType="solid">
          <fgColor rgb="FFB7E1CD"/>
          <bgColor rgb="FFB7E1CD"/>
        </patternFill>
      </fill>
      <border>
        <left/>
        <right/>
        <top/>
        <bottom/>
      </border>
    </dxf>
    <dxf>
      <font>
        <color rgb="FF9C0006"/>
      </font>
      <fill>
        <patternFill>
          <bgColor rgb="FFFFC7CE"/>
        </patternFill>
      </fill>
    </dxf>
    <dxf>
      <font>
        <color rgb="FF9C6500"/>
      </font>
      <fill>
        <patternFill>
          <bgColor rgb="FFFFEB9C"/>
        </patternFill>
      </fill>
    </dxf>
    <dxf>
      <font>
        <color theme="1"/>
      </font>
      <fill>
        <patternFill patternType="solid">
          <fgColor indexed="64"/>
          <bgColor theme="6"/>
        </patternFill>
      </fill>
    </dxf>
    <dxf>
      <fill>
        <patternFill patternType="solid">
          <fgColor rgb="FFB7E1CD"/>
          <bgColor rgb="FFB7E1CD"/>
        </patternFill>
      </fill>
      <border>
        <left/>
        <right/>
        <top/>
        <bottom/>
      </border>
    </dxf>
    <dxf>
      <font>
        <color rgb="FF9C0006"/>
      </font>
      <fill>
        <patternFill>
          <bgColor rgb="FFFFC7CE"/>
        </patternFill>
      </fill>
    </dxf>
    <dxf>
      <font>
        <color rgb="FF9C6500"/>
      </font>
      <fill>
        <patternFill>
          <bgColor rgb="FFFFEB9C"/>
        </patternFill>
      </fill>
    </dxf>
    <dxf>
      <font>
        <color theme="1"/>
      </font>
      <fill>
        <patternFill patternType="solid">
          <fgColor indexed="64"/>
          <bgColor theme="6"/>
        </patternFill>
      </fill>
    </dxf>
    <dxf>
      <fill>
        <patternFill patternType="solid">
          <fgColor rgb="FFB7E1CD"/>
          <bgColor rgb="FFB7E1CD"/>
        </patternFill>
      </fill>
      <border>
        <left/>
        <right/>
        <top/>
        <bottom/>
      </border>
    </dxf>
    <dxf>
      <font>
        <color rgb="FF9C0006"/>
      </font>
      <fill>
        <patternFill>
          <bgColor rgb="FFFFC7CE"/>
        </patternFill>
      </fill>
    </dxf>
    <dxf>
      <font>
        <color rgb="FF9C6500"/>
      </font>
      <fill>
        <patternFill>
          <bgColor rgb="FFFFEB9C"/>
        </patternFill>
      </fill>
    </dxf>
    <dxf>
      <font>
        <color theme="1"/>
      </font>
      <fill>
        <patternFill patternType="solid">
          <fgColor indexed="64"/>
          <bgColor theme="6"/>
        </patternFill>
      </fill>
    </dxf>
    <dxf>
      <fill>
        <patternFill patternType="solid">
          <fgColor rgb="FFB7E1CD"/>
          <bgColor rgb="FFB7E1CD"/>
        </patternFill>
      </fill>
      <border>
        <left/>
        <right/>
        <top/>
        <bottom/>
      </border>
    </dxf>
    <dxf>
      <font>
        <color rgb="FF9C0006"/>
      </font>
      <fill>
        <patternFill>
          <bgColor rgb="FFFFC7CE"/>
        </patternFill>
      </fill>
    </dxf>
    <dxf>
      <font>
        <color rgb="FF9C6500"/>
      </font>
      <fill>
        <patternFill>
          <bgColor rgb="FFFFEB9C"/>
        </patternFill>
      </fill>
    </dxf>
    <dxf>
      <font>
        <color theme="1"/>
      </font>
      <fill>
        <patternFill patternType="solid">
          <fgColor indexed="64"/>
          <bgColor theme="6"/>
        </patternFill>
      </fill>
    </dxf>
    <dxf>
      <fill>
        <patternFill patternType="solid">
          <fgColor rgb="FFB7E1CD"/>
          <bgColor rgb="FFB7E1CD"/>
        </patternFill>
      </fill>
      <border>
        <left/>
        <right/>
        <top/>
        <bottom/>
      </border>
    </dxf>
    <dxf>
      <font>
        <color rgb="FF9C0006"/>
      </font>
      <fill>
        <patternFill>
          <bgColor rgb="FFFFC7CE"/>
        </patternFill>
      </fill>
    </dxf>
    <dxf>
      <font>
        <color rgb="FF9C6500"/>
      </font>
      <fill>
        <patternFill>
          <bgColor rgb="FFFFEB9C"/>
        </patternFill>
      </fill>
    </dxf>
    <dxf>
      <font>
        <color theme="1"/>
      </font>
      <fill>
        <patternFill patternType="solid">
          <fgColor indexed="64"/>
          <bgColor theme="6"/>
        </patternFill>
      </fill>
    </dxf>
    <dxf>
      <fill>
        <patternFill patternType="solid">
          <fgColor rgb="FFB7E1CD"/>
          <bgColor rgb="FFB7E1CD"/>
        </patternFill>
      </fill>
      <border>
        <left/>
        <right/>
        <top/>
        <bottom/>
      </border>
    </dxf>
    <dxf>
      <font>
        <color rgb="FF9C0006"/>
      </font>
      <fill>
        <patternFill>
          <bgColor rgb="FFFFC7CE"/>
        </patternFill>
      </fill>
    </dxf>
    <dxf>
      <font>
        <color rgb="FF9C6500"/>
      </font>
      <fill>
        <patternFill>
          <bgColor rgb="FFFFEB9C"/>
        </patternFill>
      </fill>
    </dxf>
    <dxf>
      <font>
        <color theme="1"/>
      </font>
      <fill>
        <patternFill patternType="solid">
          <fgColor indexed="64"/>
          <bgColor theme="6"/>
        </patternFill>
      </fill>
    </dxf>
    <dxf>
      <fill>
        <patternFill patternType="solid">
          <fgColor rgb="FFB7E1CD"/>
          <bgColor rgb="FFB7E1CD"/>
        </patternFill>
      </fill>
      <border>
        <left/>
        <right/>
        <top/>
        <bottom/>
      </border>
    </dxf>
    <dxf>
      <font>
        <color rgb="FF9C0006"/>
      </font>
      <fill>
        <patternFill>
          <bgColor rgb="FFFFC7CE"/>
        </patternFill>
      </fill>
    </dxf>
    <dxf>
      <font>
        <color rgb="FF9C6500"/>
      </font>
      <fill>
        <patternFill>
          <bgColor rgb="FFFFEB9C"/>
        </patternFill>
      </fill>
    </dxf>
    <dxf>
      <font>
        <color theme="1"/>
      </font>
      <fill>
        <patternFill patternType="solid">
          <fgColor indexed="64"/>
          <bgColor theme="6"/>
        </patternFill>
      </fill>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
      <fill>
        <patternFill patternType="solid">
          <fgColor rgb="FFFFF2CC"/>
          <bgColor rgb="FFFFF2CC"/>
        </patternFill>
      </fill>
      <border>
        <left/>
        <right/>
        <top/>
        <bottom/>
      </border>
    </dxf>
    <dxf>
      <fill>
        <patternFill patternType="solid">
          <fgColor rgb="FFD9D9D9"/>
          <bgColor rgb="FFD9D9D9"/>
        </patternFill>
      </fill>
      <border>
        <left/>
        <right/>
        <top/>
        <bottom/>
      </border>
    </dxf>
    <dxf>
      <fill>
        <patternFill patternType="solid">
          <fgColor rgb="FFEA9999"/>
          <bgColor rgb="FFEA9999"/>
        </patternFill>
      </fill>
      <border>
        <left/>
        <right/>
        <top/>
        <bottom/>
      </border>
    </dxf>
    <dxf>
      <fill>
        <patternFill patternType="solid">
          <fgColor rgb="FFB7E1CD"/>
          <bgColor rgb="FFB7E1CD"/>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52"/>
  <sheetViews>
    <sheetView tabSelected="1" workbookViewId="0">
      <selection activeCell="A52" sqref="A52"/>
    </sheetView>
  </sheetViews>
  <sheetFormatPr defaultRowHeight="14.4" x14ac:dyDescent="0.3"/>
  <sheetData>
    <row r="1" spans="1:43" ht="15.6" x14ac:dyDescent="0.3">
      <c r="A1" s="1" t="s">
        <v>0</v>
      </c>
      <c r="B1" s="2"/>
      <c r="C1" s="2"/>
      <c r="D1" s="2"/>
      <c r="E1" s="2"/>
      <c r="F1" s="2"/>
      <c r="G1" s="3" t="s">
        <v>1</v>
      </c>
      <c r="H1" s="2"/>
      <c r="I1" s="4" t="s">
        <v>2</v>
      </c>
      <c r="J1" s="2"/>
      <c r="K1" s="2"/>
      <c r="L1" s="2"/>
      <c r="M1" s="2"/>
      <c r="N1" s="2"/>
      <c r="O1" s="2"/>
      <c r="P1" s="2"/>
      <c r="Q1" s="2"/>
      <c r="R1" s="2"/>
      <c r="S1" s="2"/>
      <c r="T1" s="2"/>
      <c r="U1" s="2"/>
      <c r="V1" s="2"/>
      <c r="W1" s="2"/>
      <c r="X1" s="2"/>
      <c r="Y1" s="2"/>
      <c r="Z1" s="2"/>
      <c r="AA1" s="5" t="s">
        <v>3</v>
      </c>
      <c r="AB1" s="2"/>
      <c r="AC1" s="2"/>
      <c r="AD1" s="2"/>
      <c r="AE1" s="2"/>
      <c r="AF1" s="2"/>
      <c r="AG1" s="6" t="s">
        <v>4</v>
      </c>
      <c r="AH1" s="2"/>
      <c r="AI1" s="2"/>
      <c r="AJ1" s="2"/>
      <c r="AK1" s="2"/>
      <c r="AL1" s="2"/>
      <c r="AM1" s="7" t="s">
        <v>5</v>
      </c>
      <c r="AN1" s="2"/>
      <c r="AO1" s="2"/>
      <c r="AP1" s="2"/>
      <c r="AQ1" s="8"/>
    </row>
    <row r="2" spans="1:43" ht="15.6" x14ac:dyDescent="0.3">
      <c r="A2" s="9" t="s">
        <v>6</v>
      </c>
      <c r="B2" s="2"/>
      <c r="C2" s="2"/>
      <c r="D2" s="2"/>
      <c r="E2" s="2"/>
      <c r="F2" s="2"/>
      <c r="G2" s="10" t="s">
        <v>7</v>
      </c>
      <c r="H2" s="2"/>
      <c r="I2" s="11" t="s">
        <v>8</v>
      </c>
      <c r="J2" s="2"/>
      <c r="K2" s="2"/>
      <c r="L2" s="2"/>
      <c r="M2" s="2"/>
      <c r="N2" s="2"/>
      <c r="O2" s="2"/>
      <c r="P2" s="2"/>
      <c r="Q2" s="2"/>
      <c r="R2" s="2"/>
      <c r="S2" s="2"/>
      <c r="T2" s="2"/>
      <c r="U2" s="2"/>
      <c r="V2" s="2"/>
      <c r="W2" s="2"/>
      <c r="X2" s="2"/>
      <c r="Y2" s="2"/>
      <c r="Z2" s="2"/>
      <c r="AA2" s="12" t="s">
        <v>9</v>
      </c>
      <c r="AB2" s="2"/>
      <c r="AC2" s="2"/>
      <c r="AD2" s="2"/>
      <c r="AE2" s="2"/>
      <c r="AF2" s="2"/>
      <c r="AG2" s="13" t="s">
        <v>10</v>
      </c>
      <c r="AH2" s="2"/>
      <c r="AI2" s="2"/>
      <c r="AJ2" s="2"/>
      <c r="AK2" s="2"/>
      <c r="AL2" s="2"/>
      <c r="AM2" s="14" t="s">
        <v>11</v>
      </c>
      <c r="AN2" s="2"/>
      <c r="AO2" s="2"/>
      <c r="AP2" s="2"/>
      <c r="AQ2" s="8" t="s">
        <v>12</v>
      </c>
    </row>
    <row r="3" spans="1:43" x14ac:dyDescent="0.3">
      <c r="A3" s="15" t="s">
        <v>13</v>
      </c>
      <c r="B3" s="15" t="s">
        <v>14</v>
      </c>
      <c r="C3" s="15" t="s">
        <v>15</v>
      </c>
      <c r="D3" s="15" t="s">
        <v>16</v>
      </c>
      <c r="E3" s="15" t="s">
        <v>17</v>
      </c>
      <c r="F3" s="15" t="s">
        <v>18</v>
      </c>
      <c r="G3" s="16" t="s">
        <v>19</v>
      </c>
      <c r="H3" s="16" t="s">
        <v>20</v>
      </c>
      <c r="I3" s="17" t="s">
        <v>21</v>
      </c>
      <c r="J3" s="17" t="s">
        <v>22</v>
      </c>
      <c r="K3" s="2"/>
      <c r="L3" s="2"/>
      <c r="M3" s="2"/>
      <c r="N3" s="17" t="s">
        <v>23</v>
      </c>
      <c r="O3" s="2"/>
      <c r="P3" s="2"/>
      <c r="Q3" s="17" t="s">
        <v>24</v>
      </c>
      <c r="R3" s="2"/>
      <c r="S3" s="2"/>
      <c r="T3" s="2"/>
      <c r="U3" s="17" t="s">
        <v>25</v>
      </c>
      <c r="V3" s="17"/>
      <c r="W3" s="2"/>
      <c r="X3" s="18" t="s">
        <v>26</v>
      </c>
      <c r="Y3" s="17" t="s">
        <v>27</v>
      </c>
      <c r="Z3" s="2"/>
      <c r="AA3" s="19" t="s">
        <v>28</v>
      </c>
      <c r="AB3" s="19"/>
      <c r="AC3" s="19"/>
      <c r="AD3" s="19"/>
      <c r="AE3" s="19"/>
      <c r="AF3" s="20" t="s">
        <v>26</v>
      </c>
      <c r="AG3" s="21" t="s">
        <v>27</v>
      </c>
      <c r="AH3" s="22" t="s">
        <v>29</v>
      </c>
      <c r="AI3" s="2"/>
      <c r="AJ3" s="22" t="s">
        <v>30</v>
      </c>
      <c r="AK3" s="2"/>
      <c r="AL3" s="2"/>
      <c r="AM3" s="23" t="s">
        <v>31</v>
      </c>
      <c r="AN3" s="2"/>
      <c r="AO3" s="2"/>
      <c r="AP3" s="2"/>
      <c r="AQ3" s="24"/>
    </row>
    <row r="4" spans="1:43" x14ac:dyDescent="0.3">
      <c r="A4" s="25"/>
      <c r="B4" s="25"/>
      <c r="C4" s="25"/>
      <c r="D4" s="25"/>
      <c r="E4" s="25"/>
      <c r="F4" s="25"/>
      <c r="G4" s="25"/>
      <c r="H4" s="25"/>
      <c r="I4" s="25"/>
      <c r="J4" s="26" t="s">
        <v>32</v>
      </c>
      <c r="K4" s="26" t="s">
        <v>33</v>
      </c>
      <c r="L4" s="26" t="s">
        <v>34</v>
      </c>
      <c r="M4" s="26" t="s">
        <v>35</v>
      </c>
      <c r="N4" s="26" t="s">
        <v>36</v>
      </c>
      <c r="O4" s="26" t="s">
        <v>37</v>
      </c>
      <c r="P4" s="26" t="s">
        <v>38</v>
      </c>
      <c r="Q4" s="26" t="s">
        <v>39</v>
      </c>
      <c r="R4" s="26" t="s">
        <v>40</v>
      </c>
      <c r="S4" s="26" t="s">
        <v>41</v>
      </c>
      <c r="T4" s="26" t="s">
        <v>42</v>
      </c>
      <c r="U4" s="26" t="s">
        <v>43</v>
      </c>
      <c r="V4" s="26" t="s">
        <v>44</v>
      </c>
      <c r="W4" s="26" t="s">
        <v>45</v>
      </c>
      <c r="X4" s="26" t="s">
        <v>46</v>
      </c>
      <c r="Y4" s="26" t="s">
        <v>27</v>
      </c>
      <c r="Z4" s="26" t="s">
        <v>47</v>
      </c>
      <c r="AA4" s="27" t="s">
        <v>48</v>
      </c>
      <c r="AB4" s="27" t="s">
        <v>49</v>
      </c>
      <c r="AC4" s="27" t="s">
        <v>50</v>
      </c>
      <c r="AD4" s="27" t="s">
        <v>51</v>
      </c>
      <c r="AE4" s="27"/>
      <c r="AF4" s="27" t="s">
        <v>52</v>
      </c>
      <c r="AG4" s="28" t="s">
        <v>53</v>
      </c>
      <c r="AH4" s="28" t="s">
        <v>54</v>
      </c>
      <c r="AI4" s="28" t="s">
        <v>55</v>
      </c>
      <c r="AJ4" s="28" t="s">
        <v>56</v>
      </c>
      <c r="AK4" s="28" t="s">
        <v>57</v>
      </c>
      <c r="AL4" s="28" t="s">
        <v>58</v>
      </c>
      <c r="AM4" s="29" t="s">
        <v>59</v>
      </c>
      <c r="AN4" s="29" t="s">
        <v>60</v>
      </c>
      <c r="AO4" s="29" t="s">
        <v>61</v>
      </c>
      <c r="AP4" s="30" t="s">
        <v>62</v>
      </c>
      <c r="AQ4" s="31"/>
    </row>
    <row r="5" spans="1:43" x14ac:dyDescent="0.3">
      <c r="A5" s="44">
        <v>1</v>
      </c>
      <c r="B5" s="32" t="s">
        <v>63</v>
      </c>
      <c r="C5" s="33" t="s">
        <v>64</v>
      </c>
      <c r="D5" s="33">
        <v>2016</v>
      </c>
      <c r="E5" s="33" t="s">
        <v>65</v>
      </c>
      <c r="F5" s="33" t="s">
        <v>66</v>
      </c>
      <c r="G5" s="33" t="s">
        <v>67</v>
      </c>
      <c r="H5" s="34"/>
      <c r="I5" s="33" t="s">
        <v>68</v>
      </c>
      <c r="J5" s="35"/>
      <c r="K5" s="33" t="s">
        <v>69</v>
      </c>
      <c r="L5" s="33" t="s">
        <v>70</v>
      </c>
      <c r="M5" s="33" t="s">
        <v>71</v>
      </c>
      <c r="N5" s="33" t="s">
        <v>72</v>
      </c>
      <c r="O5" s="34"/>
      <c r="P5" s="34"/>
      <c r="Q5" s="32" t="s">
        <v>73</v>
      </c>
      <c r="R5" s="32" t="s">
        <v>74</v>
      </c>
      <c r="S5" s="34"/>
      <c r="T5" s="35"/>
      <c r="U5" s="34"/>
      <c r="V5" s="36" t="s">
        <v>75</v>
      </c>
      <c r="W5" s="36" t="s">
        <v>76</v>
      </c>
      <c r="X5" s="34"/>
      <c r="Y5" s="33" t="s">
        <v>78</v>
      </c>
      <c r="Z5" s="35"/>
      <c r="AA5" s="34"/>
      <c r="AB5" s="35"/>
      <c r="AC5" s="35"/>
      <c r="AD5" s="35"/>
      <c r="AE5" s="35"/>
      <c r="AF5" s="35"/>
      <c r="AG5" s="35"/>
      <c r="AH5" s="34"/>
      <c r="AI5" s="35"/>
      <c r="AJ5" s="34"/>
      <c r="AK5" s="34"/>
      <c r="AL5" s="35"/>
      <c r="AM5" s="32" t="s">
        <v>80</v>
      </c>
      <c r="AN5" s="35"/>
      <c r="AO5" s="34"/>
      <c r="AP5" s="34"/>
      <c r="AQ5" s="34"/>
    </row>
    <row r="6" spans="1:43" x14ac:dyDescent="0.3">
      <c r="A6" s="44">
        <v>2</v>
      </c>
      <c r="B6" s="32" t="s">
        <v>81</v>
      </c>
      <c r="C6" s="32" t="s">
        <v>82</v>
      </c>
      <c r="D6" s="32">
        <v>2001</v>
      </c>
      <c r="E6" s="32" t="s">
        <v>83</v>
      </c>
      <c r="F6" s="32" t="s">
        <v>84</v>
      </c>
      <c r="G6" s="35" t="s">
        <v>85</v>
      </c>
      <c r="H6" s="35"/>
      <c r="I6" s="35" t="s">
        <v>86</v>
      </c>
      <c r="J6" s="35" t="s">
        <v>87</v>
      </c>
      <c r="K6" s="35" t="s">
        <v>88</v>
      </c>
      <c r="L6" s="35" t="s">
        <v>89</v>
      </c>
      <c r="M6" s="35">
        <v>1993</v>
      </c>
      <c r="N6" s="35" t="s">
        <v>90</v>
      </c>
      <c r="O6" s="35" t="s">
        <v>91</v>
      </c>
      <c r="P6" s="35" t="s">
        <v>92</v>
      </c>
      <c r="Q6" s="35" t="s">
        <v>93</v>
      </c>
      <c r="R6" s="35" t="s">
        <v>94</v>
      </c>
      <c r="S6" s="35" t="s">
        <v>95</v>
      </c>
      <c r="T6" s="35" t="s">
        <v>96</v>
      </c>
      <c r="U6" s="35" t="s">
        <v>97</v>
      </c>
      <c r="V6" s="37" t="s">
        <v>98</v>
      </c>
      <c r="W6" s="37" t="s">
        <v>98</v>
      </c>
      <c r="X6" s="35" t="s">
        <v>77</v>
      </c>
      <c r="Y6" s="35" t="s">
        <v>99</v>
      </c>
      <c r="Z6" s="35"/>
      <c r="AA6" s="35" t="s">
        <v>100</v>
      </c>
      <c r="AB6" s="35" t="s">
        <v>101</v>
      </c>
      <c r="AC6" s="35" t="s">
        <v>102</v>
      </c>
      <c r="AD6" s="35" t="s">
        <v>103</v>
      </c>
      <c r="AE6" s="35"/>
      <c r="AF6" s="35" t="s">
        <v>104</v>
      </c>
      <c r="AG6" s="35" t="s">
        <v>99</v>
      </c>
      <c r="AH6" s="35" t="s">
        <v>105</v>
      </c>
      <c r="AI6" s="35" t="s">
        <v>87</v>
      </c>
      <c r="AJ6" s="35" t="s">
        <v>106</v>
      </c>
      <c r="AK6" s="35" t="s">
        <v>107</v>
      </c>
      <c r="AL6" s="35"/>
      <c r="AM6" s="35" t="s">
        <v>107</v>
      </c>
      <c r="AN6" s="35" t="s">
        <v>108</v>
      </c>
      <c r="AO6" s="35" t="s">
        <v>109</v>
      </c>
      <c r="AP6" s="35"/>
      <c r="AQ6" s="35"/>
    </row>
    <row r="7" spans="1:43" x14ac:dyDescent="0.3">
      <c r="A7" s="44">
        <v>3</v>
      </c>
      <c r="B7" s="32" t="s">
        <v>110</v>
      </c>
      <c r="C7" s="32" t="s">
        <v>111</v>
      </c>
      <c r="D7" s="32">
        <v>2015</v>
      </c>
      <c r="E7" s="32" t="s">
        <v>112</v>
      </c>
      <c r="F7" s="32" t="s">
        <v>113</v>
      </c>
      <c r="G7" s="32" t="s">
        <v>114</v>
      </c>
      <c r="H7" s="32" t="s">
        <v>115</v>
      </c>
      <c r="I7" s="32" t="s">
        <v>116</v>
      </c>
      <c r="J7" s="35"/>
      <c r="K7" s="38" t="s">
        <v>117</v>
      </c>
      <c r="L7" s="38" t="s">
        <v>118</v>
      </c>
      <c r="M7" s="38" t="s">
        <v>119</v>
      </c>
      <c r="N7" s="32" t="s">
        <v>120</v>
      </c>
      <c r="O7" s="32" t="s">
        <v>121</v>
      </c>
      <c r="P7" s="35"/>
      <c r="Q7" s="32" t="s">
        <v>122</v>
      </c>
      <c r="R7" s="32" t="s">
        <v>123</v>
      </c>
      <c r="S7" s="39" t="s">
        <v>124</v>
      </c>
      <c r="T7" s="35"/>
      <c r="U7" s="35" t="s">
        <v>125</v>
      </c>
      <c r="V7" s="37" t="s">
        <v>126</v>
      </c>
      <c r="W7" s="40" t="s">
        <v>125</v>
      </c>
      <c r="X7" s="41" t="s">
        <v>127</v>
      </c>
      <c r="Y7" s="32">
        <v>267</v>
      </c>
      <c r="Z7" s="35" t="s">
        <v>128</v>
      </c>
      <c r="AA7" s="42" t="s">
        <v>129</v>
      </c>
      <c r="AB7" s="35" t="s">
        <v>128</v>
      </c>
      <c r="AC7" s="35" t="s">
        <v>128</v>
      </c>
      <c r="AD7" s="35" t="s">
        <v>103</v>
      </c>
      <c r="AE7" s="35"/>
      <c r="AF7" s="35" t="s">
        <v>128</v>
      </c>
      <c r="AG7" s="32" t="s">
        <v>130</v>
      </c>
      <c r="AH7" s="32" t="s">
        <v>131</v>
      </c>
      <c r="AI7" s="32" t="s">
        <v>117</v>
      </c>
      <c r="AJ7" s="42" t="s">
        <v>132</v>
      </c>
      <c r="AK7" s="42" t="s">
        <v>133</v>
      </c>
      <c r="AL7" s="35"/>
      <c r="AM7" s="32" t="s">
        <v>134</v>
      </c>
      <c r="AN7" s="32" t="s">
        <v>135</v>
      </c>
      <c r="AO7" s="39" t="s">
        <v>136</v>
      </c>
      <c r="AP7" s="39" t="s">
        <v>137</v>
      </c>
      <c r="AQ7" s="43"/>
    </row>
    <row r="8" spans="1:43" x14ac:dyDescent="0.3">
      <c r="A8" s="44">
        <v>4</v>
      </c>
      <c r="B8" s="44" t="s">
        <v>138</v>
      </c>
      <c r="C8" s="45" t="s">
        <v>139</v>
      </c>
      <c r="D8" s="46">
        <v>2005</v>
      </c>
      <c r="E8" s="45" t="s">
        <v>140</v>
      </c>
      <c r="F8" s="45" t="s">
        <v>141</v>
      </c>
      <c r="G8" s="45" t="s">
        <v>142</v>
      </c>
      <c r="H8" s="45" t="s">
        <v>143</v>
      </c>
      <c r="I8" s="45" t="s">
        <v>144</v>
      </c>
      <c r="J8" s="45" t="s">
        <v>145</v>
      </c>
      <c r="K8" s="47" t="s">
        <v>146</v>
      </c>
      <c r="L8" s="47" t="s">
        <v>147</v>
      </c>
      <c r="M8" s="47" t="s">
        <v>148</v>
      </c>
      <c r="N8" s="47" t="s">
        <v>149</v>
      </c>
      <c r="O8" s="47" t="s">
        <v>150</v>
      </c>
      <c r="P8" s="47" t="s">
        <v>151</v>
      </c>
      <c r="Q8" s="45" t="s">
        <v>152</v>
      </c>
      <c r="R8" s="45" t="s">
        <v>153</v>
      </c>
      <c r="S8" s="47" t="s">
        <v>153</v>
      </c>
      <c r="T8" s="45" t="s">
        <v>154</v>
      </c>
      <c r="U8" s="45" t="s">
        <v>155</v>
      </c>
      <c r="V8" s="48" t="s">
        <v>156</v>
      </c>
      <c r="W8" s="47" t="s">
        <v>157</v>
      </c>
      <c r="X8" s="47" t="s">
        <v>158</v>
      </c>
      <c r="Y8" s="47" t="s">
        <v>159</v>
      </c>
      <c r="Z8" s="45" t="s">
        <v>160</v>
      </c>
      <c r="AA8" s="47" t="s">
        <v>161</v>
      </c>
      <c r="AB8" s="45"/>
      <c r="AC8" s="45"/>
      <c r="AD8" s="45" t="s">
        <v>128</v>
      </c>
      <c r="AE8" s="45"/>
      <c r="AF8" s="45"/>
      <c r="AG8" s="45" t="s">
        <v>162</v>
      </c>
      <c r="AH8" s="47" t="s">
        <v>163</v>
      </c>
      <c r="AI8" s="45"/>
      <c r="AJ8" s="47" t="s">
        <v>164</v>
      </c>
      <c r="AK8" s="49" t="s">
        <v>154</v>
      </c>
      <c r="AL8" s="45"/>
      <c r="AM8" s="47" t="s">
        <v>165</v>
      </c>
      <c r="AN8" s="45"/>
      <c r="AO8" s="47" t="s">
        <v>166</v>
      </c>
      <c r="AP8" s="47"/>
      <c r="AQ8" s="47"/>
    </row>
    <row r="9" spans="1:43" x14ac:dyDescent="0.3">
      <c r="A9" s="44">
        <v>5</v>
      </c>
      <c r="B9" s="35" t="s">
        <v>81</v>
      </c>
      <c r="C9" s="35" t="s">
        <v>167</v>
      </c>
      <c r="D9" s="50">
        <v>1999</v>
      </c>
      <c r="E9" s="35" t="s">
        <v>168</v>
      </c>
      <c r="F9" s="35" t="s">
        <v>169</v>
      </c>
      <c r="G9" s="35" t="s">
        <v>170</v>
      </c>
      <c r="H9" s="35" t="s">
        <v>171</v>
      </c>
      <c r="I9" s="51" t="s">
        <v>172</v>
      </c>
      <c r="J9" s="35" t="s">
        <v>173</v>
      </c>
      <c r="K9" s="35" t="s">
        <v>174</v>
      </c>
      <c r="L9" s="51" t="s">
        <v>175</v>
      </c>
      <c r="M9" s="35" t="s">
        <v>176</v>
      </c>
      <c r="N9" s="51" t="s">
        <v>177</v>
      </c>
      <c r="O9" s="51" t="s">
        <v>178</v>
      </c>
      <c r="P9" s="35" t="s">
        <v>179</v>
      </c>
      <c r="Q9" s="35" t="s">
        <v>180</v>
      </c>
      <c r="R9" s="51" t="s">
        <v>181</v>
      </c>
      <c r="S9" s="35" t="s">
        <v>182</v>
      </c>
      <c r="T9" s="35" t="s">
        <v>183</v>
      </c>
      <c r="U9" s="35" t="s">
        <v>184</v>
      </c>
      <c r="V9" s="37" t="s">
        <v>98</v>
      </c>
      <c r="W9" s="37" t="s">
        <v>98</v>
      </c>
      <c r="X9" s="35" t="s">
        <v>127</v>
      </c>
      <c r="Y9" s="35" t="s">
        <v>185</v>
      </c>
      <c r="Z9" s="35" t="s">
        <v>186</v>
      </c>
      <c r="AA9" s="35" t="s">
        <v>187</v>
      </c>
      <c r="AB9" s="35" t="s">
        <v>128</v>
      </c>
      <c r="AC9" s="35" t="s">
        <v>128</v>
      </c>
      <c r="AD9" s="35" t="s">
        <v>188</v>
      </c>
      <c r="AE9" s="35"/>
      <c r="AF9" s="35" t="s">
        <v>128</v>
      </c>
      <c r="AG9" s="35" t="s">
        <v>185</v>
      </c>
      <c r="AH9" s="35" t="s">
        <v>189</v>
      </c>
      <c r="AI9" s="35" t="s">
        <v>173</v>
      </c>
      <c r="AJ9" s="35" t="s">
        <v>190</v>
      </c>
      <c r="AK9" s="35" t="s">
        <v>191</v>
      </c>
      <c r="AL9" s="35" t="s">
        <v>79</v>
      </c>
      <c r="AM9" s="35" t="s">
        <v>192</v>
      </c>
      <c r="AN9" s="35" t="s">
        <v>193</v>
      </c>
      <c r="AO9" s="35" t="s">
        <v>194</v>
      </c>
      <c r="AP9" s="35" t="s">
        <v>195</v>
      </c>
      <c r="AQ9" s="35"/>
    </row>
    <row r="10" spans="1:43" x14ac:dyDescent="0.3">
      <c r="A10" s="44">
        <v>6</v>
      </c>
      <c r="B10" s="35" t="s">
        <v>196</v>
      </c>
      <c r="C10" s="35" t="s">
        <v>197</v>
      </c>
      <c r="D10" s="50">
        <v>1997</v>
      </c>
      <c r="E10" s="35" t="s">
        <v>198</v>
      </c>
      <c r="F10" s="35" t="s">
        <v>199</v>
      </c>
      <c r="G10" s="35" t="s">
        <v>200</v>
      </c>
      <c r="H10" s="32"/>
      <c r="I10" s="35" t="s">
        <v>201</v>
      </c>
      <c r="J10" s="35" t="s">
        <v>202</v>
      </c>
      <c r="K10" s="35" t="s">
        <v>174</v>
      </c>
      <c r="L10" s="35" t="s">
        <v>203</v>
      </c>
      <c r="M10" s="35" t="s">
        <v>204</v>
      </c>
      <c r="N10" s="35" t="s">
        <v>205</v>
      </c>
      <c r="O10" s="35" t="s">
        <v>206</v>
      </c>
      <c r="P10" s="35"/>
      <c r="Q10" s="35" t="s">
        <v>207</v>
      </c>
      <c r="R10" s="35" t="s">
        <v>208</v>
      </c>
      <c r="S10" s="35" t="s">
        <v>209</v>
      </c>
      <c r="T10" s="35" t="s">
        <v>210</v>
      </c>
      <c r="U10" s="35" t="s">
        <v>211</v>
      </c>
      <c r="V10" s="37" t="s">
        <v>212</v>
      </c>
      <c r="W10" s="37" t="s">
        <v>98</v>
      </c>
      <c r="X10" s="35"/>
      <c r="Y10" s="35"/>
      <c r="Z10" s="35"/>
      <c r="AA10" s="35" t="s">
        <v>213</v>
      </c>
      <c r="AB10" s="35"/>
      <c r="AC10" s="35" t="s">
        <v>214</v>
      </c>
      <c r="AD10" s="35"/>
      <c r="AE10" s="35"/>
      <c r="AF10" s="35"/>
      <c r="AG10" s="35"/>
      <c r="AH10" s="35" t="s">
        <v>215</v>
      </c>
      <c r="AI10" s="35" t="s">
        <v>216</v>
      </c>
      <c r="AJ10" s="35" t="s">
        <v>217</v>
      </c>
      <c r="AK10" s="35" t="s">
        <v>218</v>
      </c>
      <c r="AL10" s="35"/>
      <c r="AM10" s="35" t="s">
        <v>219</v>
      </c>
      <c r="AN10" s="35"/>
      <c r="AO10" s="35"/>
      <c r="AP10" s="35"/>
      <c r="AQ10" s="35"/>
    </row>
    <row r="11" spans="1:43" x14ac:dyDescent="0.3">
      <c r="A11" s="44">
        <v>7</v>
      </c>
      <c r="B11" s="32" t="s">
        <v>63</v>
      </c>
      <c r="C11" s="32" t="s">
        <v>220</v>
      </c>
      <c r="D11" s="32">
        <v>2017</v>
      </c>
      <c r="E11" s="32" t="s">
        <v>221</v>
      </c>
      <c r="F11" s="32" t="s">
        <v>222</v>
      </c>
      <c r="G11" s="32" t="s">
        <v>223</v>
      </c>
      <c r="H11" s="35"/>
      <c r="I11" s="32" t="s">
        <v>224</v>
      </c>
      <c r="J11" s="35"/>
      <c r="K11" s="32" t="s">
        <v>88</v>
      </c>
      <c r="L11" s="32" t="s">
        <v>225</v>
      </c>
      <c r="M11" s="32" t="s">
        <v>226</v>
      </c>
      <c r="N11" s="32" t="s">
        <v>227</v>
      </c>
      <c r="O11" s="35"/>
      <c r="P11" s="32" t="s">
        <v>228</v>
      </c>
      <c r="Q11" s="32" t="s">
        <v>229</v>
      </c>
      <c r="R11" s="32" t="s">
        <v>230</v>
      </c>
      <c r="S11" s="35"/>
      <c r="T11" s="35"/>
      <c r="U11" s="35"/>
      <c r="V11" s="37" t="s">
        <v>126</v>
      </c>
      <c r="W11" s="37" t="s">
        <v>126</v>
      </c>
      <c r="X11" s="35"/>
      <c r="Y11" s="32" t="s">
        <v>231</v>
      </c>
      <c r="Z11" s="35"/>
      <c r="AA11" s="32" t="s">
        <v>232</v>
      </c>
      <c r="AB11" s="35"/>
      <c r="AC11" s="35"/>
      <c r="AD11" s="32" t="s">
        <v>233</v>
      </c>
      <c r="AE11" s="32"/>
      <c r="AF11" s="35"/>
      <c r="AG11" s="32" t="s">
        <v>231</v>
      </c>
      <c r="AH11" s="35"/>
      <c r="AI11" s="35"/>
      <c r="AJ11" s="35"/>
      <c r="AK11" s="35"/>
      <c r="AL11" s="35"/>
      <c r="AM11" s="35" t="s">
        <v>234</v>
      </c>
      <c r="AN11" s="35"/>
      <c r="AO11" s="35"/>
      <c r="AP11" s="35"/>
      <c r="AQ11" s="35"/>
    </row>
    <row r="12" spans="1:43" x14ac:dyDescent="0.3">
      <c r="A12" s="44">
        <v>8</v>
      </c>
      <c r="B12" s="35" t="s">
        <v>196</v>
      </c>
      <c r="C12" s="35" t="s">
        <v>235</v>
      </c>
      <c r="D12" s="50">
        <v>1979</v>
      </c>
      <c r="E12" s="35" t="s">
        <v>236</v>
      </c>
      <c r="F12" s="35" t="s">
        <v>237</v>
      </c>
      <c r="G12" s="35" t="s">
        <v>238</v>
      </c>
      <c r="H12" s="35"/>
      <c r="I12" s="35" t="s">
        <v>239</v>
      </c>
      <c r="J12" s="35" t="s">
        <v>240</v>
      </c>
      <c r="K12" s="35" t="s">
        <v>174</v>
      </c>
      <c r="L12" s="35" t="s">
        <v>241</v>
      </c>
      <c r="M12" s="35" t="s">
        <v>242</v>
      </c>
      <c r="N12" s="35" t="s">
        <v>243</v>
      </c>
      <c r="O12" s="35" t="s">
        <v>206</v>
      </c>
      <c r="P12" s="35" t="s">
        <v>244</v>
      </c>
      <c r="Q12" s="35"/>
      <c r="R12" s="35"/>
      <c r="S12" s="35" t="s">
        <v>245</v>
      </c>
      <c r="T12" s="35" t="s">
        <v>104</v>
      </c>
      <c r="U12" s="35" t="s">
        <v>79</v>
      </c>
      <c r="V12" s="37" t="s">
        <v>126</v>
      </c>
      <c r="W12" s="35" t="s">
        <v>246</v>
      </c>
      <c r="X12" s="35" t="s">
        <v>247</v>
      </c>
      <c r="Y12" s="35"/>
      <c r="Z12" s="35"/>
      <c r="AA12" s="35"/>
      <c r="AB12" s="35"/>
      <c r="AC12" s="35"/>
      <c r="AD12" s="35"/>
      <c r="AE12" s="35"/>
      <c r="AF12" s="35" t="s">
        <v>247</v>
      </c>
      <c r="AG12" s="35"/>
      <c r="AH12" s="35"/>
      <c r="AI12" s="35"/>
      <c r="AJ12" s="35" t="s">
        <v>248</v>
      </c>
      <c r="AK12" s="35" t="s">
        <v>249</v>
      </c>
      <c r="AL12" s="35"/>
      <c r="AM12" s="35"/>
      <c r="AN12" s="35"/>
      <c r="AO12" s="35"/>
      <c r="AP12" s="35"/>
      <c r="AQ12" s="35"/>
    </row>
    <row r="13" spans="1:43" x14ac:dyDescent="0.3">
      <c r="A13" s="44">
        <v>9</v>
      </c>
      <c r="B13" s="35" t="s">
        <v>196</v>
      </c>
      <c r="C13" s="35" t="s">
        <v>235</v>
      </c>
      <c r="D13" s="50">
        <v>1978</v>
      </c>
      <c r="E13" s="35" t="s">
        <v>236</v>
      </c>
      <c r="F13" s="35" t="s">
        <v>250</v>
      </c>
      <c r="G13" s="35" t="s">
        <v>238</v>
      </c>
      <c r="H13" s="32"/>
      <c r="I13" s="35" t="s">
        <v>251</v>
      </c>
      <c r="J13" s="32" t="s">
        <v>240</v>
      </c>
      <c r="K13" s="32" t="s">
        <v>252</v>
      </c>
      <c r="L13" s="32" t="s">
        <v>253</v>
      </c>
      <c r="M13" s="35" t="s">
        <v>254</v>
      </c>
      <c r="N13" s="35" t="s">
        <v>243</v>
      </c>
      <c r="O13" s="35" t="s">
        <v>178</v>
      </c>
      <c r="P13" s="32"/>
      <c r="Q13" s="32"/>
      <c r="R13" s="32"/>
      <c r="S13" s="35" t="s">
        <v>255</v>
      </c>
      <c r="T13" s="32"/>
      <c r="U13" s="32"/>
      <c r="V13" s="37" t="s">
        <v>126</v>
      </c>
      <c r="W13" s="35" t="s">
        <v>246</v>
      </c>
      <c r="X13" s="32"/>
      <c r="Y13" s="32"/>
      <c r="Z13" s="32"/>
      <c r="AA13" s="32"/>
      <c r="AB13" s="32"/>
      <c r="AC13" s="32"/>
      <c r="AD13" s="32"/>
      <c r="AE13" s="32"/>
      <c r="AF13" s="32"/>
      <c r="AG13" s="32"/>
      <c r="AH13" s="35" t="s">
        <v>256</v>
      </c>
      <c r="AI13" s="35" t="s">
        <v>174</v>
      </c>
      <c r="AJ13" s="35" t="s">
        <v>257</v>
      </c>
      <c r="AK13" s="35" t="s">
        <v>258</v>
      </c>
      <c r="AL13" s="32"/>
      <c r="AM13" s="35" t="s">
        <v>259</v>
      </c>
      <c r="AN13" s="32"/>
      <c r="AO13" s="32"/>
      <c r="AP13" s="32"/>
      <c r="AQ13" s="35"/>
    </row>
    <row r="14" spans="1:43" x14ac:dyDescent="0.3">
      <c r="A14" s="44">
        <v>10</v>
      </c>
      <c r="B14" s="32" t="s">
        <v>81</v>
      </c>
      <c r="C14" s="32" t="s">
        <v>260</v>
      </c>
      <c r="D14" s="32">
        <v>2013</v>
      </c>
      <c r="E14" s="32" t="s">
        <v>261</v>
      </c>
      <c r="F14" s="32" t="s">
        <v>262</v>
      </c>
      <c r="G14" s="35" t="s">
        <v>263</v>
      </c>
      <c r="H14" s="35" t="s">
        <v>264</v>
      </c>
      <c r="I14" s="35" t="s">
        <v>265</v>
      </c>
      <c r="J14" s="35" t="s">
        <v>266</v>
      </c>
      <c r="K14" s="35" t="s">
        <v>88</v>
      </c>
      <c r="L14" s="35" t="s">
        <v>267</v>
      </c>
      <c r="M14" s="35" t="s">
        <v>268</v>
      </c>
      <c r="N14" s="35" t="s">
        <v>269</v>
      </c>
      <c r="O14" s="35" t="s">
        <v>270</v>
      </c>
      <c r="P14" s="35" t="s">
        <v>151</v>
      </c>
      <c r="Q14" s="35" t="s">
        <v>271</v>
      </c>
      <c r="R14" s="35" t="s">
        <v>272</v>
      </c>
      <c r="S14" s="35" t="s">
        <v>273</v>
      </c>
      <c r="T14" s="35" t="s">
        <v>274</v>
      </c>
      <c r="U14" s="35" t="s">
        <v>275</v>
      </c>
      <c r="V14" s="37" t="s">
        <v>156</v>
      </c>
      <c r="W14" s="35" t="s">
        <v>276</v>
      </c>
      <c r="X14" s="35" t="s">
        <v>277</v>
      </c>
      <c r="Y14" s="35" t="s">
        <v>278</v>
      </c>
      <c r="Z14" s="35" t="s">
        <v>279</v>
      </c>
      <c r="AA14" s="35" t="s">
        <v>280</v>
      </c>
      <c r="AB14" s="35" t="s">
        <v>281</v>
      </c>
      <c r="AC14" s="35" t="s">
        <v>128</v>
      </c>
      <c r="AD14" s="35" t="s">
        <v>282</v>
      </c>
      <c r="AE14" s="35"/>
      <c r="AF14" s="35" t="s">
        <v>277</v>
      </c>
      <c r="AG14" s="35" t="s">
        <v>283</v>
      </c>
      <c r="AH14" s="35" t="s">
        <v>284</v>
      </c>
      <c r="AI14" s="35" t="s">
        <v>285</v>
      </c>
      <c r="AJ14" s="35" t="s">
        <v>286</v>
      </c>
      <c r="AK14" s="35" t="s">
        <v>287</v>
      </c>
      <c r="AL14" s="35" t="s">
        <v>288</v>
      </c>
      <c r="AM14" s="35" t="s">
        <v>289</v>
      </c>
      <c r="AN14" s="35"/>
      <c r="AO14" s="35" t="s">
        <v>290</v>
      </c>
      <c r="AP14" s="35"/>
      <c r="AQ14" s="35"/>
    </row>
    <row r="15" spans="1:43" x14ac:dyDescent="0.3">
      <c r="A15" s="44">
        <v>11</v>
      </c>
      <c r="B15" s="32" t="s">
        <v>110</v>
      </c>
      <c r="C15" s="32" t="s">
        <v>291</v>
      </c>
      <c r="D15" s="32">
        <v>1992</v>
      </c>
      <c r="E15" s="32" t="s">
        <v>236</v>
      </c>
      <c r="F15" s="32" t="s">
        <v>292</v>
      </c>
      <c r="G15" s="32" t="s">
        <v>293</v>
      </c>
      <c r="H15" s="35"/>
      <c r="I15" s="32" t="s">
        <v>294</v>
      </c>
      <c r="J15" s="35"/>
      <c r="K15" s="38" t="s">
        <v>295</v>
      </c>
      <c r="L15" s="38" t="s">
        <v>296</v>
      </c>
      <c r="M15" s="38" t="s">
        <v>297</v>
      </c>
      <c r="N15" s="32" t="s">
        <v>298</v>
      </c>
      <c r="O15" s="32" t="s">
        <v>299</v>
      </c>
      <c r="P15" s="32" t="s">
        <v>300</v>
      </c>
      <c r="Q15" s="32" t="s">
        <v>301</v>
      </c>
      <c r="R15" s="32" t="s">
        <v>302</v>
      </c>
      <c r="S15" s="38" t="s">
        <v>303</v>
      </c>
      <c r="T15" s="35" t="s">
        <v>304</v>
      </c>
      <c r="U15" s="32" t="s">
        <v>305</v>
      </c>
      <c r="V15" s="32" t="s">
        <v>156</v>
      </c>
      <c r="W15" s="32" t="s">
        <v>306</v>
      </c>
      <c r="X15" s="41" t="s">
        <v>128</v>
      </c>
      <c r="Y15" s="32">
        <v>200</v>
      </c>
      <c r="Z15" s="35" t="s">
        <v>128</v>
      </c>
      <c r="AA15" s="32" t="s">
        <v>307</v>
      </c>
      <c r="AB15" s="35" t="s">
        <v>128</v>
      </c>
      <c r="AC15" s="35" t="s">
        <v>308</v>
      </c>
      <c r="AD15" s="35" t="s">
        <v>309</v>
      </c>
      <c r="AE15" s="35"/>
      <c r="AF15" s="35" t="s">
        <v>128</v>
      </c>
      <c r="AG15" s="32" t="s">
        <v>310</v>
      </c>
      <c r="AH15" s="32" t="s">
        <v>311</v>
      </c>
      <c r="AI15" s="32" t="s">
        <v>69</v>
      </c>
      <c r="AJ15" s="32" t="e">
        <f>-Great deal of retinence about sexuality in Ireland and lack of reproductive options and choices in the country
-Communication problems with family members linked to shame and guilt</f>
        <v>#NAME?</v>
      </c>
      <c r="AK15" s="32" t="s">
        <v>312</v>
      </c>
      <c r="AL15" s="35"/>
      <c r="AM15" s="32" t="s">
        <v>313</v>
      </c>
      <c r="AN15" s="52" t="s">
        <v>314</v>
      </c>
      <c r="AO15" s="38" t="s">
        <v>315</v>
      </c>
      <c r="AP15" s="38"/>
      <c r="AQ15" s="53" t="s">
        <v>316</v>
      </c>
    </row>
    <row r="16" spans="1:43" x14ac:dyDescent="0.3">
      <c r="A16" s="44">
        <v>12</v>
      </c>
      <c r="B16" s="32" t="s">
        <v>110</v>
      </c>
      <c r="C16" s="32" t="s">
        <v>317</v>
      </c>
      <c r="D16" s="32">
        <v>2016</v>
      </c>
      <c r="E16" s="32" t="s">
        <v>112</v>
      </c>
      <c r="F16" s="32" t="s">
        <v>318</v>
      </c>
      <c r="G16" s="32" t="s">
        <v>319</v>
      </c>
      <c r="H16" s="32" t="s">
        <v>320</v>
      </c>
      <c r="I16" s="32" t="s">
        <v>294</v>
      </c>
      <c r="J16" s="32" t="s">
        <v>321</v>
      </c>
      <c r="K16" s="38" t="s">
        <v>322</v>
      </c>
      <c r="L16" s="38" t="s">
        <v>323</v>
      </c>
      <c r="M16" s="38" t="s">
        <v>324</v>
      </c>
      <c r="N16" s="32" t="s">
        <v>325</v>
      </c>
      <c r="O16" s="32" t="s">
        <v>326</v>
      </c>
      <c r="P16" s="32" t="s">
        <v>300</v>
      </c>
      <c r="Q16" s="32" t="s">
        <v>327</v>
      </c>
      <c r="R16" s="32" t="s">
        <v>328</v>
      </c>
      <c r="S16" s="38" t="s">
        <v>329</v>
      </c>
      <c r="T16" s="35" t="s">
        <v>330</v>
      </c>
      <c r="U16" s="32" t="s">
        <v>305</v>
      </c>
      <c r="V16" s="32" t="s">
        <v>156</v>
      </c>
      <c r="W16" s="32" t="s">
        <v>305</v>
      </c>
      <c r="X16" s="54" t="s">
        <v>128</v>
      </c>
      <c r="Y16" s="32" t="s">
        <v>331</v>
      </c>
      <c r="Z16" s="35" t="s">
        <v>128</v>
      </c>
      <c r="AA16" s="55" t="s">
        <v>332</v>
      </c>
      <c r="AB16" s="35" t="s">
        <v>128</v>
      </c>
      <c r="AC16" s="35" t="s">
        <v>333</v>
      </c>
      <c r="AD16" s="35" t="s">
        <v>103</v>
      </c>
      <c r="AE16" s="35"/>
      <c r="AF16" s="35" t="s">
        <v>128</v>
      </c>
      <c r="AG16" s="35">
        <v>58</v>
      </c>
      <c r="AH16" s="55" t="s">
        <v>334</v>
      </c>
      <c r="AI16" s="32" t="s">
        <v>335</v>
      </c>
      <c r="AJ16" s="56" t="s">
        <v>336</v>
      </c>
      <c r="AK16" s="32" t="s">
        <v>337</v>
      </c>
      <c r="AL16" s="35"/>
      <c r="AM16" s="56" t="s">
        <v>338</v>
      </c>
      <c r="AN16" s="32" t="s">
        <v>339</v>
      </c>
      <c r="AO16" s="38" t="s">
        <v>340</v>
      </c>
      <c r="AP16" s="38" t="s">
        <v>341</v>
      </c>
      <c r="AQ16" s="35"/>
    </row>
    <row r="17" spans="1:43" x14ac:dyDescent="0.3">
      <c r="A17" s="44">
        <v>13</v>
      </c>
      <c r="B17" s="32" t="s">
        <v>110</v>
      </c>
      <c r="C17" s="32" t="s">
        <v>317</v>
      </c>
      <c r="D17" s="32">
        <v>2016</v>
      </c>
      <c r="E17" s="32" t="s">
        <v>342</v>
      </c>
      <c r="F17" s="32" t="s">
        <v>343</v>
      </c>
      <c r="G17" s="32" t="s">
        <v>344</v>
      </c>
      <c r="H17" s="32" t="s">
        <v>345</v>
      </c>
      <c r="I17" s="32" t="s">
        <v>346</v>
      </c>
      <c r="J17" s="32" t="s">
        <v>87</v>
      </c>
      <c r="K17" s="38" t="s">
        <v>174</v>
      </c>
      <c r="L17" s="38" t="s">
        <v>347</v>
      </c>
      <c r="M17" s="38" t="s">
        <v>348</v>
      </c>
      <c r="N17" s="32" t="s">
        <v>349</v>
      </c>
      <c r="O17" s="32" t="s">
        <v>350</v>
      </c>
      <c r="P17" s="32" t="s">
        <v>300</v>
      </c>
      <c r="Q17" s="32" t="s">
        <v>351</v>
      </c>
      <c r="R17" s="32" t="s">
        <v>352</v>
      </c>
      <c r="S17" s="38" t="s">
        <v>353</v>
      </c>
      <c r="T17" s="32" t="s">
        <v>354</v>
      </c>
      <c r="U17" s="32" t="s">
        <v>355</v>
      </c>
      <c r="V17" s="32" t="s">
        <v>156</v>
      </c>
      <c r="W17" s="32" t="s">
        <v>355</v>
      </c>
      <c r="X17" s="32" t="s">
        <v>356</v>
      </c>
      <c r="Y17" s="32">
        <v>398</v>
      </c>
      <c r="Z17" s="35"/>
      <c r="AA17" s="32" t="s">
        <v>357</v>
      </c>
      <c r="AB17" s="35"/>
      <c r="AC17" s="35"/>
      <c r="AD17" s="35"/>
      <c r="AE17" s="35"/>
      <c r="AF17" s="35"/>
      <c r="AG17" s="32">
        <v>398</v>
      </c>
      <c r="AH17" s="32" t="s">
        <v>358</v>
      </c>
      <c r="AI17" s="32" t="s">
        <v>174</v>
      </c>
      <c r="AJ17" s="32" t="s">
        <v>359</v>
      </c>
      <c r="AK17" s="32" t="s">
        <v>360</v>
      </c>
      <c r="AL17" s="32" t="s">
        <v>361</v>
      </c>
      <c r="AM17" s="32" t="s">
        <v>362</v>
      </c>
      <c r="AN17" s="32" t="s">
        <v>363</v>
      </c>
      <c r="AO17" s="38" t="s">
        <v>364</v>
      </c>
      <c r="AP17" s="38" t="s">
        <v>365</v>
      </c>
      <c r="AQ17" s="35"/>
    </row>
    <row r="18" spans="1:43" x14ac:dyDescent="0.3">
      <c r="A18" s="44">
        <v>14</v>
      </c>
      <c r="B18" s="32" t="s">
        <v>196</v>
      </c>
      <c r="C18" s="35" t="s">
        <v>366</v>
      </c>
      <c r="D18" s="50">
        <v>2013</v>
      </c>
      <c r="E18" s="35" t="s">
        <v>198</v>
      </c>
      <c r="F18" s="35" t="s">
        <v>367</v>
      </c>
      <c r="G18" s="35" t="s">
        <v>368</v>
      </c>
      <c r="H18" s="35" t="s">
        <v>369</v>
      </c>
      <c r="I18" s="35" t="s">
        <v>201</v>
      </c>
      <c r="J18" s="32" t="s">
        <v>370</v>
      </c>
      <c r="K18" s="38" t="s">
        <v>174</v>
      </c>
      <c r="L18" s="35" t="s">
        <v>371</v>
      </c>
      <c r="M18" s="35" t="s">
        <v>372</v>
      </c>
      <c r="N18" s="35" t="s">
        <v>373</v>
      </c>
      <c r="O18" s="32" t="s">
        <v>206</v>
      </c>
      <c r="P18" s="32" t="s">
        <v>374</v>
      </c>
      <c r="Q18" s="32" t="s">
        <v>375</v>
      </c>
      <c r="R18" s="35" t="s">
        <v>376</v>
      </c>
      <c r="S18" s="55" t="s">
        <v>377</v>
      </c>
      <c r="T18" s="32" t="s">
        <v>247</v>
      </c>
      <c r="U18" s="32" t="s">
        <v>378</v>
      </c>
      <c r="V18" s="32" t="s">
        <v>379</v>
      </c>
      <c r="W18" s="32" t="s">
        <v>380</v>
      </c>
      <c r="X18" s="32" t="s">
        <v>247</v>
      </c>
      <c r="Y18" s="32">
        <v>17801</v>
      </c>
      <c r="Z18" s="32" t="s">
        <v>381</v>
      </c>
      <c r="AA18" s="35" t="s">
        <v>382</v>
      </c>
      <c r="AB18" s="35" t="s">
        <v>383</v>
      </c>
      <c r="AC18" s="32" t="s">
        <v>247</v>
      </c>
      <c r="AD18" s="32" t="s">
        <v>247</v>
      </c>
      <c r="AE18" s="32"/>
      <c r="AF18" s="32" t="s">
        <v>128</v>
      </c>
      <c r="AG18" s="35"/>
      <c r="AH18" s="32" t="s">
        <v>384</v>
      </c>
      <c r="AI18" s="35"/>
      <c r="AJ18" s="35" t="s">
        <v>385</v>
      </c>
      <c r="AK18" s="35" t="s">
        <v>386</v>
      </c>
      <c r="AL18" s="35"/>
      <c r="AM18" s="35" t="s">
        <v>387</v>
      </c>
      <c r="AN18" s="35" t="s">
        <v>388</v>
      </c>
      <c r="AO18" s="32" t="s">
        <v>389</v>
      </c>
      <c r="AP18" s="32" t="s">
        <v>390</v>
      </c>
      <c r="AQ18" s="35"/>
    </row>
    <row r="19" spans="1:43" x14ac:dyDescent="0.3">
      <c r="A19" s="44">
        <v>15</v>
      </c>
      <c r="B19" s="32" t="s">
        <v>196</v>
      </c>
      <c r="C19" s="32" t="s">
        <v>366</v>
      </c>
      <c r="D19" s="32">
        <v>2014</v>
      </c>
      <c r="E19" s="32" t="s">
        <v>391</v>
      </c>
      <c r="F19" s="32" t="s">
        <v>392</v>
      </c>
      <c r="G19" s="32" t="s">
        <v>393</v>
      </c>
      <c r="H19" s="35"/>
      <c r="I19" s="32" t="s">
        <v>394</v>
      </c>
      <c r="J19" s="32" t="s">
        <v>87</v>
      </c>
      <c r="K19" s="32" t="s">
        <v>88</v>
      </c>
      <c r="L19" s="32" t="s">
        <v>395</v>
      </c>
      <c r="M19" s="32" t="s">
        <v>396</v>
      </c>
      <c r="N19" s="35"/>
      <c r="O19" s="32" t="s">
        <v>206</v>
      </c>
      <c r="P19" s="35"/>
      <c r="Q19" s="32" t="s">
        <v>397</v>
      </c>
      <c r="R19" s="32" t="s">
        <v>398</v>
      </c>
      <c r="S19" s="32" t="s">
        <v>399</v>
      </c>
      <c r="T19" s="35"/>
      <c r="U19" s="35" t="s">
        <v>400</v>
      </c>
      <c r="V19" s="37" t="s">
        <v>379</v>
      </c>
      <c r="W19" s="37" t="s">
        <v>401</v>
      </c>
      <c r="X19" s="35"/>
      <c r="Y19" s="35"/>
      <c r="Z19" s="35"/>
      <c r="AA19" s="35"/>
      <c r="AB19" s="35"/>
      <c r="AC19" s="35"/>
      <c r="AD19" s="35"/>
      <c r="AE19" s="35"/>
      <c r="AF19" s="35"/>
      <c r="AG19" s="35"/>
      <c r="AH19" s="35" t="s">
        <v>402</v>
      </c>
      <c r="AI19" s="35" t="s">
        <v>87</v>
      </c>
      <c r="AJ19" s="32" t="s">
        <v>403</v>
      </c>
      <c r="AK19" s="32" t="s">
        <v>404</v>
      </c>
      <c r="AL19" s="32" t="s">
        <v>405</v>
      </c>
      <c r="AM19" s="32" t="s">
        <v>406</v>
      </c>
      <c r="AN19" s="32" t="s">
        <v>407</v>
      </c>
      <c r="AO19" s="32" t="s">
        <v>408</v>
      </c>
      <c r="AP19" s="32" t="s">
        <v>409</v>
      </c>
      <c r="AQ19" s="35"/>
    </row>
    <row r="20" spans="1:43" x14ac:dyDescent="0.3">
      <c r="A20" s="44">
        <v>16</v>
      </c>
      <c r="B20" s="32" t="s">
        <v>63</v>
      </c>
      <c r="C20" s="32" t="s">
        <v>366</v>
      </c>
      <c r="D20" s="32">
        <v>2017</v>
      </c>
      <c r="E20" s="32" t="s">
        <v>410</v>
      </c>
      <c r="F20" s="32" t="s">
        <v>411</v>
      </c>
      <c r="G20" s="32" t="s">
        <v>412</v>
      </c>
      <c r="H20" s="32"/>
      <c r="I20" s="32" t="s">
        <v>251</v>
      </c>
      <c r="J20" s="32" t="s">
        <v>87</v>
      </c>
      <c r="K20" s="32" t="s">
        <v>88</v>
      </c>
      <c r="L20" s="32" t="s">
        <v>413</v>
      </c>
      <c r="M20" s="32" t="s">
        <v>414</v>
      </c>
      <c r="N20" s="32" t="s">
        <v>415</v>
      </c>
      <c r="O20" s="35"/>
      <c r="P20" s="35"/>
      <c r="Q20" s="32" t="s">
        <v>416</v>
      </c>
      <c r="R20" s="32" t="s">
        <v>417</v>
      </c>
      <c r="S20" s="35"/>
      <c r="T20" s="35"/>
      <c r="U20" s="35"/>
      <c r="V20" s="37" t="s">
        <v>98</v>
      </c>
      <c r="W20" s="37" t="s">
        <v>98</v>
      </c>
      <c r="X20" s="35"/>
      <c r="Y20" s="32" t="s">
        <v>418</v>
      </c>
      <c r="Z20" s="35"/>
      <c r="AA20" s="35"/>
      <c r="AB20" s="35"/>
      <c r="AC20" s="35"/>
      <c r="AD20" s="35"/>
      <c r="AE20" s="35"/>
      <c r="AF20" s="35"/>
      <c r="AG20" s="35"/>
      <c r="AH20" s="35"/>
      <c r="AI20" s="35"/>
      <c r="AJ20" s="35"/>
      <c r="AK20" s="32"/>
      <c r="AL20" s="35"/>
      <c r="AM20" s="32" t="s">
        <v>419</v>
      </c>
      <c r="AN20" s="35"/>
      <c r="AO20" s="35"/>
      <c r="AP20" s="35"/>
      <c r="AQ20" s="35"/>
    </row>
    <row r="21" spans="1:43" x14ac:dyDescent="0.3">
      <c r="A21" s="44">
        <v>17</v>
      </c>
      <c r="B21" s="32" t="s">
        <v>63</v>
      </c>
      <c r="C21" s="32" t="s">
        <v>366</v>
      </c>
      <c r="D21" s="32">
        <v>2012</v>
      </c>
      <c r="E21" s="32" t="s">
        <v>420</v>
      </c>
      <c r="F21" s="32" t="s">
        <v>421</v>
      </c>
      <c r="G21" s="32" t="s">
        <v>422</v>
      </c>
      <c r="H21" s="35"/>
      <c r="I21" s="32" t="s">
        <v>251</v>
      </c>
      <c r="J21" s="32" t="s">
        <v>423</v>
      </c>
      <c r="K21" s="32" t="s">
        <v>88</v>
      </c>
      <c r="L21" s="32" t="s">
        <v>424</v>
      </c>
      <c r="M21" s="32" t="s">
        <v>425</v>
      </c>
      <c r="N21" s="32" t="s">
        <v>426</v>
      </c>
      <c r="O21" s="32" t="s">
        <v>427</v>
      </c>
      <c r="P21" s="32" t="s">
        <v>244</v>
      </c>
      <c r="Q21" s="32" t="s">
        <v>428</v>
      </c>
      <c r="R21" s="32" t="s">
        <v>429</v>
      </c>
      <c r="S21" s="32" t="s">
        <v>430</v>
      </c>
      <c r="T21" s="32"/>
      <c r="U21" s="32" t="s">
        <v>431</v>
      </c>
      <c r="V21" s="32" t="s">
        <v>156</v>
      </c>
      <c r="W21" s="32" t="s">
        <v>432</v>
      </c>
      <c r="X21" s="32" t="s">
        <v>433</v>
      </c>
      <c r="Y21" s="32" t="s">
        <v>434</v>
      </c>
      <c r="Z21" s="35"/>
      <c r="AA21" s="35"/>
      <c r="AB21" s="35"/>
      <c r="AC21" s="35"/>
      <c r="AD21" s="32" t="s">
        <v>304</v>
      </c>
      <c r="AE21" s="32"/>
      <c r="AF21" s="32" t="s">
        <v>435</v>
      </c>
      <c r="AG21" s="32" t="s">
        <v>436</v>
      </c>
      <c r="AH21" s="35"/>
      <c r="AI21" s="32" t="s">
        <v>437</v>
      </c>
      <c r="AJ21" s="35"/>
      <c r="AK21" s="32" t="s">
        <v>438</v>
      </c>
      <c r="AL21" s="35"/>
      <c r="AM21" s="32" t="s">
        <v>438</v>
      </c>
      <c r="AN21" s="35"/>
      <c r="AO21" s="32" t="s">
        <v>439</v>
      </c>
      <c r="AP21" s="35"/>
      <c r="AQ21" s="35"/>
    </row>
    <row r="22" spans="1:43" x14ac:dyDescent="0.3">
      <c r="A22" s="44">
        <v>18</v>
      </c>
      <c r="B22" s="32" t="s">
        <v>196</v>
      </c>
      <c r="C22" s="32" t="s">
        <v>440</v>
      </c>
      <c r="D22" s="50">
        <v>2003</v>
      </c>
      <c r="E22" s="35" t="s">
        <v>261</v>
      </c>
      <c r="F22" s="35" t="s">
        <v>441</v>
      </c>
      <c r="G22" s="32" t="s">
        <v>442</v>
      </c>
      <c r="H22" s="32" t="s">
        <v>443</v>
      </c>
      <c r="I22" s="35" t="s">
        <v>444</v>
      </c>
      <c r="J22" s="35" t="s">
        <v>240</v>
      </c>
      <c r="K22" s="35" t="s">
        <v>174</v>
      </c>
      <c r="L22" s="35" t="s">
        <v>445</v>
      </c>
      <c r="M22" s="35" t="s">
        <v>446</v>
      </c>
      <c r="N22" s="35" t="s">
        <v>447</v>
      </c>
      <c r="O22" s="32" t="s">
        <v>206</v>
      </c>
      <c r="P22" s="32" t="s">
        <v>448</v>
      </c>
      <c r="Q22" s="35"/>
      <c r="R22" s="35" t="s">
        <v>449</v>
      </c>
      <c r="S22" s="35" t="s">
        <v>450</v>
      </c>
      <c r="T22" s="32" t="s">
        <v>104</v>
      </c>
      <c r="U22" s="35" t="s">
        <v>451</v>
      </c>
      <c r="V22" s="37" t="s">
        <v>126</v>
      </c>
      <c r="W22" s="35" t="s">
        <v>246</v>
      </c>
      <c r="X22" s="32" t="s">
        <v>128</v>
      </c>
      <c r="Y22" s="57">
        <v>1819</v>
      </c>
      <c r="Z22" s="35" t="s">
        <v>452</v>
      </c>
      <c r="AA22" s="35" t="s">
        <v>247</v>
      </c>
      <c r="AB22" s="32" t="s">
        <v>128</v>
      </c>
      <c r="AC22" s="32" t="s">
        <v>128</v>
      </c>
      <c r="AD22" s="32" t="s">
        <v>247</v>
      </c>
      <c r="AE22" s="32"/>
      <c r="AF22" s="32" t="s">
        <v>247</v>
      </c>
      <c r="AG22" s="57">
        <v>1819</v>
      </c>
      <c r="AH22" s="35" t="s">
        <v>247</v>
      </c>
      <c r="AI22" s="32" t="s">
        <v>174</v>
      </c>
      <c r="AJ22" s="35" t="s">
        <v>453</v>
      </c>
      <c r="AK22" s="35" t="s">
        <v>387</v>
      </c>
      <c r="AL22" s="35"/>
      <c r="AM22" s="35" t="s">
        <v>454</v>
      </c>
      <c r="AN22" s="35" t="s">
        <v>455</v>
      </c>
      <c r="AO22" s="32" t="s">
        <v>456</v>
      </c>
      <c r="AP22" s="32"/>
      <c r="AQ22" s="35"/>
    </row>
    <row r="23" spans="1:43" x14ac:dyDescent="0.3">
      <c r="A23" s="44">
        <v>19</v>
      </c>
      <c r="B23" s="32" t="s">
        <v>457</v>
      </c>
      <c r="C23" s="35" t="s">
        <v>440</v>
      </c>
      <c r="D23" s="50">
        <v>1995</v>
      </c>
      <c r="E23" s="35" t="s">
        <v>236</v>
      </c>
      <c r="F23" s="35" t="s">
        <v>458</v>
      </c>
      <c r="G23" s="35" t="s">
        <v>459</v>
      </c>
      <c r="H23" s="35"/>
      <c r="I23" s="35" t="s">
        <v>460</v>
      </c>
      <c r="J23" s="35" t="s">
        <v>240</v>
      </c>
      <c r="K23" s="35" t="s">
        <v>174</v>
      </c>
      <c r="L23" s="35" t="s">
        <v>395</v>
      </c>
      <c r="M23" s="35" t="s">
        <v>461</v>
      </c>
      <c r="N23" s="35" t="s">
        <v>462</v>
      </c>
      <c r="O23" s="35" t="s">
        <v>178</v>
      </c>
      <c r="P23" s="35" t="s">
        <v>463</v>
      </c>
      <c r="Q23" s="35"/>
      <c r="R23" s="35" t="s">
        <v>464</v>
      </c>
      <c r="S23" s="35" t="s">
        <v>465</v>
      </c>
      <c r="T23" s="35" t="s">
        <v>104</v>
      </c>
      <c r="U23" s="35" t="s">
        <v>466</v>
      </c>
      <c r="V23" s="37" t="s">
        <v>126</v>
      </c>
      <c r="W23" s="35" t="s">
        <v>246</v>
      </c>
      <c r="X23" s="35" t="s">
        <v>104</v>
      </c>
      <c r="Y23" s="57">
        <v>1106</v>
      </c>
      <c r="Z23" s="35" t="s">
        <v>467</v>
      </c>
      <c r="AA23" s="35"/>
      <c r="AB23" s="35" t="s">
        <v>104</v>
      </c>
      <c r="AC23" s="35" t="s">
        <v>104</v>
      </c>
      <c r="AD23" s="35" t="s">
        <v>247</v>
      </c>
      <c r="AE23" s="35"/>
      <c r="AF23" s="35" t="s">
        <v>104</v>
      </c>
      <c r="AG23" s="57">
        <v>1106</v>
      </c>
      <c r="AH23" s="35" t="s">
        <v>247</v>
      </c>
      <c r="AI23" s="32" t="s">
        <v>174</v>
      </c>
      <c r="AJ23" s="35" t="s">
        <v>468</v>
      </c>
      <c r="AK23" s="32" t="s">
        <v>469</v>
      </c>
      <c r="AL23" s="35"/>
      <c r="AM23" s="35"/>
      <c r="AN23" s="35" t="s">
        <v>470</v>
      </c>
      <c r="AO23" s="35"/>
      <c r="AP23" s="35"/>
      <c r="AQ23" s="32" t="s">
        <v>471</v>
      </c>
    </row>
    <row r="24" spans="1:43" x14ac:dyDescent="0.3">
      <c r="A24" s="44">
        <v>20</v>
      </c>
      <c r="B24" s="35" t="s">
        <v>196</v>
      </c>
      <c r="C24" s="35" t="s">
        <v>440</v>
      </c>
      <c r="D24" s="50">
        <v>1981</v>
      </c>
      <c r="E24" s="35" t="s">
        <v>236</v>
      </c>
      <c r="F24" s="35" t="s">
        <v>472</v>
      </c>
      <c r="G24" s="35" t="s">
        <v>473</v>
      </c>
      <c r="H24" s="32"/>
      <c r="I24" s="35" t="s">
        <v>251</v>
      </c>
      <c r="J24" s="35" t="s">
        <v>240</v>
      </c>
      <c r="K24" s="35" t="s">
        <v>174</v>
      </c>
      <c r="L24" s="35" t="s">
        <v>474</v>
      </c>
      <c r="M24" s="35" t="s">
        <v>475</v>
      </c>
      <c r="N24" s="35" t="s">
        <v>476</v>
      </c>
      <c r="O24" s="35" t="s">
        <v>206</v>
      </c>
      <c r="P24" s="32"/>
      <c r="Q24" s="32"/>
      <c r="R24" s="32"/>
      <c r="S24" s="32"/>
      <c r="T24" s="32"/>
      <c r="U24" s="35" t="s">
        <v>477</v>
      </c>
      <c r="V24" s="37" t="s">
        <v>126</v>
      </c>
      <c r="W24" s="35" t="s">
        <v>246</v>
      </c>
      <c r="X24" s="32"/>
      <c r="Y24" s="32"/>
      <c r="Z24" s="32"/>
      <c r="AA24" s="32"/>
      <c r="AB24" s="32"/>
      <c r="AC24" s="32"/>
      <c r="AD24" s="32"/>
      <c r="AE24" s="32"/>
      <c r="AF24" s="32"/>
      <c r="AG24" s="32"/>
      <c r="AH24" s="32"/>
      <c r="AI24" s="32"/>
      <c r="AJ24" s="35" t="s">
        <v>478</v>
      </c>
      <c r="AK24" s="35" t="s">
        <v>479</v>
      </c>
      <c r="AL24" s="32"/>
      <c r="AM24" s="35" t="s">
        <v>480</v>
      </c>
      <c r="AN24" s="35"/>
      <c r="AO24" s="35"/>
      <c r="AP24" s="35"/>
      <c r="AQ24" s="35"/>
    </row>
    <row r="25" spans="1:43" x14ac:dyDescent="0.3">
      <c r="A25" s="44">
        <v>21</v>
      </c>
      <c r="B25" s="35" t="s">
        <v>196</v>
      </c>
      <c r="C25" s="35" t="s">
        <v>440</v>
      </c>
      <c r="D25" s="50">
        <v>1983</v>
      </c>
      <c r="E25" s="35" t="s">
        <v>236</v>
      </c>
      <c r="F25" s="35" t="s">
        <v>481</v>
      </c>
      <c r="G25" s="35" t="s">
        <v>482</v>
      </c>
      <c r="H25" s="32"/>
      <c r="I25" s="35" t="s">
        <v>251</v>
      </c>
      <c r="J25" s="35" t="s">
        <v>240</v>
      </c>
      <c r="K25" s="35" t="s">
        <v>174</v>
      </c>
      <c r="L25" s="35" t="s">
        <v>474</v>
      </c>
      <c r="M25" s="32" t="s">
        <v>483</v>
      </c>
      <c r="N25" s="32" t="s">
        <v>484</v>
      </c>
      <c r="O25" s="32" t="s">
        <v>206</v>
      </c>
      <c r="P25" s="32"/>
      <c r="Q25" s="32"/>
      <c r="R25" s="32"/>
      <c r="S25" s="32"/>
      <c r="T25" s="32"/>
      <c r="U25" s="35" t="s">
        <v>485</v>
      </c>
      <c r="V25" s="37" t="s">
        <v>126</v>
      </c>
      <c r="W25" s="35" t="s">
        <v>246</v>
      </c>
      <c r="X25" s="32"/>
      <c r="Y25" s="32"/>
      <c r="Z25" s="32"/>
      <c r="AA25" s="35" t="s">
        <v>486</v>
      </c>
      <c r="AB25" s="32"/>
      <c r="AC25" s="32"/>
      <c r="AD25" s="32"/>
      <c r="AE25" s="32"/>
      <c r="AF25" s="32"/>
      <c r="AG25" s="32"/>
      <c r="AH25" s="32"/>
      <c r="AI25" s="32" t="s">
        <v>174</v>
      </c>
      <c r="AJ25" s="35" t="s">
        <v>487</v>
      </c>
      <c r="AK25" s="35" t="s">
        <v>488</v>
      </c>
      <c r="AL25" s="32"/>
      <c r="AM25" s="35" t="s">
        <v>489</v>
      </c>
      <c r="AN25" s="32"/>
      <c r="AO25" s="32"/>
      <c r="AP25" s="32"/>
      <c r="AQ25" s="32"/>
    </row>
    <row r="26" spans="1:43" x14ac:dyDescent="0.3">
      <c r="A26" s="44">
        <v>22</v>
      </c>
      <c r="B26" s="35" t="s">
        <v>196</v>
      </c>
      <c r="C26" s="35" t="s">
        <v>440</v>
      </c>
      <c r="D26" s="50">
        <v>1991</v>
      </c>
      <c r="E26" s="35" t="s">
        <v>236</v>
      </c>
      <c r="F26" s="35" t="s">
        <v>490</v>
      </c>
      <c r="G26" s="35" t="s">
        <v>491</v>
      </c>
      <c r="H26" s="35" t="s">
        <v>492</v>
      </c>
      <c r="I26" s="35" t="s">
        <v>251</v>
      </c>
      <c r="J26" s="35" t="s">
        <v>240</v>
      </c>
      <c r="K26" s="35" t="s">
        <v>174</v>
      </c>
      <c r="L26" s="35" t="s">
        <v>395</v>
      </c>
      <c r="M26" s="50">
        <v>1989</v>
      </c>
      <c r="N26" s="32"/>
      <c r="O26" s="35" t="s">
        <v>206</v>
      </c>
      <c r="P26" s="32"/>
      <c r="Q26" s="32"/>
      <c r="R26" s="32"/>
      <c r="S26" s="35" t="s">
        <v>493</v>
      </c>
      <c r="T26" s="32"/>
      <c r="U26" s="35" t="s">
        <v>494</v>
      </c>
      <c r="V26" s="37" t="s">
        <v>126</v>
      </c>
      <c r="W26" s="35" t="s">
        <v>246</v>
      </c>
      <c r="X26" s="32"/>
      <c r="Y26" s="32"/>
      <c r="Z26" s="32"/>
      <c r="AA26" s="32"/>
      <c r="AB26" s="32"/>
      <c r="AC26" s="32"/>
      <c r="AD26" s="32"/>
      <c r="AE26" s="32"/>
      <c r="AF26" s="32"/>
      <c r="AG26" s="57">
        <v>1542</v>
      </c>
      <c r="AH26" s="35" t="s">
        <v>495</v>
      </c>
      <c r="AI26" s="35" t="s">
        <v>496</v>
      </c>
      <c r="AJ26" s="35" t="s">
        <v>497</v>
      </c>
      <c r="AK26" s="35" t="s">
        <v>498</v>
      </c>
      <c r="AL26" s="32"/>
      <c r="AM26" s="35" t="s">
        <v>499</v>
      </c>
      <c r="AN26" s="32"/>
      <c r="AO26" s="32"/>
      <c r="AP26" s="32"/>
      <c r="AQ26" s="35"/>
    </row>
    <row r="27" spans="1:43" x14ac:dyDescent="0.3">
      <c r="A27" s="44">
        <v>23</v>
      </c>
      <c r="B27" s="32" t="s">
        <v>81</v>
      </c>
      <c r="C27" s="32" t="s">
        <v>500</v>
      </c>
      <c r="D27" s="32">
        <v>2000</v>
      </c>
      <c r="E27" s="32" t="s">
        <v>501</v>
      </c>
      <c r="F27" s="32" t="s">
        <v>502</v>
      </c>
      <c r="G27" s="35" t="s">
        <v>503</v>
      </c>
      <c r="H27" s="35"/>
      <c r="I27" s="35" t="s">
        <v>86</v>
      </c>
      <c r="J27" s="35" t="s">
        <v>87</v>
      </c>
      <c r="K27" s="35" t="s">
        <v>88</v>
      </c>
      <c r="L27" s="35" t="s">
        <v>504</v>
      </c>
      <c r="M27" s="35" t="s">
        <v>505</v>
      </c>
      <c r="N27" s="35" t="s">
        <v>506</v>
      </c>
      <c r="O27" s="35" t="s">
        <v>91</v>
      </c>
      <c r="P27" s="35" t="s">
        <v>92</v>
      </c>
      <c r="Q27" s="35" t="s">
        <v>93</v>
      </c>
      <c r="R27" s="35" t="s">
        <v>507</v>
      </c>
      <c r="S27" s="35" t="s">
        <v>508</v>
      </c>
      <c r="T27" s="35" t="s">
        <v>509</v>
      </c>
      <c r="U27" s="35" t="s">
        <v>97</v>
      </c>
      <c r="V27" s="37" t="s">
        <v>98</v>
      </c>
      <c r="W27" s="37" t="s">
        <v>98</v>
      </c>
      <c r="X27" s="35" t="s">
        <v>77</v>
      </c>
      <c r="Y27" s="35" t="s">
        <v>510</v>
      </c>
      <c r="Z27" s="35"/>
      <c r="AA27" s="35" t="s">
        <v>511</v>
      </c>
      <c r="AB27" s="35" t="s">
        <v>512</v>
      </c>
      <c r="AC27" s="35" t="s">
        <v>513</v>
      </c>
      <c r="AD27" s="35" t="s">
        <v>282</v>
      </c>
      <c r="AE27" s="35"/>
      <c r="AF27" s="35" t="s">
        <v>104</v>
      </c>
      <c r="AG27" s="35" t="s">
        <v>514</v>
      </c>
      <c r="AH27" s="35" t="s">
        <v>515</v>
      </c>
      <c r="AI27" s="35" t="s">
        <v>87</v>
      </c>
      <c r="AJ27" s="35" t="s">
        <v>516</v>
      </c>
      <c r="AK27" s="35" t="s">
        <v>517</v>
      </c>
      <c r="AL27" s="35"/>
      <c r="AM27" s="35" t="s">
        <v>517</v>
      </c>
      <c r="AN27" s="35"/>
      <c r="AO27" s="35" t="s">
        <v>518</v>
      </c>
      <c r="AP27" s="35"/>
      <c r="AQ27" s="35"/>
    </row>
    <row r="28" spans="1:43" x14ac:dyDescent="0.3">
      <c r="A28" s="44">
        <v>24</v>
      </c>
      <c r="B28" s="32" t="s">
        <v>63</v>
      </c>
      <c r="C28" s="32" t="s">
        <v>519</v>
      </c>
      <c r="D28" s="32">
        <v>2017</v>
      </c>
      <c r="E28" s="32" t="s">
        <v>520</v>
      </c>
      <c r="F28" s="32" t="s">
        <v>521</v>
      </c>
      <c r="G28" s="32" t="s">
        <v>522</v>
      </c>
      <c r="H28" s="35"/>
      <c r="I28" s="32" t="s">
        <v>523</v>
      </c>
      <c r="J28" s="32" t="s">
        <v>423</v>
      </c>
      <c r="K28" s="32" t="s">
        <v>88</v>
      </c>
      <c r="L28" s="32" t="s">
        <v>524</v>
      </c>
      <c r="M28" s="32" t="s">
        <v>525</v>
      </c>
      <c r="N28" s="32" t="s">
        <v>526</v>
      </c>
      <c r="O28" s="35"/>
      <c r="P28" s="35"/>
      <c r="Q28" s="32" t="s">
        <v>527</v>
      </c>
      <c r="R28" s="32" t="s">
        <v>528</v>
      </c>
      <c r="S28" s="35"/>
      <c r="T28" s="35"/>
      <c r="U28" s="35"/>
      <c r="V28" s="37" t="s">
        <v>98</v>
      </c>
      <c r="W28" s="37" t="s">
        <v>529</v>
      </c>
      <c r="X28" s="35"/>
      <c r="Y28" s="32" t="s">
        <v>530</v>
      </c>
      <c r="Z28" s="35"/>
      <c r="AA28" s="35"/>
      <c r="AB28" s="35"/>
      <c r="AC28" s="35"/>
      <c r="AD28" s="35"/>
      <c r="AE28" s="35"/>
      <c r="AF28" s="35"/>
      <c r="AG28" s="35"/>
      <c r="AH28" s="35"/>
      <c r="AI28" s="35"/>
      <c r="AJ28" s="35"/>
      <c r="AK28" s="35"/>
      <c r="AL28" s="35"/>
      <c r="AM28" s="32" t="s">
        <v>531</v>
      </c>
      <c r="AN28" s="35"/>
      <c r="AO28" s="35"/>
      <c r="AP28" s="35"/>
      <c r="AQ28" s="35"/>
    </row>
    <row r="29" spans="1:43" x14ac:dyDescent="0.3">
      <c r="A29" s="44">
        <v>25</v>
      </c>
      <c r="B29" s="35" t="s">
        <v>196</v>
      </c>
      <c r="C29" s="37" t="s">
        <v>532</v>
      </c>
      <c r="D29" s="50">
        <v>2013</v>
      </c>
      <c r="E29" s="35" t="s">
        <v>533</v>
      </c>
      <c r="F29" s="35" t="s">
        <v>534</v>
      </c>
      <c r="G29" s="35" t="s">
        <v>535</v>
      </c>
      <c r="H29" s="35" t="s">
        <v>536</v>
      </c>
      <c r="I29" s="32" t="s">
        <v>294</v>
      </c>
      <c r="J29" s="35" t="s">
        <v>537</v>
      </c>
      <c r="K29" s="35" t="s">
        <v>174</v>
      </c>
      <c r="L29" s="35" t="s">
        <v>395</v>
      </c>
      <c r="M29" s="32">
        <v>2008</v>
      </c>
      <c r="N29" s="35"/>
      <c r="O29" s="35" t="s">
        <v>206</v>
      </c>
      <c r="P29" s="35" t="s">
        <v>538</v>
      </c>
      <c r="Q29" s="35"/>
      <c r="R29" s="35" t="s">
        <v>539</v>
      </c>
      <c r="S29" s="35" t="s">
        <v>540</v>
      </c>
      <c r="T29" s="35" t="s">
        <v>541</v>
      </c>
      <c r="U29" s="35" t="s">
        <v>542</v>
      </c>
      <c r="V29" s="37" t="s">
        <v>156</v>
      </c>
      <c r="W29" s="35" t="s">
        <v>543</v>
      </c>
      <c r="X29" s="35"/>
      <c r="Y29" s="35" t="s">
        <v>544</v>
      </c>
      <c r="Z29" s="35"/>
      <c r="AA29" s="35" t="s">
        <v>545</v>
      </c>
      <c r="AB29" s="35"/>
      <c r="AC29" s="35"/>
      <c r="AD29" s="35" t="s">
        <v>546</v>
      </c>
      <c r="AE29" s="35"/>
      <c r="AF29" s="35"/>
      <c r="AG29" s="50">
        <v>8338</v>
      </c>
      <c r="AH29" s="35" t="s">
        <v>547</v>
      </c>
      <c r="AI29" s="35" t="s">
        <v>174</v>
      </c>
      <c r="AJ29" s="35" t="s">
        <v>548</v>
      </c>
      <c r="AK29" s="35" t="s">
        <v>549</v>
      </c>
      <c r="AL29" s="35"/>
      <c r="AM29" s="35" t="s">
        <v>550</v>
      </c>
      <c r="AN29" s="35"/>
      <c r="AO29" s="35" t="s">
        <v>551</v>
      </c>
      <c r="AP29" s="35"/>
      <c r="AQ29" s="35"/>
    </row>
    <row r="30" spans="1:43" x14ac:dyDescent="0.3">
      <c r="A30" s="44">
        <v>26</v>
      </c>
      <c r="B30" s="32" t="s">
        <v>110</v>
      </c>
      <c r="C30" s="32" t="s">
        <v>532</v>
      </c>
      <c r="D30" s="32">
        <v>2013</v>
      </c>
      <c r="E30" s="32" t="s">
        <v>552</v>
      </c>
      <c r="F30" s="32" t="s">
        <v>553</v>
      </c>
      <c r="G30" s="32" t="s">
        <v>554</v>
      </c>
      <c r="H30" s="32" t="s">
        <v>555</v>
      </c>
      <c r="I30" s="32" t="s">
        <v>346</v>
      </c>
      <c r="J30" s="32" t="s">
        <v>556</v>
      </c>
      <c r="K30" s="38" t="s">
        <v>174</v>
      </c>
      <c r="L30" s="38" t="s">
        <v>557</v>
      </c>
      <c r="M30" s="38" t="s">
        <v>558</v>
      </c>
      <c r="N30" s="32" t="s">
        <v>559</v>
      </c>
      <c r="O30" s="32" t="s">
        <v>560</v>
      </c>
      <c r="P30" s="32" t="s">
        <v>561</v>
      </c>
      <c r="Q30" s="32" t="s">
        <v>562</v>
      </c>
      <c r="R30" s="32" t="s">
        <v>563</v>
      </c>
      <c r="S30" s="38" t="s">
        <v>564</v>
      </c>
      <c r="T30" s="32" t="s">
        <v>565</v>
      </c>
      <c r="U30" s="32" t="s">
        <v>305</v>
      </c>
      <c r="V30" s="32" t="s">
        <v>156</v>
      </c>
      <c r="W30" s="32" t="s">
        <v>355</v>
      </c>
      <c r="X30" s="32" t="s">
        <v>566</v>
      </c>
      <c r="Y30" s="32">
        <v>639</v>
      </c>
      <c r="Z30" s="35"/>
      <c r="AA30" s="32" t="s">
        <v>567</v>
      </c>
      <c r="AB30" s="35"/>
      <c r="AC30" s="35"/>
      <c r="AD30" s="35"/>
      <c r="AE30" s="35"/>
      <c r="AF30" s="35"/>
      <c r="AG30" s="35"/>
      <c r="AH30" s="32" t="s">
        <v>568</v>
      </c>
      <c r="AI30" s="35"/>
      <c r="AJ30" s="56" t="s">
        <v>569</v>
      </c>
      <c r="AK30" s="44" t="s">
        <v>570</v>
      </c>
      <c r="AL30" s="35"/>
      <c r="AM30" s="58" t="s">
        <v>571</v>
      </c>
      <c r="AN30" s="32" t="s">
        <v>572</v>
      </c>
      <c r="AO30" s="38" t="s">
        <v>573</v>
      </c>
      <c r="AP30" s="59" t="s">
        <v>574</v>
      </c>
      <c r="AQ30" s="32" t="s">
        <v>575</v>
      </c>
    </row>
    <row r="31" spans="1:43" x14ac:dyDescent="0.3">
      <c r="A31" s="44">
        <v>27</v>
      </c>
      <c r="B31" s="35" t="s">
        <v>196</v>
      </c>
      <c r="C31" s="35" t="s">
        <v>576</v>
      </c>
      <c r="D31" s="50">
        <v>2013</v>
      </c>
      <c r="E31" s="35" t="s">
        <v>577</v>
      </c>
      <c r="F31" s="35" t="s">
        <v>578</v>
      </c>
      <c r="G31" s="35" t="s">
        <v>579</v>
      </c>
      <c r="H31" s="32"/>
      <c r="I31" s="35" t="s">
        <v>580</v>
      </c>
      <c r="J31" s="35" t="s">
        <v>240</v>
      </c>
      <c r="K31" s="35" t="s">
        <v>174</v>
      </c>
      <c r="L31" s="35"/>
      <c r="M31" s="35" t="s">
        <v>581</v>
      </c>
      <c r="N31" s="35"/>
      <c r="O31" s="35" t="s">
        <v>91</v>
      </c>
      <c r="P31" s="35"/>
      <c r="Q31" s="35" t="s">
        <v>582</v>
      </c>
      <c r="R31" s="35" t="s">
        <v>583</v>
      </c>
      <c r="S31" s="35" t="s">
        <v>584</v>
      </c>
      <c r="T31" s="35"/>
      <c r="U31" s="35" t="s">
        <v>585</v>
      </c>
      <c r="V31" s="37" t="s">
        <v>586</v>
      </c>
      <c r="W31" s="37" t="s">
        <v>98</v>
      </c>
      <c r="X31" s="35"/>
      <c r="Y31" s="35"/>
      <c r="Z31" s="35"/>
      <c r="AA31" s="35" t="s">
        <v>587</v>
      </c>
      <c r="AB31" s="35"/>
      <c r="AC31" s="35" t="s">
        <v>588</v>
      </c>
      <c r="AD31" s="35"/>
      <c r="AE31" s="35"/>
      <c r="AF31" s="35" t="s">
        <v>589</v>
      </c>
      <c r="AG31" s="35"/>
      <c r="AH31" s="35" t="s">
        <v>590</v>
      </c>
      <c r="AI31" s="35" t="s">
        <v>174</v>
      </c>
      <c r="AJ31" s="35" t="s">
        <v>591</v>
      </c>
      <c r="AK31" s="35" t="s">
        <v>592</v>
      </c>
      <c r="AL31" s="35"/>
      <c r="AM31" s="35" t="s">
        <v>593</v>
      </c>
      <c r="AN31" s="35"/>
      <c r="AO31" s="35" t="s">
        <v>594</v>
      </c>
      <c r="AP31" s="35"/>
      <c r="AQ31" s="32"/>
    </row>
    <row r="32" spans="1:43" x14ac:dyDescent="0.3">
      <c r="A32" s="44">
        <v>28</v>
      </c>
      <c r="B32" s="32" t="s">
        <v>63</v>
      </c>
      <c r="C32" s="32" t="s">
        <v>595</v>
      </c>
      <c r="D32" s="32">
        <v>2016</v>
      </c>
      <c r="E32" s="32" t="s">
        <v>552</v>
      </c>
      <c r="F32" s="32" t="s">
        <v>596</v>
      </c>
      <c r="G32" s="32" t="s">
        <v>597</v>
      </c>
      <c r="H32" s="35"/>
      <c r="I32" s="32" t="s">
        <v>251</v>
      </c>
      <c r="J32" s="32" t="s">
        <v>598</v>
      </c>
      <c r="K32" s="32" t="s">
        <v>88</v>
      </c>
      <c r="L32" s="32" t="s">
        <v>599</v>
      </c>
      <c r="M32" s="32" t="s">
        <v>600</v>
      </c>
      <c r="N32" s="32" t="s">
        <v>601</v>
      </c>
      <c r="O32" s="32" t="s">
        <v>602</v>
      </c>
      <c r="P32" s="35"/>
      <c r="Q32" s="32" t="s">
        <v>603</v>
      </c>
      <c r="R32" s="32" t="s">
        <v>604</v>
      </c>
      <c r="S32" s="35"/>
      <c r="T32" s="35"/>
      <c r="U32" s="35"/>
      <c r="V32" s="37" t="s">
        <v>156</v>
      </c>
      <c r="W32" s="37" t="s">
        <v>355</v>
      </c>
      <c r="X32" s="35"/>
      <c r="Y32" s="32">
        <v>379</v>
      </c>
      <c r="Z32" s="35"/>
      <c r="AA32" s="35"/>
      <c r="AB32" s="35"/>
      <c r="AC32" s="35"/>
      <c r="AD32" s="35"/>
      <c r="AE32" s="35"/>
      <c r="AF32" s="35"/>
      <c r="AG32" s="35"/>
      <c r="AH32" s="35"/>
      <c r="AI32" s="35"/>
      <c r="AJ32" s="35"/>
      <c r="AK32" s="35"/>
      <c r="AL32" s="35"/>
      <c r="AM32" s="32" t="s">
        <v>605</v>
      </c>
      <c r="AN32" s="35"/>
      <c r="AO32" s="35"/>
      <c r="AP32" s="35"/>
      <c r="AQ32" s="35"/>
    </row>
    <row r="33" spans="1:51" x14ac:dyDescent="0.3">
      <c r="A33" s="44">
        <v>29</v>
      </c>
      <c r="B33" s="32" t="s">
        <v>110</v>
      </c>
      <c r="C33" s="32" t="s">
        <v>606</v>
      </c>
      <c r="D33" s="32">
        <v>2010</v>
      </c>
      <c r="E33" s="32" t="s">
        <v>391</v>
      </c>
      <c r="F33" s="32" t="s">
        <v>607</v>
      </c>
      <c r="G33" s="32" t="s">
        <v>608</v>
      </c>
      <c r="H33" s="35"/>
      <c r="I33" s="32" t="s">
        <v>144</v>
      </c>
      <c r="J33" s="32" t="s">
        <v>609</v>
      </c>
      <c r="K33" s="38" t="s">
        <v>174</v>
      </c>
      <c r="L33" s="38" t="s">
        <v>610</v>
      </c>
      <c r="M33" s="38" t="s">
        <v>611</v>
      </c>
      <c r="N33" s="32" t="s">
        <v>612</v>
      </c>
      <c r="O33" s="35"/>
      <c r="P33" s="32" t="s">
        <v>300</v>
      </c>
      <c r="Q33" s="32" t="s">
        <v>613</v>
      </c>
      <c r="R33" s="32" t="s">
        <v>614</v>
      </c>
      <c r="S33" s="38" t="s">
        <v>615</v>
      </c>
      <c r="T33" s="35"/>
      <c r="U33" s="32" t="s">
        <v>355</v>
      </c>
      <c r="V33" s="32" t="s">
        <v>156</v>
      </c>
      <c r="W33" s="32" t="s">
        <v>616</v>
      </c>
      <c r="X33" s="32" t="s">
        <v>617</v>
      </c>
      <c r="Y33" s="32">
        <v>247</v>
      </c>
      <c r="Z33" s="35"/>
      <c r="AA33" s="32" t="s">
        <v>618</v>
      </c>
      <c r="AB33" s="35"/>
      <c r="AC33" s="35"/>
      <c r="AD33" s="35"/>
      <c r="AE33" s="35"/>
      <c r="AF33" s="35"/>
      <c r="AG33" s="32" t="s">
        <v>619</v>
      </c>
      <c r="AH33" s="32" t="s">
        <v>620</v>
      </c>
      <c r="AI33" s="35"/>
      <c r="AJ33" s="32" t="s">
        <v>621</v>
      </c>
      <c r="AK33" s="60" t="s">
        <v>622</v>
      </c>
      <c r="AL33" s="35"/>
      <c r="AM33" s="32" t="s">
        <v>623</v>
      </c>
      <c r="AN33" s="32" t="s">
        <v>624</v>
      </c>
      <c r="AO33" s="32" t="s">
        <v>625</v>
      </c>
      <c r="AP33" s="32" t="s">
        <v>626</v>
      </c>
      <c r="AQ33" s="35"/>
    </row>
    <row r="34" spans="1:51" x14ac:dyDescent="0.3">
      <c r="A34" s="44">
        <v>30</v>
      </c>
      <c r="B34" s="32" t="s">
        <v>457</v>
      </c>
      <c r="C34" s="32" t="s">
        <v>627</v>
      </c>
      <c r="D34" s="32">
        <v>2009</v>
      </c>
      <c r="E34" s="32" t="s">
        <v>140</v>
      </c>
      <c r="F34" s="32" t="s">
        <v>628</v>
      </c>
      <c r="G34" s="32" t="s">
        <v>629</v>
      </c>
      <c r="H34" s="35"/>
      <c r="I34" s="32" t="s">
        <v>630</v>
      </c>
      <c r="J34" s="32" t="s">
        <v>631</v>
      </c>
      <c r="K34" s="32" t="s">
        <v>437</v>
      </c>
      <c r="L34" s="32" t="s">
        <v>632</v>
      </c>
      <c r="M34" s="32" t="s">
        <v>633</v>
      </c>
      <c r="N34" s="32" t="s">
        <v>634</v>
      </c>
      <c r="O34" s="32" t="s">
        <v>91</v>
      </c>
      <c r="P34" s="35"/>
      <c r="Q34" s="32" t="s">
        <v>635</v>
      </c>
      <c r="R34" s="32" t="s">
        <v>636</v>
      </c>
      <c r="S34" s="32" t="s">
        <v>637</v>
      </c>
      <c r="T34" s="32" t="s">
        <v>638</v>
      </c>
      <c r="U34" s="35" t="s">
        <v>639</v>
      </c>
      <c r="V34" s="37" t="s">
        <v>156</v>
      </c>
      <c r="W34" s="35" t="s">
        <v>640</v>
      </c>
      <c r="X34" s="35"/>
      <c r="Y34" s="32">
        <v>4</v>
      </c>
      <c r="Z34" s="35"/>
      <c r="AA34" s="35"/>
      <c r="AB34" s="35"/>
      <c r="AC34" s="35"/>
      <c r="AD34" s="35"/>
      <c r="AE34" s="35"/>
      <c r="AF34" s="32" t="s">
        <v>641</v>
      </c>
      <c r="AG34" s="35"/>
      <c r="AH34" s="35"/>
      <c r="AI34" s="32" t="s">
        <v>642</v>
      </c>
      <c r="AJ34" s="32" t="s">
        <v>643</v>
      </c>
      <c r="AK34" s="35"/>
      <c r="AL34" s="35"/>
      <c r="AM34" s="32" t="s">
        <v>644</v>
      </c>
      <c r="AN34" s="35"/>
      <c r="AO34" s="35" t="s">
        <v>645</v>
      </c>
      <c r="AP34" s="35" t="s">
        <v>646</v>
      </c>
      <c r="AQ34" s="35"/>
    </row>
    <row r="35" spans="1:51" x14ac:dyDescent="0.3">
      <c r="A35" s="44">
        <v>31</v>
      </c>
      <c r="B35" s="32" t="s">
        <v>196</v>
      </c>
      <c r="C35" s="32" t="s">
        <v>647</v>
      </c>
      <c r="D35" s="50">
        <v>2008</v>
      </c>
      <c r="E35" s="35" t="s">
        <v>140</v>
      </c>
      <c r="F35" s="35" t="s">
        <v>648</v>
      </c>
      <c r="G35" s="35" t="s">
        <v>649</v>
      </c>
      <c r="H35" s="35" t="s">
        <v>650</v>
      </c>
      <c r="I35" s="35" t="s">
        <v>651</v>
      </c>
      <c r="J35" s="35" t="s">
        <v>652</v>
      </c>
      <c r="K35" s="35" t="s">
        <v>652</v>
      </c>
      <c r="L35" s="35" t="s">
        <v>653</v>
      </c>
      <c r="M35" s="50">
        <v>2007</v>
      </c>
      <c r="N35" s="35" t="s">
        <v>654</v>
      </c>
      <c r="O35" s="35" t="s">
        <v>206</v>
      </c>
      <c r="P35" s="35" t="s">
        <v>244</v>
      </c>
      <c r="Q35" s="35"/>
      <c r="R35" s="35"/>
      <c r="S35" s="35" t="s">
        <v>655</v>
      </c>
      <c r="T35" s="35"/>
      <c r="U35" s="35" t="s">
        <v>656</v>
      </c>
      <c r="V35" s="37" t="s">
        <v>657</v>
      </c>
      <c r="W35" s="37" t="s">
        <v>658</v>
      </c>
      <c r="X35" s="35"/>
      <c r="Y35" s="35" t="s">
        <v>659</v>
      </c>
      <c r="Z35" s="35"/>
      <c r="AA35" s="35"/>
      <c r="AB35" s="35"/>
      <c r="AC35" s="35"/>
      <c r="AD35" s="35"/>
      <c r="AE35" s="35"/>
      <c r="AF35" s="35"/>
      <c r="AG35" s="35"/>
      <c r="AH35" s="35" t="s">
        <v>660</v>
      </c>
      <c r="AI35" s="35"/>
      <c r="AJ35" s="35" t="s">
        <v>661</v>
      </c>
      <c r="AK35" s="35" t="s">
        <v>662</v>
      </c>
      <c r="AL35" s="35"/>
      <c r="AM35" s="35" t="s">
        <v>663</v>
      </c>
      <c r="AN35" s="35"/>
      <c r="AO35" s="35"/>
      <c r="AP35" s="35"/>
      <c r="AQ35" s="35"/>
    </row>
    <row r="36" spans="1:51" x14ac:dyDescent="0.3">
      <c r="A36" s="44">
        <v>32</v>
      </c>
      <c r="B36" s="61" t="s">
        <v>110</v>
      </c>
      <c r="C36" s="38" t="s">
        <v>664</v>
      </c>
      <c r="D36" s="38">
        <v>2014</v>
      </c>
      <c r="E36" s="38" t="s">
        <v>665</v>
      </c>
      <c r="F36" s="38" t="s">
        <v>666</v>
      </c>
      <c r="G36" s="38" t="s">
        <v>667</v>
      </c>
      <c r="H36" s="61" t="s">
        <v>668</v>
      </c>
      <c r="I36" s="61" t="s">
        <v>669</v>
      </c>
      <c r="J36" s="61" t="s">
        <v>79</v>
      </c>
      <c r="K36" s="61" t="s">
        <v>670</v>
      </c>
      <c r="L36" s="61" t="s">
        <v>671</v>
      </c>
      <c r="M36" s="38" t="s">
        <v>672</v>
      </c>
      <c r="N36" s="38" t="s">
        <v>673</v>
      </c>
      <c r="O36" s="38" t="s">
        <v>270</v>
      </c>
      <c r="P36" s="70" t="s">
        <v>674</v>
      </c>
      <c r="Q36" s="70" t="s">
        <v>675</v>
      </c>
      <c r="R36" s="70" t="s">
        <v>676</v>
      </c>
      <c r="S36" s="70" t="s">
        <v>677</v>
      </c>
      <c r="T36" s="70" t="s">
        <v>678</v>
      </c>
      <c r="U36" s="38" t="s">
        <v>679</v>
      </c>
      <c r="V36" s="38" t="s">
        <v>156</v>
      </c>
      <c r="W36" s="38" t="s">
        <v>680</v>
      </c>
      <c r="X36" s="38" t="s">
        <v>127</v>
      </c>
      <c r="Y36" s="70" t="s">
        <v>681</v>
      </c>
      <c r="Z36" s="70" t="s">
        <v>128</v>
      </c>
      <c r="AA36" s="70" t="s">
        <v>1011</v>
      </c>
      <c r="AB36" s="70" t="s">
        <v>128</v>
      </c>
      <c r="AC36" s="70" t="s">
        <v>128</v>
      </c>
      <c r="AD36" s="70" t="s">
        <v>682</v>
      </c>
      <c r="AE36" s="70"/>
      <c r="AF36" s="70" t="s">
        <v>128</v>
      </c>
      <c r="AG36" s="70" t="s">
        <v>683</v>
      </c>
      <c r="AH36" s="70" t="s">
        <v>684</v>
      </c>
      <c r="AI36" s="70" t="s">
        <v>670</v>
      </c>
      <c r="AJ36" s="70" t="s">
        <v>685</v>
      </c>
      <c r="AK36" s="71" t="s">
        <v>686</v>
      </c>
      <c r="AL36" s="70" t="s">
        <v>79</v>
      </c>
      <c r="AM36" s="70" t="s">
        <v>687</v>
      </c>
      <c r="AN36" s="72" t="s">
        <v>688</v>
      </c>
      <c r="AO36" s="72" t="s">
        <v>689</v>
      </c>
      <c r="AP36" s="72" t="s">
        <v>690</v>
      </c>
      <c r="AQ36" s="70"/>
      <c r="AR36" s="73"/>
      <c r="AS36" s="73"/>
      <c r="AT36" s="73"/>
      <c r="AU36" s="73"/>
      <c r="AV36" s="73"/>
      <c r="AW36" s="73"/>
      <c r="AX36" s="73"/>
      <c r="AY36" s="73"/>
    </row>
    <row r="37" spans="1:51" x14ac:dyDescent="0.3">
      <c r="A37" s="44">
        <v>33</v>
      </c>
      <c r="B37" s="32" t="s">
        <v>110</v>
      </c>
      <c r="C37" s="32" t="s">
        <v>691</v>
      </c>
      <c r="D37" s="32">
        <v>2006</v>
      </c>
      <c r="E37" s="32" t="s">
        <v>692</v>
      </c>
      <c r="F37" s="32" t="s">
        <v>693</v>
      </c>
      <c r="G37" s="32" t="s">
        <v>694</v>
      </c>
      <c r="H37" s="32" t="s">
        <v>695</v>
      </c>
      <c r="I37" s="32" t="s">
        <v>696</v>
      </c>
      <c r="J37" s="32" t="s">
        <v>697</v>
      </c>
      <c r="K37" s="38" t="s">
        <v>698</v>
      </c>
      <c r="L37" s="38" t="s">
        <v>699</v>
      </c>
      <c r="M37" s="38" t="s">
        <v>700</v>
      </c>
      <c r="N37" s="32" t="s">
        <v>701</v>
      </c>
      <c r="O37" s="35"/>
      <c r="P37" s="32" t="s">
        <v>300</v>
      </c>
      <c r="Q37" s="32" t="s">
        <v>702</v>
      </c>
      <c r="R37" s="32" t="s">
        <v>703</v>
      </c>
      <c r="S37" s="38" t="s">
        <v>704</v>
      </c>
      <c r="T37" s="35"/>
      <c r="U37" s="32" t="s">
        <v>355</v>
      </c>
      <c r="V37" s="32" t="s">
        <v>156</v>
      </c>
      <c r="W37" s="32" t="s">
        <v>305</v>
      </c>
      <c r="X37" s="35"/>
      <c r="Y37" s="32" t="s">
        <v>705</v>
      </c>
      <c r="Z37" s="35"/>
      <c r="AA37" s="32" t="s">
        <v>706</v>
      </c>
      <c r="AB37" s="35"/>
      <c r="AC37" s="35"/>
      <c r="AD37" s="35"/>
      <c r="AE37" s="35"/>
      <c r="AF37" s="35"/>
      <c r="AG37" s="35"/>
      <c r="AH37" s="32" t="s">
        <v>707</v>
      </c>
      <c r="AI37" s="32" t="s">
        <v>698</v>
      </c>
      <c r="AJ37" s="32" t="s">
        <v>708</v>
      </c>
      <c r="AK37" s="32" t="s">
        <v>709</v>
      </c>
      <c r="AL37" s="35"/>
      <c r="AM37" s="32" t="s">
        <v>710</v>
      </c>
      <c r="AN37" s="35"/>
      <c r="AO37" s="32" t="s">
        <v>711</v>
      </c>
      <c r="AP37" s="32" t="s">
        <v>712</v>
      </c>
      <c r="AQ37" s="35"/>
    </row>
    <row r="38" spans="1:51" x14ac:dyDescent="0.3">
      <c r="A38" s="44">
        <v>34</v>
      </c>
      <c r="B38" s="35" t="s">
        <v>196</v>
      </c>
      <c r="C38" s="35" t="s">
        <v>691</v>
      </c>
      <c r="D38" s="50">
        <v>2002</v>
      </c>
      <c r="E38" s="35" t="s">
        <v>692</v>
      </c>
      <c r="F38" s="35" t="s">
        <v>713</v>
      </c>
      <c r="G38" s="35" t="s">
        <v>714</v>
      </c>
      <c r="H38" s="35"/>
      <c r="I38" s="35" t="s">
        <v>715</v>
      </c>
      <c r="J38" s="35" t="s">
        <v>716</v>
      </c>
      <c r="K38" s="32" t="s">
        <v>717</v>
      </c>
      <c r="L38" s="35" t="s">
        <v>718</v>
      </c>
      <c r="M38" s="35" t="s">
        <v>719</v>
      </c>
      <c r="N38" s="35"/>
      <c r="O38" s="35" t="s">
        <v>206</v>
      </c>
      <c r="P38" s="35" t="s">
        <v>720</v>
      </c>
      <c r="Q38" s="35"/>
      <c r="R38" s="35" t="s">
        <v>721</v>
      </c>
      <c r="S38" s="35" t="s">
        <v>722</v>
      </c>
      <c r="T38" s="35"/>
      <c r="U38" s="35" t="s">
        <v>723</v>
      </c>
      <c r="V38" s="37" t="s">
        <v>586</v>
      </c>
      <c r="W38" s="37" t="s">
        <v>724</v>
      </c>
      <c r="X38" s="35"/>
      <c r="Y38" s="35" t="s">
        <v>725</v>
      </c>
      <c r="Z38" s="35" t="s">
        <v>726</v>
      </c>
      <c r="AA38" s="35" t="s">
        <v>727</v>
      </c>
      <c r="AB38" s="35" t="s">
        <v>128</v>
      </c>
      <c r="AC38" s="35" t="s">
        <v>128</v>
      </c>
      <c r="AD38" s="35" t="s">
        <v>728</v>
      </c>
      <c r="AE38" s="35"/>
      <c r="AF38" s="35" t="s">
        <v>729</v>
      </c>
      <c r="AG38" s="35" t="s">
        <v>730</v>
      </c>
      <c r="AH38" s="35" t="s">
        <v>731</v>
      </c>
      <c r="AI38" s="35" t="s">
        <v>717</v>
      </c>
      <c r="AJ38" s="35" t="s">
        <v>732</v>
      </c>
      <c r="AK38" s="35"/>
      <c r="AL38" s="35"/>
      <c r="AM38" s="35" t="s">
        <v>733</v>
      </c>
      <c r="AN38" s="35"/>
      <c r="AO38" s="35" t="s">
        <v>734</v>
      </c>
      <c r="AP38" s="35" t="s">
        <v>735</v>
      </c>
      <c r="AQ38" s="35"/>
    </row>
    <row r="39" spans="1:51" x14ac:dyDescent="0.3">
      <c r="A39" s="44">
        <v>35</v>
      </c>
      <c r="B39" s="32" t="s">
        <v>81</v>
      </c>
      <c r="C39" s="32" t="s">
        <v>736</v>
      </c>
      <c r="D39" s="32">
        <v>2015</v>
      </c>
      <c r="E39" s="32" t="s">
        <v>391</v>
      </c>
      <c r="F39" s="32" t="s">
        <v>737</v>
      </c>
      <c r="G39" s="35" t="s">
        <v>738</v>
      </c>
      <c r="H39" s="35" t="s">
        <v>739</v>
      </c>
      <c r="I39" s="35" t="s">
        <v>740</v>
      </c>
      <c r="J39" s="35" t="s">
        <v>741</v>
      </c>
      <c r="K39" s="35" t="s">
        <v>88</v>
      </c>
      <c r="L39" s="35" t="s">
        <v>742</v>
      </c>
      <c r="M39" s="35" t="s">
        <v>743</v>
      </c>
      <c r="N39" s="35" t="s">
        <v>744</v>
      </c>
      <c r="O39" s="35" t="s">
        <v>206</v>
      </c>
      <c r="P39" s="35" t="s">
        <v>745</v>
      </c>
      <c r="Q39" s="35" t="s">
        <v>746</v>
      </c>
      <c r="R39" s="35" t="s">
        <v>747</v>
      </c>
      <c r="S39" s="35" t="s">
        <v>748</v>
      </c>
      <c r="T39" s="35"/>
      <c r="U39" s="35" t="s">
        <v>749</v>
      </c>
      <c r="V39" s="37" t="s">
        <v>126</v>
      </c>
      <c r="W39" s="37" t="s">
        <v>750</v>
      </c>
      <c r="X39" s="35" t="s">
        <v>751</v>
      </c>
      <c r="Y39" s="35" t="s">
        <v>752</v>
      </c>
      <c r="Z39" s="35" t="s">
        <v>753</v>
      </c>
      <c r="AA39" s="35" t="s">
        <v>754</v>
      </c>
      <c r="AB39" s="35" t="s">
        <v>128</v>
      </c>
      <c r="AC39" s="35" t="s">
        <v>128</v>
      </c>
      <c r="AD39" s="35" t="s">
        <v>755</v>
      </c>
      <c r="AE39" s="35"/>
      <c r="AF39" s="35" t="s">
        <v>104</v>
      </c>
      <c r="AG39" s="35" t="s">
        <v>756</v>
      </c>
      <c r="AH39" s="35" t="s">
        <v>757</v>
      </c>
      <c r="AI39" s="35" t="s">
        <v>758</v>
      </c>
      <c r="AJ39" s="35" t="s">
        <v>759</v>
      </c>
      <c r="AK39" s="35" t="s">
        <v>760</v>
      </c>
      <c r="AL39" s="35" t="s">
        <v>104</v>
      </c>
      <c r="AM39" s="35" t="s">
        <v>761</v>
      </c>
      <c r="AN39" s="35" t="s">
        <v>762</v>
      </c>
      <c r="AO39" s="35" t="s">
        <v>763</v>
      </c>
      <c r="AP39" s="35"/>
      <c r="AQ39" s="35"/>
    </row>
    <row r="40" spans="1:51" x14ac:dyDescent="0.3">
      <c r="A40" s="44">
        <v>36</v>
      </c>
      <c r="B40" s="32" t="s">
        <v>196</v>
      </c>
      <c r="C40" s="35" t="s">
        <v>764</v>
      </c>
      <c r="D40" s="50">
        <v>1975</v>
      </c>
      <c r="E40" s="35" t="s">
        <v>765</v>
      </c>
      <c r="F40" s="35" t="s">
        <v>766</v>
      </c>
      <c r="G40" s="35" t="s">
        <v>767</v>
      </c>
      <c r="H40" s="35"/>
      <c r="I40" s="35" t="s">
        <v>768</v>
      </c>
      <c r="J40" s="35" t="s">
        <v>769</v>
      </c>
      <c r="K40" s="35" t="s">
        <v>717</v>
      </c>
      <c r="L40" s="35"/>
      <c r="M40" s="35" t="s">
        <v>770</v>
      </c>
      <c r="N40" s="35"/>
      <c r="O40" s="35" t="s">
        <v>206</v>
      </c>
      <c r="P40" s="35" t="s">
        <v>244</v>
      </c>
      <c r="Q40" s="35" t="s">
        <v>771</v>
      </c>
      <c r="R40" s="35" t="s">
        <v>772</v>
      </c>
      <c r="S40" s="35" t="s">
        <v>773</v>
      </c>
      <c r="T40" s="35"/>
      <c r="U40" s="35"/>
      <c r="V40" s="37" t="s">
        <v>285</v>
      </c>
      <c r="W40" s="37" t="s">
        <v>285</v>
      </c>
      <c r="X40" s="35"/>
      <c r="Y40" s="50">
        <v>145</v>
      </c>
      <c r="Z40" s="32" t="s">
        <v>774</v>
      </c>
      <c r="AA40" s="35"/>
      <c r="AB40" s="35"/>
      <c r="AC40" s="35"/>
      <c r="AD40" s="35"/>
      <c r="AE40" s="35"/>
      <c r="AF40" s="35"/>
      <c r="AG40" s="35"/>
      <c r="AH40" s="35" t="s">
        <v>775</v>
      </c>
      <c r="AI40" s="35" t="s">
        <v>776</v>
      </c>
      <c r="AJ40" s="35" t="s">
        <v>777</v>
      </c>
      <c r="AK40" s="35" t="s">
        <v>778</v>
      </c>
      <c r="AL40" s="35"/>
      <c r="AM40" s="35"/>
      <c r="AN40" s="35"/>
      <c r="AO40" s="35" t="s">
        <v>779</v>
      </c>
      <c r="AP40" s="35" t="s">
        <v>780</v>
      </c>
      <c r="AQ40" s="32"/>
    </row>
    <row r="41" spans="1:51" x14ac:dyDescent="0.3">
      <c r="A41" s="44">
        <v>37</v>
      </c>
      <c r="B41" s="35" t="s">
        <v>196</v>
      </c>
      <c r="C41" s="35" t="s">
        <v>781</v>
      </c>
      <c r="D41" s="50">
        <v>2016</v>
      </c>
      <c r="E41" s="35" t="s">
        <v>552</v>
      </c>
      <c r="F41" s="35" t="s">
        <v>782</v>
      </c>
      <c r="G41" s="32" t="s">
        <v>783</v>
      </c>
      <c r="H41" s="32" t="s">
        <v>784</v>
      </c>
      <c r="I41" s="32" t="s">
        <v>785</v>
      </c>
      <c r="J41" s="32" t="s">
        <v>786</v>
      </c>
      <c r="K41" s="32" t="s">
        <v>88</v>
      </c>
      <c r="L41" s="32" t="s">
        <v>787</v>
      </c>
      <c r="M41" s="32" t="s">
        <v>788</v>
      </c>
      <c r="N41" s="32" t="s">
        <v>789</v>
      </c>
      <c r="O41" s="32" t="s">
        <v>206</v>
      </c>
      <c r="P41" s="32" t="s">
        <v>790</v>
      </c>
      <c r="Q41" s="32" t="s">
        <v>791</v>
      </c>
      <c r="R41" s="32" t="s">
        <v>792</v>
      </c>
      <c r="S41" s="32" t="s">
        <v>793</v>
      </c>
      <c r="T41" s="35"/>
      <c r="U41" s="32" t="s">
        <v>794</v>
      </c>
      <c r="V41" s="32" t="s">
        <v>75</v>
      </c>
      <c r="W41" s="32" t="s">
        <v>795</v>
      </c>
      <c r="X41" s="35"/>
      <c r="Y41" s="32">
        <v>307</v>
      </c>
      <c r="Z41" s="35"/>
      <c r="AA41" s="32" t="s">
        <v>796</v>
      </c>
      <c r="AB41" s="35"/>
      <c r="AC41" s="35"/>
      <c r="AD41" s="35"/>
      <c r="AE41" s="35"/>
      <c r="AF41" s="35"/>
      <c r="AG41" s="35"/>
      <c r="AH41" s="32" t="s">
        <v>797</v>
      </c>
      <c r="AI41" s="32" t="s">
        <v>786</v>
      </c>
      <c r="AJ41" s="32" t="s">
        <v>798</v>
      </c>
      <c r="AK41" s="32" t="s">
        <v>799</v>
      </c>
      <c r="AL41" s="35"/>
      <c r="AM41" s="35" t="s">
        <v>800</v>
      </c>
      <c r="AN41" s="35" t="s">
        <v>801</v>
      </c>
      <c r="AO41" s="35" t="s">
        <v>802</v>
      </c>
      <c r="AP41" s="35"/>
      <c r="AQ41" s="35"/>
    </row>
    <row r="42" spans="1:51" x14ac:dyDescent="0.3">
      <c r="A42" s="44">
        <v>38</v>
      </c>
      <c r="B42" s="32" t="s">
        <v>196</v>
      </c>
      <c r="C42" s="35" t="s">
        <v>803</v>
      </c>
      <c r="D42" s="50">
        <v>1980</v>
      </c>
      <c r="E42" s="35" t="s">
        <v>236</v>
      </c>
      <c r="F42" s="35" t="s">
        <v>804</v>
      </c>
      <c r="G42" s="32" t="s">
        <v>805</v>
      </c>
      <c r="H42" s="35"/>
      <c r="I42" s="35" t="s">
        <v>806</v>
      </c>
      <c r="J42" s="35" t="s">
        <v>240</v>
      </c>
      <c r="K42" s="35" t="s">
        <v>174</v>
      </c>
      <c r="L42" s="32" t="s">
        <v>807</v>
      </c>
      <c r="M42" s="50">
        <v>1977</v>
      </c>
      <c r="N42" s="35" t="s">
        <v>808</v>
      </c>
      <c r="O42" s="35" t="s">
        <v>809</v>
      </c>
      <c r="P42" s="35" t="s">
        <v>128</v>
      </c>
      <c r="Q42" s="35" t="s">
        <v>810</v>
      </c>
      <c r="R42" s="35" t="s">
        <v>811</v>
      </c>
      <c r="S42" s="35" t="s">
        <v>812</v>
      </c>
      <c r="T42" s="35"/>
      <c r="U42" s="35" t="s">
        <v>813</v>
      </c>
      <c r="V42" s="37" t="s">
        <v>657</v>
      </c>
      <c r="W42" s="35" t="s">
        <v>246</v>
      </c>
      <c r="X42" s="35" t="s">
        <v>247</v>
      </c>
      <c r="Y42" s="57">
        <v>862100</v>
      </c>
      <c r="Z42" s="35" t="s">
        <v>814</v>
      </c>
      <c r="AA42" s="35" t="s">
        <v>815</v>
      </c>
      <c r="AB42" s="35" t="s">
        <v>247</v>
      </c>
      <c r="AC42" s="35" t="s">
        <v>247</v>
      </c>
      <c r="AD42" s="35" t="s">
        <v>247</v>
      </c>
      <c r="AE42" s="35"/>
      <c r="AF42" s="35" t="s">
        <v>247</v>
      </c>
      <c r="AG42" s="35"/>
      <c r="AH42" s="35" t="s">
        <v>816</v>
      </c>
      <c r="AI42" s="35" t="s">
        <v>817</v>
      </c>
      <c r="AJ42" s="32"/>
      <c r="AK42" s="35" t="s">
        <v>818</v>
      </c>
      <c r="AL42" s="35"/>
      <c r="AM42" s="35" t="s">
        <v>819</v>
      </c>
      <c r="AN42" s="35"/>
      <c r="AO42" s="35"/>
      <c r="AP42" s="35"/>
      <c r="AQ42" s="35"/>
    </row>
    <row r="43" spans="1:51" x14ac:dyDescent="0.3">
      <c r="A43" s="44">
        <v>39</v>
      </c>
      <c r="B43" s="44" t="s">
        <v>110</v>
      </c>
      <c r="C43" s="44" t="s">
        <v>820</v>
      </c>
      <c r="D43" s="44">
        <v>2013</v>
      </c>
      <c r="E43" s="44" t="s">
        <v>821</v>
      </c>
      <c r="F43" s="44" t="s">
        <v>822</v>
      </c>
      <c r="G43" s="44" t="s">
        <v>823</v>
      </c>
      <c r="H43" s="44" t="s">
        <v>824</v>
      </c>
      <c r="I43" s="44" t="s">
        <v>825</v>
      </c>
      <c r="J43" s="44" t="s">
        <v>826</v>
      </c>
      <c r="K43" s="44" t="s">
        <v>826</v>
      </c>
      <c r="L43" s="44" t="s">
        <v>827</v>
      </c>
      <c r="M43" s="44" t="s">
        <v>828</v>
      </c>
      <c r="N43" s="44" t="s">
        <v>829</v>
      </c>
      <c r="O43" s="45"/>
      <c r="P43" s="44" t="s">
        <v>300</v>
      </c>
      <c r="Q43" s="44" t="s">
        <v>830</v>
      </c>
      <c r="R43" s="44" t="s">
        <v>831</v>
      </c>
      <c r="S43" s="44"/>
      <c r="T43" s="45"/>
      <c r="U43" s="45"/>
      <c r="V43" s="48" t="s">
        <v>156</v>
      </c>
      <c r="W43" s="48" t="s">
        <v>832</v>
      </c>
      <c r="X43" s="45"/>
      <c r="Y43" s="44">
        <v>1186</v>
      </c>
      <c r="Z43" s="45"/>
      <c r="AA43" s="44" t="s">
        <v>833</v>
      </c>
      <c r="AB43" s="45"/>
      <c r="AC43" s="45"/>
      <c r="AD43" s="45"/>
      <c r="AE43" s="45"/>
      <c r="AF43" s="45"/>
      <c r="AG43" s="45"/>
      <c r="AH43" s="44" t="s">
        <v>834</v>
      </c>
      <c r="AI43" s="45"/>
      <c r="AJ43" s="44" t="s">
        <v>835</v>
      </c>
      <c r="AK43" s="44" t="s">
        <v>836</v>
      </c>
      <c r="AL43" s="45"/>
      <c r="AM43" s="44" t="s">
        <v>837</v>
      </c>
      <c r="AN43" s="44" t="s">
        <v>838</v>
      </c>
      <c r="AO43" s="44" t="s">
        <v>839</v>
      </c>
      <c r="AP43" s="45"/>
      <c r="AQ43" s="44" t="s">
        <v>840</v>
      </c>
    </row>
    <row r="44" spans="1:51" x14ac:dyDescent="0.3">
      <c r="A44" s="44">
        <v>40</v>
      </c>
      <c r="B44" s="32" t="s">
        <v>110</v>
      </c>
      <c r="C44" s="32" t="s">
        <v>820</v>
      </c>
      <c r="D44" s="32">
        <v>2007</v>
      </c>
      <c r="E44" s="32" t="s">
        <v>841</v>
      </c>
      <c r="F44" s="32" t="s">
        <v>842</v>
      </c>
      <c r="G44" s="32" t="s">
        <v>843</v>
      </c>
      <c r="H44" s="35"/>
      <c r="I44" s="32" t="s">
        <v>844</v>
      </c>
      <c r="J44" s="32" t="s">
        <v>845</v>
      </c>
      <c r="K44" s="38" t="s">
        <v>826</v>
      </c>
      <c r="L44" s="55" t="s">
        <v>846</v>
      </c>
      <c r="M44" s="38" t="s">
        <v>847</v>
      </c>
      <c r="N44" s="32" t="s">
        <v>829</v>
      </c>
      <c r="O44" s="35"/>
      <c r="P44" s="32" t="s">
        <v>300</v>
      </c>
      <c r="Q44" s="32" t="s">
        <v>830</v>
      </c>
      <c r="R44" s="32" t="s">
        <v>831</v>
      </c>
      <c r="S44" s="38" t="s">
        <v>848</v>
      </c>
      <c r="T44" s="35"/>
      <c r="U44" s="35"/>
      <c r="V44" s="48" t="s">
        <v>156</v>
      </c>
      <c r="W44" s="48" t="s">
        <v>832</v>
      </c>
      <c r="X44" s="35"/>
      <c r="Y44" s="32">
        <v>1022</v>
      </c>
      <c r="Z44" s="35"/>
      <c r="AA44" s="32" t="s">
        <v>833</v>
      </c>
      <c r="AB44" s="35"/>
      <c r="AC44" s="35"/>
      <c r="AD44" s="35"/>
      <c r="AE44" s="35"/>
      <c r="AF44" s="35"/>
      <c r="AG44" s="32">
        <v>1022</v>
      </c>
      <c r="AH44" s="32" t="s">
        <v>849</v>
      </c>
      <c r="AI44" s="35"/>
      <c r="AJ44" s="32" t="s">
        <v>850</v>
      </c>
      <c r="AK44" s="32" t="s">
        <v>851</v>
      </c>
      <c r="AL44" s="35"/>
      <c r="AM44" s="32" t="s">
        <v>852</v>
      </c>
      <c r="AN44" s="35"/>
      <c r="AO44" s="32" t="s">
        <v>853</v>
      </c>
      <c r="AP44" s="32" t="s">
        <v>854</v>
      </c>
      <c r="AQ44" s="32" t="s">
        <v>855</v>
      </c>
    </row>
    <row r="45" spans="1:51" x14ac:dyDescent="0.3">
      <c r="A45" s="44">
        <v>41</v>
      </c>
      <c r="B45" s="35" t="s">
        <v>196</v>
      </c>
      <c r="C45" s="35" t="s">
        <v>856</v>
      </c>
      <c r="D45" s="50">
        <v>1976</v>
      </c>
      <c r="E45" s="35" t="s">
        <v>236</v>
      </c>
      <c r="F45" s="35" t="s">
        <v>857</v>
      </c>
      <c r="G45" s="35" t="s">
        <v>858</v>
      </c>
      <c r="H45" s="35"/>
      <c r="I45" s="35" t="s">
        <v>859</v>
      </c>
      <c r="J45" s="35" t="s">
        <v>860</v>
      </c>
      <c r="K45" s="35" t="s">
        <v>174</v>
      </c>
      <c r="L45" s="35" t="s">
        <v>861</v>
      </c>
      <c r="M45" s="50">
        <v>1974</v>
      </c>
      <c r="N45" s="35" t="s">
        <v>862</v>
      </c>
      <c r="O45" s="35" t="s">
        <v>91</v>
      </c>
      <c r="P45" s="32" t="s">
        <v>863</v>
      </c>
      <c r="Q45" s="35"/>
      <c r="R45" s="35"/>
      <c r="S45" s="35" t="s">
        <v>864</v>
      </c>
      <c r="T45" s="35"/>
      <c r="U45" s="35"/>
      <c r="V45" s="37" t="s">
        <v>98</v>
      </c>
      <c r="W45" s="37" t="s">
        <v>98</v>
      </c>
      <c r="X45" s="35"/>
      <c r="Y45" s="35"/>
      <c r="Z45" s="35"/>
      <c r="AA45" s="35" t="s">
        <v>865</v>
      </c>
      <c r="AB45" s="35"/>
      <c r="AC45" s="35"/>
      <c r="AD45" s="35"/>
      <c r="AE45" s="35"/>
      <c r="AF45" s="35"/>
      <c r="AG45" s="35"/>
      <c r="AH45" s="35" t="s">
        <v>866</v>
      </c>
      <c r="AI45" s="35" t="s">
        <v>860</v>
      </c>
      <c r="AJ45" s="35"/>
      <c r="AK45" s="32" t="s">
        <v>867</v>
      </c>
      <c r="AL45" s="35"/>
      <c r="AM45" s="35" t="s">
        <v>868</v>
      </c>
      <c r="AN45" s="35"/>
      <c r="AO45" s="35"/>
      <c r="AP45" s="35"/>
      <c r="AQ45" s="32" t="s">
        <v>869</v>
      </c>
    </row>
    <row r="46" spans="1:51" x14ac:dyDescent="0.3">
      <c r="A46" s="44">
        <v>42</v>
      </c>
      <c r="B46" s="44" t="s">
        <v>110</v>
      </c>
      <c r="C46" s="41" t="s">
        <v>870</v>
      </c>
      <c r="D46" s="62">
        <v>2008</v>
      </c>
      <c r="E46" s="41" t="s">
        <v>391</v>
      </c>
      <c r="F46" s="41" t="s">
        <v>871</v>
      </c>
      <c r="G46" s="41" t="s">
        <v>872</v>
      </c>
      <c r="H46" s="41" t="s">
        <v>873</v>
      </c>
      <c r="I46" s="41" t="s">
        <v>874</v>
      </c>
      <c r="J46" s="63" t="s">
        <v>370</v>
      </c>
      <c r="K46" s="41" t="s">
        <v>174</v>
      </c>
      <c r="L46" s="41" t="s">
        <v>875</v>
      </c>
      <c r="M46" s="41" t="s">
        <v>876</v>
      </c>
      <c r="N46" s="64" t="s">
        <v>877</v>
      </c>
      <c r="O46" s="41" t="s">
        <v>878</v>
      </c>
      <c r="P46" s="41" t="s">
        <v>151</v>
      </c>
      <c r="Q46" s="45" t="s">
        <v>879</v>
      </c>
      <c r="R46" s="45" t="s">
        <v>880</v>
      </c>
      <c r="S46" s="41" t="s">
        <v>881</v>
      </c>
      <c r="T46" s="45"/>
      <c r="U46" s="41" t="s">
        <v>882</v>
      </c>
      <c r="V46" s="65" t="s">
        <v>156</v>
      </c>
      <c r="W46" s="65" t="s">
        <v>883</v>
      </c>
      <c r="X46" s="41" t="s">
        <v>884</v>
      </c>
      <c r="Y46" s="62">
        <v>205</v>
      </c>
      <c r="Z46" s="45" t="s">
        <v>128</v>
      </c>
      <c r="AA46" s="41" t="s">
        <v>885</v>
      </c>
      <c r="AB46" s="45" t="s">
        <v>128</v>
      </c>
      <c r="AC46" s="45" t="s">
        <v>128</v>
      </c>
      <c r="AD46" s="45" t="s">
        <v>103</v>
      </c>
      <c r="AE46" s="45"/>
      <c r="AF46" s="45" t="s">
        <v>128</v>
      </c>
      <c r="AG46" s="45">
        <v>205</v>
      </c>
      <c r="AH46" s="41" t="s">
        <v>886</v>
      </c>
      <c r="AI46" s="44" t="s">
        <v>174</v>
      </c>
      <c r="AJ46" s="41" t="s">
        <v>887</v>
      </c>
      <c r="AK46" s="41" t="s">
        <v>888</v>
      </c>
      <c r="AL46" s="63" t="s">
        <v>304</v>
      </c>
      <c r="AM46" s="44" t="s">
        <v>889</v>
      </c>
      <c r="AN46" s="44" t="s">
        <v>890</v>
      </c>
      <c r="AO46" s="41" t="s">
        <v>891</v>
      </c>
      <c r="AP46" s="41" t="s">
        <v>892</v>
      </c>
      <c r="AQ46" s="41" t="s">
        <v>893</v>
      </c>
    </row>
    <row r="47" spans="1:51" x14ac:dyDescent="0.3">
      <c r="A47" s="44">
        <v>43</v>
      </c>
      <c r="B47" s="32" t="s">
        <v>81</v>
      </c>
      <c r="C47" s="32" t="s">
        <v>894</v>
      </c>
      <c r="D47" s="32">
        <v>2008</v>
      </c>
      <c r="E47" s="32" t="s">
        <v>692</v>
      </c>
      <c r="F47" s="32" t="s">
        <v>895</v>
      </c>
      <c r="G47" s="32" t="s">
        <v>896</v>
      </c>
      <c r="H47" s="32" t="s">
        <v>897</v>
      </c>
      <c r="I47" s="45" t="s">
        <v>898</v>
      </c>
      <c r="J47" s="35" t="s">
        <v>79</v>
      </c>
      <c r="K47" s="35" t="s">
        <v>776</v>
      </c>
      <c r="L47" s="35" t="s">
        <v>899</v>
      </c>
      <c r="M47" s="35">
        <v>2006</v>
      </c>
      <c r="N47" s="35" t="s">
        <v>900</v>
      </c>
      <c r="O47" s="35" t="s">
        <v>79</v>
      </c>
      <c r="P47" s="35" t="s">
        <v>79</v>
      </c>
      <c r="Q47" s="35" t="s">
        <v>901</v>
      </c>
      <c r="R47" s="35" t="s">
        <v>902</v>
      </c>
      <c r="S47" s="35" t="s">
        <v>903</v>
      </c>
      <c r="T47" s="35" t="s">
        <v>904</v>
      </c>
      <c r="U47" s="35" t="s">
        <v>905</v>
      </c>
      <c r="V47" s="37" t="s">
        <v>906</v>
      </c>
      <c r="W47" s="37" t="s">
        <v>906</v>
      </c>
      <c r="X47" s="35" t="s">
        <v>751</v>
      </c>
      <c r="Y47" s="35" t="s">
        <v>907</v>
      </c>
      <c r="Z47" s="35" t="s">
        <v>908</v>
      </c>
      <c r="AA47" s="35" t="s">
        <v>909</v>
      </c>
      <c r="AB47" s="35" t="s">
        <v>128</v>
      </c>
      <c r="AC47" s="35" t="s">
        <v>910</v>
      </c>
      <c r="AD47" s="35" t="s">
        <v>79</v>
      </c>
      <c r="AE47" s="35"/>
      <c r="AF47" s="35" t="s">
        <v>104</v>
      </c>
      <c r="AG47" s="35" t="s">
        <v>907</v>
      </c>
      <c r="AH47" s="35" t="s">
        <v>911</v>
      </c>
      <c r="AI47" s="35" t="s">
        <v>776</v>
      </c>
      <c r="AJ47" s="35" t="s">
        <v>912</v>
      </c>
      <c r="AK47" s="35" t="s">
        <v>913</v>
      </c>
      <c r="AL47" s="35" t="s">
        <v>104</v>
      </c>
      <c r="AM47" s="35" t="s">
        <v>914</v>
      </c>
      <c r="AN47" s="35" t="s">
        <v>915</v>
      </c>
      <c r="AO47" s="35" t="s">
        <v>916</v>
      </c>
      <c r="AP47" s="35"/>
      <c r="AQ47" s="35"/>
    </row>
    <row r="48" spans="1:51" x14ac:dyDescent="0.3">
      <c r="A48" s="44">
        <v>44</v>
      </c>
      <c r="B48" s="35" t="s">
        <v>110</v>
      </c>
      <c r="C48" s="61" t="s">
        <v>917</v>
      </c>
      <c r="D48" s="66">
        <v>2014</v>
      </c>
      <c r="E48" s="61" t="s">
        <v>198</v>
      </c>
      <c r="F48" s="61" t="s">
        <v>918</v>
      </c>
      <c r="G48" s="61" t="s">
        <v>919</v>
      </c>
      <c r="H48" s="67" t="s">
        <v>920</v>
      </c>
      <c r="I48" s="45" t="s">
        <v>921</v>
      </c>
      <c r="J48" s="35" t="s">
        <v>922</v>
      </c>
      <c r="K48" s="40" t="s">
        <v>252</v>
      </c>
      <c r="L48" s="40" t="s">
        <v>923</v>
      </c>
      <c r="M48" s="40" t="s">
        <v>924</v>
      </c>
      <c r="N48" s="40" t="s">
        <v>925</v>
      </c>
      <c r="O48" s="40" t="s">
        <v>926</v>
      </c>
      <c r="P48" s="35" t="s">
        <v>927</v>
      </c>
      <c r="Q48" s="35" t="s">
        <v>928</v>
      </c>
      <c r="R48" s="35" t="s">
        <v>929</v>
      </c>
      <c r="S48" s="40" t="s">
        <v>930</v>
      </c>
      <c r="T48" s="35"/>
      <c r="U48" s="41" t="s">
        <v>275</v>
      </c>
      <c r="V48" s="65" t="s">
        <v>156</v>
      </c>
      <c r="W48" s="40" t="s">
        <v>931</v>
      </c>
      <c r="X48" s="35" t="s">
        <v>127</v>
      </c>
      <c r="Y48" s="40" t="s">
        <v>932</v>
      </c>
      <c r="Z48" s="35" t="s">
        <v>128</v>
      </c>
      <c r="AA48" s="40" t="s">
        <v>933</v>
      </c>
      <c r="AB48" s="35" t="s">
        <v>934</v>
      </c>
      <c r="AC48" s="35" t="s">
        <v>128</v>
      </c>
      <c r="AD48" s="35" t="s">
        <v>935</v>
      </c>
      <c r="AE48" s="35"/>
      <c r="AF48" s="35" t="s">
        <v>128</v>
      </c>
      <c r="AG48" s="35" t="s">
        <v>936</v>
      </c>
      <c r="AH48" s="68" t="s">
        <v>937</v>
      </c>
      <c r="AI48" s="35" t="s">
        <v>174</v>
      </c>
      <c r="AJ48" s="40" t="s">
        <v>938</v>
      </c>
      <c r="AK48" s="40" t="s">
        <v>939</v>
      </c>
      <c r="AL48" s="35" t="s">
        <v>304</v>
      </c>
      <c r="AM48" s="68" t="s">
        <v>940</v>
      </c>
      <c r="AN48" s="35" t="s">
        <v>941</v>
      </c>
      <c r="AO48" s="40" t="s">
        <v>942</v>
      </c>
      <c r="AP48" s="40" t="s">
        <v>943</v>
      </c>
      <c r="AQ48" s="40" t="s">
        <v>944</v>
      </c>
    </row>
    <row r="49" spans="1:43" x14ac:dyDescent="0.3">
      <c r="A49" s="44">
        <v>45</v>
      </c>
      <c r="B49" s="35" t="s">
        <v>63</v>
      </c>
      <c r="C49" s="61" t="s">
        <v>917</v>
      </c>
      <c r="D49" s="66">
        <v>2016</v>
      </c>
      <c r="E49" s="61" t="s">
        <v>945</v>
      </c>
      <c r="F49" s="61" t="s">
        <v>946</v>
      </c>
      <c r="G49" s="61" t="s">
        <v>947</v>
      </c>
      <c r="H49" s="67"/>
      <c r="I49" s="45" t="s">
        <v>948</v>
      </c>
      <c r="J49" s="35" t="s">
        <v>949</v>
      </c>
      <c r="K49" s="40" t="s">
        <v>88</v>
      </c>
      <c r="L49" s="40" t="s">
        <v>950</v>
      </c>
      <c r="M49" s="40" t="s">
        <v>951</v>
      </c>
      <c r="N49" s="40" t="s">
        <v>952</v>
      </c>
      <c r="O49" s="40" t="s">
        <v>206</v>
      </c>
      <c r="P49" s="35" t="s">
        <v>953</v>
      </c>
      <c r="Q49" s="35" t="s">
        <v>954</v>
      </c>
      <c r="R49" s="35" t="s">
        <v>955</v>
      </c>
      <c r="S49" s="40" t="s">
        <v>956</v>
      </c>
      <c r="T49" s="35"/>
      <c r="U49" s="41" t="s">
        <v>957</v>
      </c>
      <c r="V49" s="65" t="s">
        <v>126</v>
      </c>
      <c r="W49" s="69" t="s">
        <v>958</v>
      </c>
      <c r="X49" s="35" t="s">
        <v>959</v>
      </c>
      <c r="Y49" s="40" t="s">
        <v>960</v>
      </c>
      <c r="Z49" s="35" t="s">
        <v>961</v>
      </c>
      <c r="AA49" s="40" t="s">
        <v>962</v>
      </c>
      <c r="AB49" s="35" t="s">
        <v>963</v>
      </c>
      <c r="AC49" s="35" t="s">
        <v>964</v>
      </c>
      <c r="AD49" s="35" t="s">
        <v>965</v>
      </c>
      <c r="AE49" s="35"/>
      <c r="AF49" s="35"/>
      <c r="AG49" s="35" t="s">
        <v>966</v>
      </c>
      <c r="AH49" s="68"/>
      <c r="AI49" s="35" t="s">
        <v>949</v>
      </c>
      <c r="AJ49" s="40"/>
      <c r="AK49" s="40" t="s">
        <v>967</v>
      </c>
      <c r="AL49" s="35"/>
      <c r="AM49" s="68" t="s">
        <v>967</v>
      </c>
      <c r="AN49" s="35" t="s">
        <v>968</v>
      </c>
      <c r="AO49" s="40"/>
      <c r="AP49" s="40"/>
      <c r="AQ49" s="40"/>
    </row>
    <row r="50" spans="1:43" x14ac:dyDescent="0.3">
      <c r="A50" s="44">
        <v>46</v>
      </c>
      <c r="B50" s="35" t="s">
        <v>110</v>
      </c>
      <c r="C50" s="61" t="s">
        <v>969</v>
      </c>
      <c r="D50" s="66">
        <v>2006</v>
      </c>
      <c r="E50" s="61" t="s">
        <v>552</v>
      </c>
      <c r="F50" s="61" t="s">
        <v>970</v>
      </c>
      <c r="G50" s="61" t="s">
        <v>971</v>
      </c>
      <c r="H50" s="67" t="s">
        <v>972</v>
      </c>
      <c r="I50" s="45" t="s">
        <v>294</v>
      </c>
      <c r="J50" s="35" t="s">
        <v>973</v>
      </c>
      <c r="K50" s="40" t="s">
        <v>174</v>
      </c>
      <c r="L50" s="40" t="s">
        <v>974</v>
      </c>
      <c r="M50" s="40" t="s">
        <v>975</v>
      </c>
      <c r="N50" s="40" t="s">
        <v>976</v>
      </c>
      <c r="O50" s="40" t="s">
        <v>977</v>
      </c>
      <c r="P50" s="35" t="s">
        <v>151</v>
      </c>
      <c r="Q50" s="35" t="s">
        <v>978</v>
      </c>
      <c r="R50" s="35" t="s">
        <v>979</v>
      </c>
      <c r="S50" s="40" t="s">
        <v>980</v>
      </c>
      <c r="T50" s="35" t="s">
        <v>981</v>
      </c>
      <c r="U50" s="41" t="s">
        <v>466</v>
      </c>
      <c r="V50" s="65" t="s">
        <v>156</v>
      </c>
      <c r="W50" s="40" t="s">
        <v>982</v>
      </c>
      <c r="X50" s="35" t="s">
        <v>127</v>
      </c>
      <c r="Y50" s="40" t="s">
        <v>983</v>
      </c>
      <c r="Z50" s="35" t="s">
        <v>128</v>
      </c>
      <c r="AA50" s="40" t="s">
        <v>984</v>
      </c>
      <c r="AB50" s="35" t="s">
        <v>128</v>
      </c>
      <c r="AC50" s="35" t="s">
        <v>128</v>
      </c>
      <c r="AD50" s="35" t="s">
        <v>103</v>
      </c>
      <c r="AE50" s="35"/>
      <c r="AF50" s="35" t="s">
        <v>128</v>
      </c>
      <c r="AG50" s="35">
        <v>212</v>
      </c>
      <c r="AH50" s="68" t="s">
        <v>985</v>
      </c>
      <c r="AI50" s="35" t="s">
        <v>174</v>
      </c>
      <c r="AJ50" s="40" t="s">
        <v>986</v>
      </c>
      <c r="AK50" s="40" t="s">
        <v>987</v>
      </c>
      <c r="AL50" s="35" t="s">
        <v>128</v>
      </c>
      <c r="AM50" s="68" t="s">
        <v>988</v>
      </c>
      <c r="AN50" s="35" t="s">
        <v>989</v>
      </c>
      <c r="AO50" s="40" t="s">
        <v>990</v>
      </c>
      <c r="AP50" s="40" t="s">
        <v>991</v>
      </c>
      <c r="AQ50" s="40" t="s">
        <v>992</v>
      </c>
    </row>
    <row r="51" spans="1:43" x14ac:dyDescent="0.3">
      <c r="A51" s="44">
        <v>47</v>
      </c>
      <c r="B51" s="35" t="s">
        <v>63</v>
      </c>
      <c r="C51" s="61" t="s">
        <v>993</v>
      </c>
      <c r="D51" s="66">
        <v>2017</v>
      </c>
      <c r="E51" s="61" t="s">
        <v>552</v>
      </c>
      <c r="F51" s="61" t="s">
        <v>994</v>
      </c>
      <c r="G51" s="61" t="s">
        <v>995</v>
      </c>
      <c r="H51" s="67"/>
      <c r="I51" s="45" t="s">
        <v>523</v>
      </c>
      <c r="J51" s="35" t="s">
        <v>996</v>
      </c>
      <c r="K51" s="40" t="s">
        <v>88</v>
      </c>
      <c r="L51" s="40" t="s">
        <v>997</v>
      </c>
      <c r="M51" s="40" t="s">
        <v>998</v>
      </c>
      <c r="N51" s="40" t="s">
        <v>999</v>
      </c>
      <c r="O51" s="40"/>
      <c r="P51" s="35"/>
      <c r="Q51" s="35" t="s">
        <v>1000</v>
      </c>
      <c r="R51" s="35" t="s">
        <v>1001</v>
      </c>
      <c r="S51" s="40" t="s">
        <v>1002</v>
      </c>
      <c r="T51" s="35"/>
      <c r="U51" s="41" t="s">
        <v>1003</v>
      </c>
      <c r="V51" s="65" t="s">
        <v>126</v>
      </c>
      <c r="W51" s="69" t="s">
        <v>1004</v>
      </c>
      <c r="X51" s="35"/>
      <c r="Y51" s="40" t="s">
        <v>1005</v>
      </c>
      <c r="Z51" s="35" t="s">
        <v>1006</v>
      </c>
      <c r="AA51" s="40"/>
      <c r="AB51" s="35"/>
      <c r="AC51" s="35"/>
      <c r="AD51" s="35"/>
      <c r="AE51" s="35"/>
      <c r="AF51" s="35"/>
      <c r="AG51" s="35" t="s">
        <v>1007</v>
      </c>
      <c r="AH51" s="68"/>
      <c r="AI51" s="35" t="s">
        <v>1008</v>
      </c>
      <c r="AJ51" s="40" t="s">
        <v>1009</v>
      </c>
      <c r="AK51" s="40" t="s">
        <v>1010</v>
      </c>
      <c r="AL51" s="35"/>
      <c r="AM51" s="68" t="s">
        <v>1010</v>
      </c>
      <c r="AN51" s="35"/>
      <c r="AO51" s="40"/>
      <c r="AP51" s="40"/>
      <c r="AQ51" s="40"/>
    </row>
    <row r="52" spans="1:43" x14ac:dyDescent="0.3">
      <c r="A52" s="33"/>
      <c r="B52" s="33"/>
      <c r="C52" s="33"/>
      <c r="D52" s="33"/>
      <c r="E52" s="33"/>
      <c r="F52" s="33"/>
      <c r="G52" s="34"/>
      <c r="H52" s="34"/>
      <c r="I52" s="41"/>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row>
  </sheetData>
  <mergeCells count="30">
    <mergeCell ref="AM3:AP3"/>
    <mergeCell ref="AH3:AI3"/>
    <mergeCell ref="AJ3:AL3"/>
    <mergeCell ref="N3:P3"/>
    <mergeCell ref="Q3:T3"/>
    <mergeCell ref="U3:W3"/>
    <mergeCell ref="Y3:Z3"/>
    <mergeCell ref="AA3:AE3"/>
    <mergeCell ref="G3:G4"/>
    <mergeCell ref="H3:H4"/>
    <mergeCell ref="I3:I4"/>
    <mergeCell ref="J3:M3"/>
    <mergeCell ref="A3:A4"/>
    <mergeCell ref="B3:B4"/>
    <mergeCell ref="C3:C4"/>
    <mergeCell ref="D3:D4"/>
    <mergeCell ref="E3:E4"/>
    <mergeCell ref="F3:F4"/>
    <mergeCell ref="A2:F2"/>
    <mergeCell ref="G2:H2"/>
    <mergeCell ref="I2:Z2"/>
    <mergeCell ref="AA2:AF2"/>
    <mergeCell ref="AG2:AL2"/>
    <mergeCell ref="AM2:AP2"/>
    <mergeCell ref="A1:F1"/>
    <mergeCell ref="G1:H1"/>
    <mergeCell ref="I1:Z1"/>
    <mergeCell ref="AA1:AF1"/>
    <mergeCell ref="AG1:AL1"/>
    <mergeCell ref="AM1:AP1"/>
  </mergeCells>
  <conditionalFormatting sqref="AI10 AN11">
    <cfRule type="containsText" dxfId="103" priority="101" operator="containsText" text="N/A">
      <formula>NOT(ISERROR(SEARCH("N/A",AI10)))</formula>
    </cfRule>
    <cfRule type="containsText" dxfId="102" priority="102" operator="containsText" text="Can't Tell">
      <formula>NOT(ISERROR(SEARCH("Can't Tell",AI10)))</formula>
    </cfRule>
    <cfRule type="containsText" dxfId="101" priority="103" operator="containsText" text="No">
      <formula>NOT(ISERROR(SEARCH("No",AI10)))</formula>
    </cfRule>
    <cfRule type="containsText" dxfId="100" priority="104" operator="containsText" text="Yes">
      <formula>NOT(ISERROR(SEARCH("Yes",AI10)))</formula>
    </cfRule>
  </conditionalFormatting>
  <conditionalFormatting sqref="AG8">
    <cfRule type="containsText" dxfId="75" priority="73" operator="containsText" text="N/A">
      <formula>NOT(ISERROR(SEARCH("N/A",AG8)))</formula>
    </cfRule>
    <cfRule type="containsText" dxfId="74" priority="74" operator="containsText" text="Can't Tell">
      <formula>NOT(ISERROR(SEARCH("Can't Tell",AG8)))</formula>
    </cfRule>
    <cfRule type="containsText" dxfId="73" priority="75" operator="containsText" text="No">
      <formula>NOT(ISERROR(SEARCH("No",AG8)))</formula>
    </cfRule>
    <cfRule type="containsText" dxfId="72" priority="76" operator="containsText" text="Yes">
      <formula>NOT(ISERROR(SEARCH("Yes",AG8)))</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UCSF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Jill Barr-Walker</dc:creator>
  <cp:lastModifiedBy>Jill Barr-Walker</cp:lastModifiedBy>
  <dcterms:created xsi:type="dcterms:W3CDTF">2018-06-01T15:17:06Z</dcterms:created>
  <dcterms:modified xsi:type="dcterms:W3CDTF">2018-06-01T15:30:25Z</dcterms:modified>
</cp:coreProperties>
</file>