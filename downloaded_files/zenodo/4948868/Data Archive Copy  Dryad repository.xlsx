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drawings/drawing9.xml" ContentType="application/vnd.openxmlformats-officedocument.drawingml.chartshapes+xml"/>
  <Override PartName="/xl/charts/chart2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ml.chartshapes+xml"/>
  <Override PartName="/xl/drawings/drawing8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ml.chartshapes+xml"/>
  <Override PartName="/xl/theme/themeOverride1.xml" ContentType="application/vnd.openxmlformats-officedocument.themeOverrid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ml.chartshapes+xml"/>
  <Override PartName="/xl/worksheets/sheet1.xml" ContentType="application/vnd.openxmlformats-officedocument.spreadsheetml.workshee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1.xml" ContentType="application/vnd.openxmlformats-officedocument.drawingml.chartshapes+xml"/>
  <Override PartName="/xl/drawings/drawing12.xml" ContentType="application/vnd.openxmlformats-officedocument.drawingml.chartshap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0.xml" ContentType="application/vnd.openxmlformats-officedocument.drawingml.chartshape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60" windowWidth="19155" windowHeight="8505"/>
  </bookViews>
  <sheets>
    <sheet name="Switching and Reversal Assays" sheetId="2" r:id="rId1"/>
    <sheet name="% change" sheetId="1" r:id="rId2"/>
  </sheets>
  <calcPr calcId="125725"/>
</workbook>
</file>

<file path=xl/calcChain.xml><?xml version="1.0" encoding="utf-8"?>
<calcChain xmlns="http://schemas.openxmlformats.org/spreadsheetml/2006/main">
  <c r="N104" i="1"/>
  <c r="M104"/>
  <c r="L104"/>
  <c r="N103"/>
  <c r="M103"/>
  <c r="L103"/>
  <c r="N102"/>
  <c r="M102"/>
  <c r="L102"/>
  <c r="N101"/>
  <c r="M101"/>
  <c r="L101"/>
  <c r="N100"/>
  <c r="M100"/>
  <c r="L100"/>
  <c r="N99"/>
  <c r="M99"/>
  <c r="L99"/>
  <c r="N98"/>
  <c r="M98"/>
  <c r="L98"/>
  <c r="N97"/>
  <c r="M97"/>
  <c r="L97"/>
  <c r="N96"/>
  <c r="M96"/>
  <c r="L96"/>
  <c r="N95"/>
  <c r="M95"/>
  <c r="L95"/>
  <c r="N94"/>
  <c r="M94"/>
  <c r="L94"/>
  <c r="N93"/>
  <c r="M93"/>
  <c r="L93"/>
  <c r="N92"/>
  <c r="M92"/>
  <c r="L92"/>
  <c r="N91"/>
  <c r="M91"/>
  <c r="L91"/>
  <c r="N90"/>
  <c r="M90"/>
  <c r="L90"/>
  <c r="N89"/>
  <c r="M89"/>
  <c r="L89"/>
  <c r="N88"/>
  <c r="M88"/>
  <c r="L88"/>
  <c r="N87"/>
  <c r="M87"/>
  <c r="L87"/>
  <c r="N86"/>
  <c r="M86"/>
  <c r="L86"/>
  <c r="N85"/>
  <c r="M85"/>
  <c r="L85"/>
  <c r="N84"/>
  <c r="M84"/>
  <c r="L84"/>
  <c r="N83"/>
  <c r="M83"/>
  <c r="L83"/>
  <c r="N82"/>
  <c r="M82"/>
  <c r="L82"/>
  <c r="N81"/>
  <c r="M81"/>
  <c r="L81"/>
  <c r="N80"/>
  <c r="M80"/>
  <c r="L80"/>
  <c r="N79"/>
  <c r="M79"/>
  <c r="L79"/>
  <c r="N78"/>
  <c r="M78"/>
  <c r="L78"/>
  <c r="N77"/>
  <c r="M77"/>
  <c r="L77"/>
  <c r="N76"/>
  <c r="M76"/>
  <c r="L76"/>
  <c r="N75"/>
  <c r="M75"/>
  <c r="L75"/>
  <c r="N74"/>
  <c r="M74"/>
  <c r="L74"/>
  <c r="N73"/>
  <c r="M73"/>
  <c r="L73"/>
  <c r="N72"/>
  <c r="M72"/>
  <c r="L72"/>
  <c r="N71"/>
  <c r="M71"/>
  <c r="L71"/>
  <c r="N70"/>
  <c r="M70"/>
  <c r="L70"/>
  <c r="N69"/>
  <c r="M69"/>
  <c r="L69"/>
  <c r="N68"/>
  <c r="M68"/>
  <c r="L68"/>
  <c r="N67"/>
  <c r="M67"/>
  <c r="L67"/>
  <c r="N66"/>
  <c r="M66"/>
  <c r="L66"/>
  <c r="N65"/>
  <c r="M65"/>
  <c r="L65"/>
  <c r="N64"/>
  <c r="M64"/>
  <c r="L64"/>
  <c r="N63"/>
  <c r="M63"/>
  <c r="L63"/>
  <c r="N62"/>
  <c r="M62"/>
  <c r="L62"/>
  <c r="N61"/>
  <c r="M61"/>
  <c r="L61"/>
  <c r="N60"/>
  <c r="M60"/>
  <c r="L60"/>
  <c r="N59"/>
  <c r="M59"/>
  <c r="L59"/>
  <c r="N58"/>
  <c r="M58"/>
  <c r="L58"/>
  <c r="N57"/>
  <c r="M57"/>
  <c r="L57"/>
  <c r="N56"/>
  <c r="M56"/>
  <c r="L56"/>
  <c r="N55"/>
  <c r="M55"/>
  <c r="L55"/>
  <c r="N54"/>
  <c r="M54"/>
  <c r="L54"/>
  <c r="N53"/>
  <c r="M53"/>
  <c r="L53"/>
  <c r="N52"/>
  <c r="M52"/>
  <c r="L52"/>
  <c r="N51"/>
  <c r="M51"/>
  <c r="L51"/>
  <c r="N50"/>
  <c r="M50"/>
  <c r="L50"/>
  <c r="N49"/>
  <c r="M49"/>
  <c r="L49"/>
  <c r="N48"/>
  <c r="M48"/>
  <c r="L48"/>
  <c r="N47"/>
  <c r="M47"/>
  <c r="L47"/>
  <c r="N46"/>
  <c r="M46"/>
  <c r="L46"/>
  <c r="N45"/>
  <c r="M45"/>
  <c r="L45"/>
  <c r="N44"/>
  <c r="M44"/>
  <c r="L44"/>
  <c r="N43"/>
  <c r="M43"/>
  <c r="L43"/>
  <c r="N42"/>
  <c r="M42"/>
  <c r="L42"/>
  <c r="N41"/>
  <c r="M41"/>
  <c r="L41"/>
  <c r="N40"/>
  <c r="M40"/>
  <c r="L40"/>
  <c r="N39"/>
  <c r="M39"/>
  <c r="L39"/>
  <c r="N38"/>
  <c r="M38"/>
  <c r="L38"/>
  <c r="N37"/>
  <c r="M37"/>
  <c r="L37"/>
  <c r="N36"/>
  <c r="M36"/>
  <c r="L36"/>
  <c r="N35"/>
  <c r="M35"/>
  <c r="L35"/>
  <c r="N34"/>
  <c r="M34"/>
  <c r="L34"/>
  <c r="N33"/>
  <c r="M33"/>
  <c r="L33"/>
  <c r="N32"/>
  <c r="M32"/>
  <c r="L32"/>
  <c r="N31"/>
  <c r="M31"/>
  <c r="L31"/>
  <c r="N30"/>
  <c r="M30"/>
  <c r="L30"/>
  <c r="N29"/>
  <c r="M29"/>
  <c r="L29"/>
  <c r="N28"/>
  <c r="M28"/>
  <c r="L28"/>
  <c r="N27"/>
  <c r="M27"/>
  <c r="L27"/>
  <c r="N26"/>
  <c r="M26"/>
  <c r="L26"/>
  <c r="N25"/>
  <c r="M25"/>
  <c r="L25"/>
  <c r="N24"/>
  <c r="M24"/>
  <c r="L24"/>
  <c r="N23"/>
  <c r="M23"/>
  <c r="L23"/>
  <c r="N22"/>
  <c r="M22"/>
  <c r="L22"/>
  <c r="N21"/>
  <c r="M21"/>
  <c r="L21"/>
  <c r="N20"/>
  <c r="M20"/>
  <c r="L20"/>
  <c r="N19"/>
  <c r="M19"/>
  <c r="L19"/>
  <c r="N18"/>
  <c r="M18"/>
  <c r="L18"/>
  <c r="N17"/>
  <c r="M17"/>
  <c r="L17"/>
  <c r="N16"/>
  <c r="M16"/>
  <c r="L16"/>
  <c r="N15"/>
  <c r="M15"/>
  <c r="L15"/>
  <c r="N14"/>
  <c r="M14"/>
  <c r="L14"/>
  <c r="N13"/>
  <c r="M13"/>
  <c r="L13"/>
  <c r="N12"/>
  <c r="M12"/>
  <c r="L12"/>
  <c r="N11"/>
  <c r="M11"/>
  <c r="L11"/>
  <c r="N10"/>
  <c r="M10"/>
  <c r="L10"/>
  <c r="N9"/>
  <c r="M9"/>
  <c r="L9"/>
  <c r="N8"/>
  <c r="M8"/>
  <c r="L8"/>
  <c r="N7"/>
  <c r="M7"/>
  <c r="L7"/>
  <c r="N6"/>
  <c r="M6"/>
  <c r="L6"/>
  <c r="N5"/>
  <c r="M5"/>
  <c r="L5"/>
</calcChain>
</file>

<file path=xl/sharedStrings.xml><?xml version="1.0" encoding="utf-8"?>
<sst xmlns="http://schemas.openxmlformats.org/spreadsheetml/2006/main" count="478" uniqueCount="31">
  <si>
    <t>Percent Change</t>
  </si>
  <si>
    <t>means</t>
  </si>
  <si>
    <t>stdev</t>
  </si>
  <si>
    <t>pri</t>
  </si>
  <si>
    <t>sec</t>
  </si>
  <si>
    <t>chem</t>
  </si>
  <si>
    <t>no shifting</t>
  </si>
  <si>
    <t>std</t>
  </si>
  <si>
    <t>Shifting</t>
  </si>
  <si>
    <t>Reversal</t>
  </si>
  <si>
    <t>No Shifting to Host Shifting</t>
  </si>
  <si>
    <t>Host Shifting to Host Reversal</t>
  </si>
  <si>
    <t>No Shifting to Host Reversal</t>
  </si>
  <si>
    <t>Castor</t>
  </si>
  <si>
    <t>Cypermethrin</t>
  </si>
  <si>
    <t>Chlorpyrifos</t>
  </si>
  <si>
    <t>Lufenuron</t>
  </si>
  <si>
    <t>Emamectin</t>
  </si>
  <si>
    <t>Cauliflower</t>
  </si>
  <si>
    <t>Cotton</t>
  </si>
  <si>
    <t>Okra</t>
  </si>
  <si>
    <t xml:space="preserve"> </t>
  </si>
  <si>
    <t>Spinach</t>
  </si>
  <si>
    <t>REVERSAL</t>
  </si>
  <si>
    <t>SHIFTING</t>
  </si>
  <si>
    <t>reversal</t>
  </si>
  <si>
    <t>95% CI</t>
  </si>
  <si>
    <t xml:space="preserve">95% CI </t>
  </si>
  <si>
    <t>Mean</t>
  </si>
  <si>
    <t>Natal Host</t>
  </si>
  <si>
    <t>Auxiliary Host</t>
  </si>
</sst>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Fill="1" applyBorder="1" applyAlignment="1">
      <alignment horizontal="center" vertical="center"/>
    </xf>
    <xf numFmtId="164" fontId="0" fillId="0" borderId="3" xfId="0" applyNumberFormat="1" applyFill="1" applyBorder="1" applyAlignment="1">
      <alignment horizontal="center" vertical="center"/>
    </xf>
    <xf numFmtId="164" fontId="0" fillId="2" borderId="0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6" xfId="0" applyFill="1" applyBorder="1" applyAlignment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0" fontId="0" fillId="0" borderId="0" xfId="0" applyFill="1" applyBorder="1"/>
    <xf numFmtId="0" fontId="0" fillId="0" borderId="2" xfId="0" applyFill="1" applyBorder="1" applyAlignment="1">
      <alignment horizontal="center" vertical="center"/>
    </xf>
    <xf numFmtId="0" fontId="0" fillId="0" borderId="2" xfId="0" applyFill="1" applyBorder="1"/>
    <xf numFmtId="0" fontId="0" fillId="0" borderId="0" xfId="0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1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/>
          <a:lstStyle/>
          <a:p>
            <a:pPr>
              <a:defRPr/>
            </a:pPr>
            <a:r>
              <a:rPr lang="en-US"/>
              <a:t>(e)</a:t>
            </a:r>
          </a:p>
        </c:rich>
      </c:tx>
      <c:layout>
        <c:manualLayout>
          <c:xMode val="edge"/>
          <c:yMode val="edge"/>
          <c:x val="9.3901738523144047E-3"/>
          <c:y val="3.176434170102924E-3"/>
        </c:manualLayout>
      </c:layout>
      <c:spPr>
        <a:noFill/>
      </c:spPr>
    </c:title>
    <c:plotArea>
      <c:layout>
        <c:manualLayout>
          <c:layoutTarget val="inner"/>
          <c:xMode val="edge"/>
          <c:yMode val="edge"/>
          <c:x val="0.13627426266700279"/>
          <c:y val="2.49045054726834E-2"/>
          <c:w val="0.83322595841925384"/>
          <c:h val="0.57571255855245451"/>
        </c:manualLayout>
      </c:layout>
      <c:barChart>
        <c:barDir val="col"/>
        <c:grouping val="clustered"/>
        <c:ser>
          <c:idx val="0"/>
          <c:order val="0"/>
          <c:tx>
            <c:strRef>
              <c:f>'Switching and Reversal Assays'!$F$3</c:f>
              <c:strCache>
                <c:ptCount val="1"/>
                <c:pt idx="0">
                  <c:v>Shifting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ysClr val="windowText" lastClr="000000"/>
              </a:solidFill>
            </a:ln>
          </c:spPr>
          <c:dPt>
            <c:idx val="19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20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21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22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23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Lbls>
            <c:dLbl>
              <c:idx val="0"/>
              <c:layout>
                <c:manualLayout>
                  <c:x val="2.6557320211647202E-3"/>
                  <c:y val="-7.7884986040861443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1"/>
              <c:layout>
                <c:manualLayout>
                  <c:x val="0"/>
                  <c:y val="-8.5302603759038392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f</a:t>
                    </a:r>
                  </a:p>
                </c:rich>
              </c:tx>
              <c:dLblPos val="outEnd"/>
              <c:showVal val="1"/>
            </c:dLbl>
            <c:dLbl>
              <c:idx val="2"/>
              <c:layout>
                <c:manualLayout>
                  <c:x val="2.6557320211647202E-3"/>
                  <c:y val="-0.11126426577265919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cde</a:t>
                    </a:r>
                  </a:p>
                </c:rich>
              </c:tx>
              <c:dLblPos val="outEnd"/>
              <c:showVal val="1"/>
            </c:dLbl>
            <c:dLbl>
              <c:idx val="3"/>
              <c:layout>
                <c:manualLayout>
                  <c:x val="0"/>
                  <c:y val="-8.1593794899949751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def</a:t>
                    </a:r>
                  </a:p>
                </c:rich>
              </c:tx>
              <c:dLblPos val="outEnd"/>
              <c:showVal val="1"/>
            </c:dLbl>
            <c:dLbl>
              <c:idx val="4"/>
              <c:layout>
                <c:manualLayout>
                  <c:x val="2.6557320211647202E-3"/>
                  <c:y val="-5.1923324027240834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5"/>
              <c:layout>
                <c:manualLayout>
                  <c:x val="2.2747791320049011E-3"/>
                  <c:y val="-5.6031764657812774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6"/>
              <c:layout>
                <c:manualLayout>
                  <c:x val="0"/>
                  <c:y val="-8.8509343961271469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7"/>
              <c:layout>
                <c:manualLayout>
                  <c:x val="4.1707086343420444E-17"/>
                  <c:y val="-0.1067564708896766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8"/>
              <c:layout>
                <c:manualLayout>
                  <c:x val="0"/>
                  <c:y val="-5.4776604179024337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9"/>
              <c:layout>
                <c:manualLayout>
                  <c:x val="0"/>
                  <c:y val="-8.1593794899949751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0"/>
              <c:layout>
                <c:manualLayout>
                  <c:x val="0"/>
                  <c:y val="-0.13296911673213888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1"/>
              <c:layout>
                <c:manualLayout>
                  <c:x val="0"/>
                  <c:y val="-9.1716081733570654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bcd</a:t>
                    </a:r>
                  </a:p>
                </c:rich>
              </c:tx>
              <c:dLblPos val="outEnd"/>
              <c:showVal val="1"/>
            </c:dLbl>
            <c:dLbl>
              <c:idx val="12"/>
              <c:layout>
                <c:manualLayout>
                  <c:x val="0"/>
                  <c:y val="-8.3350827618924733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ef</a:t>
                    </a:r>
                  </a:p>
                </c:rich>
              </c:tx>
              <c:dLblPos val="outEnd"/>
              <c:showVal val="1"/>
            </c:dLbl>
            <c:dLbl>
              <c:idx val="13"/>
              <c:layout>
                <c:manualLayout>
                  <c:x val="2.655789858343549E-3"/>
                  <c:y val="-0.11723231076131055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14"/>
              <c:layout>
                <c:manualLayout>
                  <c:x val="0"/>
                  <c:y val="-0.1149730746317474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5"/>
              <c:layout>
                <c:manualLayout>
                  <c:x val="0"/>
                  <c:y val="-4.2246535980495499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16"/>
              <c:layout>
                <c:manualLayout>
                  <c:x val="0"/>
                  <c:y val="-6.3551858597597655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abc</a:t>
                    </a:r>
                  </a:p>
                </c:rich>
              </c:tx>
              <c:dLblPos val="outEnd"/>
              <c:showVal val="1"/>
            </c:dLbl>
            <c:dLbl>
              <c:idx val="17"/>
              <c:layout>
                <c:manualLayout>
                  <c:x val="0"/>
                  <c:y val="-9.2320716447855486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def</a:t>
                    </a:r>
                  </a:p>
                </c:rich>
              </c:tx>
              <c:dLblPos val="outEnd"/>
              <c:showVal val="1"/>
            </c:dLbl>
            <c:dLbl>
              <c:idx val="18"/>
              <c:layout>
                <c:manualLayout>
                  <c:x val="0"/>
                  <c:y val="-0.10755545691357041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bcd</a:t>
                    </a:r>
                  </a:p>
                </c:rich>
              </c:tx>
              <c:dLblPos val="outEnd"/>
              <c:showVal val="1"/>
            </c:dLbl>
            <c:dLbl>
              <c:idx val="19"/>
              <c:layout>
                <c:manualLayout>
                  <c:x val="0"/>
                  <c:y val="-5.5632132886329413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20"/>
              <c:layout>
                <c:manualLayout>
                  <c:x val="0"/>
                  <c:y val="-5.112424015591686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21"/>
              <c:layout>
                <c:manualLayout>
                  <c:x val="0"/>
                  <c:y val="-6.39053001948960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def</a:t>
                    </a:r>
                  </a:p>
                </c:rich>
              </c:tx>
              <c:dLblPos val="outEnd"/>
              <c:showVal val="1"/>
            </c:dLbl>
            <c:dLbl>
              <c:idx val="22"/>
              <c:layout>
                <c:manualLayout>
                  <c:x val="0"/>
                  <c:y val="-9.969226830403810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abc</a:t>
                    </a:r>
                  </a:p>
                </c:rich>
              </c:tx>
              <c:dLblPos val="outEnd"/>
              <c:showVal val="1"/>
            </c:dLbl>
            <c:dLbl>
              <c:idx val="23"/>
              <c:layout>
                <c:manualLayout>
                  <c:x val="0"/>
                  <c:y val="-5.368045216371266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bcd</a:t>
                    </a:r>
                  </a:p>
                </c:rich>
              </c:tx>
              <c:dLblPos val="outEnd"/>
              <c:showVal val="1"/>
            </c:dLbl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dLblPos val="outEnd"/>
            <c:showVal val="1"/>
          </c:dLbls>
          <c:errBars>
            <c:errBarType val="both"/>
            <c:errValType val="cust"/>
            <c:plus>
              <c:numRef>
                <c:f>'Switching and Reversal Assays'!$G$106:$G$129</c:f>
                <c:numCache>
                  <c:formatCode>General</c:formatCode>
                  <c:ptCount val="24"/>
                  <c:pt idx="0">
                    <c:v>15.055453</c:v>
                  </c:pt>
                  <c:pt idx="1">
                    <c:v>16.329931999999999</c:v>
                  </c:pt>
                  <c:pt idx="2">
                    <c:v>20.976177</c:v>
                  </c:pt>
                  <c:pt idx="3">
                    <c:v>16.329931999999999</c:v>
                  </c:pt>
                  <c:pt idx="5">
                    <c:v>10.954451000000001</c:v>
                  </c:pt>
                  <c:pt idx="6">
                    <c:v>16.733201000000001</c:v>
                  </c:pt>
                  <c:pt idx="7">
                    <c:v>19.663841999999999</c:v>
                  </c:pt>
                  <c:pt idx="8">
                    <c:v>10.327956</c:v>
                  </c:pt>
                  <c:pt idx="10">
                    <c:v>24.494897000000002</c:v>
                  </c:pt>
                  <c:pt idx="11">
                    <c:v>16.733201000000001</c:v>
                  </c:pt>
                  <c:pt idx="12">
                    <c:v>15.055453</c:v>
                  </c:pt>
                  <c:pt idx="13">
                    <c:v>21.908902000000001</c:v>
                  </c:pt>
                  <c:pt idx="15">
                    <c:v>8.1649659999999997</c:v>
                  </c:pt>
                  <c:pt idx="16">
                    <c:v>10.327956</c:v>
                  </c:pt>
                  <c:pt idx="17">
                    <c:v>21.908902000000001</c:v>
                  </c:pt>
                  <c:pt idx="18">
                    <c:v>20.976177</c:v>
                  </c:pt>
                  <c:pt idx="20">
                    <c:v>10.327956</c:v>
                  </c:pt>
                  <c:pt idx="21">
                    <c:v>12.649111</c:v>
                  </c:pt>
                  <c:pt idx="22">
                    <c:v>19.663841999999999</c:v>
                  </c:pt>
                  <c:pt idx="23">
                    <c:v>10.954451000000001</c:v>
                  </c:pt>
                </c:numCache>
              </c:numRef>
            </c:plus>
            <c:minus>
              <c:numRef>
                <c:f>'Switching and Reversal Assays'!$G$106:$G$129</c:f>
                <c:numCache>
                  <c:formatCode>General</c:formatCode>
                  <c:ptCount val="24"/>
                  <c:pt idx="0">
                    <c:v>15.055453</c:v>
                  </c:pt>
                  <c:pt idx="1">
                    <c:v>16.329931999999999</c:v>
                  </c:pt>
                  <c:pt idx="2">
                    <c:v>20.976177</c:v>
                  </c:pt>
                  <c:pt idx="3">
                    <c:v>16.329931999999999</c:v>
                  </c:pt>
                  <c:pt idx="5">
                    <c:v>10.954451000000001</c:v>
                  </c:pt>
                  <c:pt idx="6">
                    <c:v>16.733201000000001</c:v>
                  </c:pt>
                  <c:pt idx="7">
                    <c:v>19.663841999999999</c:v>
                  </c:pt>
                  <c:pt idx="8">
                    <c:v>10.327956</c:v>
                  </c:pt>
                  <c:pt idx="10">
                    <c:v>24.494897000000002</c:v>
                  </c:pt>
                  <c:pt idx="11">
                    <c:v>16.733201000000001</c:v>
                  </c:pt>
                  <c:pt idx="12">
                    <c:v>15.055453</c:v>
                  </c:pt>
                  <c:pt idx="13">
                    <c:v>21.908902000000001</c:v>
                  </c:pt>
                  <c:pt idx="15">
                    <c:v>8.1649659999999997</c:v>
                  </c:pt>
                  <c:pt idx="16">
                    <c:v>10.327956</c:v>
                  </c:pt>
                  <c:pt idx="17">
                    <c:v>21.908902000000001</c:v>
                  </c:pt>
                  <c:pt idx="18">
                    <c:v>20.976177</c:v>
                  </c:pt>
                  <c:pt idx="20">
                    <c:v>10.327956</c:v>
                  </c:pt>
                  <c:pt idx="21">
                    <c:v>12.649111</c:v>
                  </c:pt>
                  <c:pt idx="22">
                    <c:v>19.663841999999999</c:v>
                  </c:pt>
                  <c:pt idx="23">
                    <c:v>10.954451000000001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ysClr val="windowText" lastClr="000000"/>
                </a:solidFill>
                <a:prstDash val="solid"/>
              </a:ln>
              <a:effectLst/>
            </c:spPr>
          </c:errBars>
          <c:cat>
            <c:multiLvlStrRef>
              <c:f>'Switching and Reversal Assays'!$D$106:$E$129</c:f>
              <c:multiLvlStrCache>
                <c:ptCount val="24"/>
                <c:lvl>
                  <c:pt idx="0">
                    <c:v>Cypermethrin</c:v>
                  </c:pt>
                  <c:pt idx="1">
                    <c:v>Chlorpyrifos</c:v>
                  </c:pt>
                  <c:pt idx="2">
                    <c:v>Lufenuron</c:v>
                  </c:pt>
                  <c:pt idx="3">
                    <c:v>Emamectin</c:v>
                  </c:pt>
                  <c:pt idx="5">
                    <c:v>Cypermethrin</c:v>
                  </c:pt>
                  <c:pt idx="6">
                    <c:v>Chlorpyrifos</c:v>
                  </c:pt>
                  <c:pt idx="7">
                    <c:v>Lufenuron</c:v>
                  </c:pt>
                  <c:pt idx="8">
                    <c:v>Emamectin</c:v>
                  </c:pt>
                  <c:pt idx="10">
                    <c:v>Cypermethrin</c:v>
                  </c:pt>
                  <c:pt idx="11">
                    <c:v>Chlorpyrifos</c:v>
                  </c:pt>
                  <c:pt idx="12">
                    <c:v>Lufenuron</c:v>
                  </c:pt>
                  <c:pt idx="13">
                    <c:v>Emamectin</c:v>
                  </c:pt>
                  <c:pt idx="15">
                    <c:v>Cypermethrin</c:v>
                  </c:pt>
                  <c:pt idx="16">
                    <c:v>Chlorpyrifos</c:v>
                  </c:pt>
                  <c:pt idx="17">
                    <c:v>Lufenuron</c:v>
                  </c:pt>
                  <c:pt idx="18">
                    <c:v>Emamectin</c:v>
                  </c:pt>
                  <c:pt idx="20">
                    <c:v>Cypermethrin</c:v>
                  </c:pt>
                  <c:pt idx="21">
                    <c:v>Chlorpyrifos</c:v>
                  </c:pt>
                  <c:pt idx="22">
                    <c:v>Lufenuron</c:v>
                  </c:pt>
                  <c:pt idx="23">
                    <c:v>Emamectin</c:v>
                  </c:pt>
                </c:lvl>
                <c:lvl>
                  <c:pt idx="0">
                    <c:v>Castor</c:v>
                  </c:pt>
                  <c:pt idx="5">
                    <c:v>Cauliflower</c:v>
                  </c:pt>
                  <c:pt idx="10">
                    <c:v>Cotton</c:v>
                  </c:pt>
                  <c:pt idx="15">
                    <c:v>Okra</c:v>
                  </c:pt>
                  <c:pt idx="20">
                    <c:v>Spinach</c:v>
                  </c:pt>
                </c:lvl>
              </c:multiLvlStrCache>
            </c:multiLvlStrRef>
          </c:cat>
          <c:val>
            <c:numRef>
              <c:f>'Switching and Reversal Assays'!$F$106:$F$129</c:f>
              <c:numCache>
                <c:formatCode>0.0</c:formatCode>
                <c:ptCount val="24"/>
                <c:pt idx="0">
                  <c:v>63.333329999999997</c:v>
                </c:pt>
                <c:pt idx="1">
                  <c:v>33.333329999999997</c:v>
                </c:pt>
                <c:pt idx="2">
                  <c:v>50</c:v>
                </c:pt>
                <c:pt idx="3">
                  <c:v>46.666670000000003</c:v>
                </c:pt>
                <c:pt idx="5">
                  <c:v>70</c:v>
                </c:pt>
                <c:pt idx="6">
                  <c:v>70</c:v>
                </c:pt>
                <c:pt idx="7">
                  <c:v>63.333329999999997</c:v>
                </c:pt>
                <c:pt idx="8">
                  <c:v>53.333329999999997</c:v>
                </c:pt>
                <c:pt idx="10">
                  <c:v>70</c:v>
                </c:pt>
                <c:pt idx="11">
                  <c:v>50</c:v>
                </c:pt>
                <c:pt idx="12">
                  <c:v>36.666670000000003</c:v>
                </c:pt>
                <c:pt idx="13">
                  <c:v>60</c:v>
                </c:pt>
                <c:pt idx="15">
                  <c:v>63.333329999999997</c:v>
                </c:pt>
                <c:pt idx="16">
                  <c:v>53.333329999999997</c:v>
                </c:pt>
                <c:pt idx="17">
                  <c:v>40</c:v>
                </c:pt>
                <c:pt idx="18">
                  <c:v>50</c:v>
                </c:pt>
                <c:pt idx="20">
                  <c:v>66.666669999999996</c:v>
                </c:pt>
                <c:pt idx="21">
                  <c:v>40</c:v>
                </c:pt>
                <c:pt idx="22">
                  <c:v>56.666670000000003</c:v>
                </c:pt>
                <c:pt idx="23">
                  <c:v>50</c:v>
                </c:pt>
              </c:numCache>
            </c:numRef>
          </c:val>
        </c:ser>
        <c:dLbls>
          <c:showVal val="1"/>
        </c:dLbls>
        <c:gapWidth val="40"/>
        <c:axId val="149621376"/>
        <c:axId val="149676416"/>
      </c:barChart>
      <c:catAx>
        <c:axId val="149621376"/>
        <c:scaling>
          <c:orientation val="minMax"/>
        </c:scaling>
        <c:axPos val="b"/>
        <c:majorTickMark val="none"/>
        <c:tickLblPos val="nextTo"/>
        <c:txPr>
          <a:bodyPr/>
          <a:lstStyle/>
          <a:p>
            <a:pPr>
              <a:defRPr sz="1400">
                <a:solidFill>
                  <a:sysClr val="windowText" lastClr="000000"/>
                </a:solidFill>
              </a:defRPr>
            </a:pPr>
            <a:endParaRPr lang="en-US"/>
          </a:p>
        </c:txPr>
        <c:crossAx val="149676416"/>
        <c:crosses val="autoZero"/>
        <c:auto val="1"/>
        <c:lblAlgn val="ctr"/>
        <c:lblOffset val="100"/>
      </c:catAx>
      <c:valAx>
        <c:axId val="149676416"/>
        <c:scaling>
          <c:orientation val="minMax"/>
          <c:max val="10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Larval mortality (%)</a:t>
                </a:r>
              </a:p>
            </c:rich>
          </c:tx>
          <c:layout/>
        </c:title>
        <c:numFmt formatCode="General" sourceLinked="0"/>
        <c:maj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49621376"/>
        <c:crosses val="autoZero"/>
        <c:crossBetween val="between"/>
        <c:majorUnit val="20"/>
      </c:valAx>
      <c:spPr>
        <a:ln>
          <a:noFill/>
        </a:ln>
      </c:spPr>
    </c:plotArea>
    <c:plotVisOnly val="1"/>
    <c:dispBlanksAs val="gap"/>
  </c:chart>
  <c:spPr>
    <a:solidFill>
      <a:sysClr val="window" lastClr="FFFFFF"/>
    </a:solidFill>
    <a:ln>
      <a:noFill/>
    </a:ln>
  </c:spPr>
  <c:txPr>
    <a:bodyPr/>
    <a:lstStyle/>
    <a:p>
      <a:pPr>
        <a:defRPr sz="1100"/>
      </a:pPr>
      <a:endParaRPr lang="en-US"/>
    </a:p>
  </c:tx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/>
          <a:lstStyle/>
          <a:p>
            <a:pPr>
              <a:defRPr/>
            </a:pPr>
            <a:r>
              <a:rPr lang="en-US"/>
              <a:t>(a)</a:t>
            </a:r>
          </a:p>
        </c:rich>
      </c:tx>
      <c:layout>
        <c:manualLayout>
          <c:xMode val="edge"/>
          <c:yMode val="edge"/>
          <c:x val="1.5709165742424324E-3"/>
          <c:y val="5.4506557897516898E-3"/>
        </c:manualLayout>
      </c:layout>
      <c:spPr>
        <a:noFill/>
      </c:spPr>
    </c:title>
    <c:plotArea>
      <c:layout>
        <c:manualLayout>
          <c:layoutTarget val="inner"/>
          <c:xMode val="edge"/>
          <c:yMode val="edge"/>
          <c:x val="0.14111401310615773"/>
          <c:y val="5.3666359731413517E-2"/>
          <c:w val="0.82813676603384312"/>
          <c:h val="0.89266728053717292"/>
        </c:manualLayout>
      </c:layout>
      <c:barChart>
        <c:barDir val="col"/>
        <c:grouping val="clustered"/>
        <c:ser>
          <c:idx val="0"/>
          <c:order val="0"/>
          <c:tx>
            <c:strRef>
              <c:f>'Switching and Reversal Assays'!$F$3</c:f>
              <c:strCache>
                <c:ptCount val="1"/>
                <c:pt idx="0">
                  <c:v>Shifting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ysClr val="windowText" lastClr="000000"/>
              </a:solidFill>
            </a:ln>
          </c:spPr>
          <c:dPt>
            <c:idx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2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3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Lbls>
            <c:dLbl>
              <c:idx val="0"/>
              <c:layout>
                <c:manualLayout>
                  <c:x val="-2.6283237689252461E-3"/>
                  <c:y val="-0.1695726610693017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1"/>
              <c:layout>
                <c:manualLayout>
                  <c:x val="0"/>
                  <c:y val="-0.16957266106930177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c</a:t>
                    </a:r>
                  </a:p>
                </c:rich>
              </c:tx>
              <c:dLblPos val="outEnd"/>
              <c:showVal val="1"/>
            </c:dLbl>
            <c:dLbl>
              <c:idx val="2"/>
              <c:layout>
                <c:manualLayout>
                  <c:x val="0"/>
                  <c:y val="-0.15073125428382425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3"/>
              <c:layout>
                <c:manualLayout>
                  <c:x val="0"/>
                  <c:y val="-9.4207033927390008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4"/>
              <c:layout>
                <c:manualLayout>
                  <c:x val="0"/>
                  <c:y val="-0.1632921921408096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5"/>
              <c:layout>
                <c:manualLayout>
                  <c:x val="-4.8185379122018304E-17"/>
                  <c:y val="-0.1758531299977944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6"/>
              <c:layout>
                <c:manualLayout>
                  <c:x val="0"/>
                  <c:y val="-0.1695726610693017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7"/>
              <c:layout>
                <c:manualLayout>
                  <c:x val="2.2683480781912121E-3"/>
                  <c:y val="-0.16350406108476034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8"/>
              <c:layout>
                <c:manualLayout>
                  <c:x val="-2.2683480781912121E-3"/>
                  <c:y val="-6.7062840592495038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9"/>
              <c:layout>
                <c:manualLayout>
                  <c:x val="0"/>
                  <c:y val="-0.1632921921408096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0"/>
              <c:layout>
                <c:manualLayout>
                  <c:x val="-3.5989932106734611E-4"/>
                  <c:y val="-6.1953808582680257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11"/>
              <c:layout>
                <c:manualLayout>
                  <c:x val="-2.628247399258557E-3"/>
                  <c:y val="-0.16265351964534788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12"/>
              <c:layout>
                <c:manualLayout>
                  <c:x val="2.2683480781912121E-3"/>
                  <c:y val="-0.13486980855492028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13"/>
              <c:layout>
                <c:manualLayout>
                  <c:x val="-2.2685266882761131E-3"/>
                  <c:y val="-0.13827621545301935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14"/>
              <c:layout>
                <c:manualLayout>
                  <c:x val="0"/>
                  <c:y val="-0.13188984749834581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5"/>
              <c:layout>
                <c:manualLayout>
                  <c:x val="0"/>
                  <c:y val="-5.3862483719804129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16"/>
              <c:layout>
                <c:manualLayout>
                  <c:x val="0"/>
                  <c:y val="-8.7287682725680729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7"/>
              <c:layout>
                <c:manualLayout>
                  <c:x val="2.2683480781912121E-3"/>
                  <c:y val="-0.1213517517066736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18"/>
              <c:layout>
                <c:manualLayout>
                  <c:x val="0"/>
                  <c:y val="9.2603373942895858E-3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9"/>
              <c:layout>
                <c:manualLayout>
                  <c:x val="0"/>
                  <c:y val="-8.1646096070404545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20"/>
              <c:layout>
                <c:manualLayout>
                  <c:x val="0"/>
                  <c:y val="-7.344884143609645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21"/>
              <c:layout>
                <c:manualLayout>
                  <c:x val="0"/>
                  <c:y val="-0.1371045040140466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22"/>
              <c:layout>
                <c:manualLayout>
                  <c:x val="2.2683480781912121E-3"/>
                  <c:y val="-7.834543086516954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23"/>
              <c:layout>
                <c:manualLayout>
                  <c:x val="0"/>
                  <c:y val="-8.32420202942427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</a:t>
                    </a:r>
                  </a:p>
                </c:rich>
              </c:tx>
              <c:dLblPos val="outEnd"/>
              <c:showVal val="1"/>
            </c:dLbl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dLblPos val="outEnd"/>
            <c:showVal val="1"/>
          </c:dLbls>
          <c:errBars>
            <c:errBarType val="both"/>
            <c:errValType val="cust"/>
            <c:plus>
              <c:numRef>
                <c:f>'Switching and Reversal Assays'!$G$6:$G$29</c:f>
                <c:numCache>
                  <c:formatCode>General</c:formatCode>
                  <c:ptCount val="24"/>
                  <c:pt idx="0">
                    <c:v>20.976177</c:v>
                  </c:pt>
                  <c:pt idx="1">
                    <c:v>20.655911</c:v>
                  </c:pt>
                  <c:pt idx="2">
                    <c:v>17.888544</c:v>
                  </c:pt>
                  <c:pt idx="3">
                    <c:v>10.954451000000001</c:v>
                  </c:pt>
                  <c:pt idx="5">
                    <c:v>19.663841999999999</c:v>
                  </c:pt>
                  <c:pt idx="6">
                    <c:v>21.908902000000001</c:v>
                  </c:pt>
                  <c:pt idx="7">
                    <c:v>20.655911</c:v>
                  </c:pt>
                  <c:pt idx="8">
                    <c:v>10.327956</c:v>
                  </c:pt>
                  <c:pt idx="10">
                    <c:v>8.1649659999999997</c:v>
                  </c:pt>
                  <c:pt idx="11">
                    <c:v>20.655911</c:v>
                  </c:pt>
                  <c:pt idx="12">
                    <c:v>16.329931999999999</c:v>
                  </c:pt>
                  <c:pt idx="13">
                    <c:v>17.888544</c:v>
                  </c:pt>
                  <c:pt idx="15">
                    <c:v>8.1649659999999997</c:v>
                  </c:pt>
                  <c:pt idx="16">
                    <c:v>12.649111</c:v>
                  </c:pt>
                  <c:pt idx="17">
                    <c:v>16.329931999999999</c:v>
                  </c:pt>
                  <c:pt idx="18">
                    <c:v>1</c:v>
                  </c:pt>
                  <c:pt idx="20">
                    <c:v>10.327956</c:v>
                  </c:pt>
                  <c:pt idx="21">
                    <c:v>17.888544</c:v>
                  </c:pt>
                  <c:pt idx="22">
                    <c:v>10.954451000000001</c:v>
                  </c:pt>
                  <c:pt idx="23">
                    <c:v>10.327956</c:v>
                  </c:pt>
                </c:numCache>
              </c:numRef>
            </c:plus>
            <c:minus>
              <c:numRef>
                <c:f>'Switching and Reversal Assays'!$G$6:$G$29</c:f>
                <c:numCache>
                  <c:formatCode>General</c:formatCode>
                  <c:ptCount val="24"/>
                  <c:pt idx="0">
                    <c:v>20.976177</c:v>
                  </c:pt>
                  <c:pt idx="1">
                    <c:v>20.655911</c:v>
                  </c:pt>
                  <c:pt idx="2">
                    <c:v>17.888544</c:v>
                  </c:pt>
                  <c:pt idx="3">
                    <c:v>10.954451000000001</c:v>
                  </c:pt>
                  <c:pt idx="5">
                    <c:v>19.663841999999999</c:v>
                  </c:pt>
                  <c:pt idx="6">
                    <c:v>21.908902000000001</c:v>
                  </c:pt>
                  <c:pt idx="7">
                    <c:v>20.655911</c:v>
                  </c:pt>
                  <c:pt idx="8">
                    <c:v>10.327956</c:v>
                  </c:pt>
                  <c:pt idx="10">
                    <c:v>8.1649659999999997</c:v>
                  </c:pt>
                  <c:pt idx="11">
                    <c:v>20.655911</c:v>
                  </c:pt>
                  <c:pt idx="12">
                    <c:v>16.329931999999999</c:v>
                  </c:pt>
                  <c:pt idx="13">
                    <c:v>17.888544</c:v>
                  </c:pt>
                  <c:pt idx="15">
                    <c:v>8.1649659999999997</c:v>
                  </c:pt>
                  <c:pt idx="16">
                    <c:v>12.649111</c:v>
                  </c:pt>
                  <c:pt idx="17">
                    <c:v>16.329931999999999</c:v>
                  </c:pt>
                  <c:pt idx="18">
                    <c:v>1</c:v>
                  </c:pt>
                  <c:pt idx="20">
                    <c:v>10.327956</c:v>
                  </c:pt>
                  <c:pt idx="21">
                    <c:v>17.888544</c:v>
                  </c:pt>
                  <c:pt idx="22">
                    <c:v>10.954451000000001</c:v>
                  </c:pt>
                  <c:pt idx="23">
                    <c:v>10.327956</c:v>
                  </c:pt>
                </c:numCache>
              </c:numRef>
            </c:minus>
            <c:spPr>
              <a:noFill/>
              <a:ln w="9525" cap="flat" cmpd="sng" algn="ctr">
                <a:solidFill>
                  <a:sysClr val="windowText" lastClr="000000"/>
                </a:solidFill>
                <a:prstDash val="solid"/>
              </a:ln>
              <a:effectLst/>
            </c:spPr>
          </c:errBars>
          <c:cat>
            <c:multiLvlStrRef>
              <c:f>'Switching and Reversal Assays'!$D$6:$E$29</c:f>
              <c:multiLvlStrCache>
                <c:ptCount val="24"/>
                <c:lvl>
                  <c:pt idx="0">
                    <c:v>Cypermethrin</c:v>
                  </c:pt>
                  <c:pt idx="1">
                    <c:v>Chlorpyrifos</c:v>
                  </c:pt>
                  <c:pt idx="2">
                    <c:v>Lufenuron</c:v>
                  </c:pt>
                  <c:pt idx="3">
                    <c:v>Emamectin</c:v>
                  </c:pt>
                  <c:pt idx="5">
                    <c:v>Cypermethrin</c:v>
                  </c:pt>
                  <c:pt idx="6">
                    <c:v>Chlorpyrifos</c:v>
                  </c:pt>
                  <c:pt idx="7">
                    <c:v>Lufenuron</c:v>
                  </c:pt>
                  <c:pt idx="8">
                    <c:v>Emamectin</c:v>
                  </c:pt>
                  <c:pt idx="10">
                    <c:v>Cypermethrin</c:v>
                  </c:pt>
                  <c:pt idx="11">
                    <c:v>Chlorpyrifos</c:v>
                  </c:pt>
                  <c:pt idx="12">
                    <c:v>Lufenuron</c:v>
                  </c:pt>
                  <c:pt idx="13">
                    <c:v>Emamectin</c:v>
                  </c:pt>
                  <c:pt idx="15">
                    <c:v>Cypermethrin</c:v>
                  </c:pt>
                  <c:pt idx="16">
                    <c:v>Chlorpyrifos</c:v>
                  </c:pt>
                  <c:pt idx="17">
                    <c:v>Lufenuron</c:v>
                  </c:pt>
                  <c:pt idx="18">
                    <c:v>Emamectin</c:v>
                  </c:pt>
                  <c:pt idx="20">
                    <c:v>Cypermethrin</c:v>
                  </c:pt>
                  <c:pt idx="21">
                    <c:v>Chlorpyrifos</c:v>
                  </c:pt>
                  <c:pt idx="22">
                    <c:v>Lufenuron</c:v>
                  </c:pt>
                  <c:pt idx="23">
                    <c:v>Emamectin</c:v>
                  </c:pt>
                </c:lvl>
                <c:lvl>
                  <c:pt idx="0">
                    <c:v>Castor</c:v>
                  </c:pt>
                  <c:pt idx="5">
                    <c:v>Cauliflower</c:v>
                  </c:pt>
                  <c:pt idx="10">
                    <c:v>Cotton</c:v>
                  </c:pt>
                  <c:pt idx="15">
                    <c:v>Okra</c:v>
                  </c:pt>
                  <c:pt idx="20">
                    <c:v>Spinach</c:v>
                  </c:pt>
                </c:lvl>
              </c:multiLvlStrCache>
            </c:multiLvlStrRef>
          </c:cat>
          <c:val>
            <c:numRef>
              <c:f>'Switching and Reversal Assays'!$F$6:$F$29</c:f>
              <c:numCache>
                <c:formatCode>0.0</c:formatCode>
                <c:ptCount val="24"/>
                <c:pt idx="0">
                  <c:v>70</c:v>
                </c:pt>
                <c:pt idx="1">
                  <c:v>53.333329999999997</c:v>
                </c:pt>
                <c:pt idx="2">
                  <c:v>60</c:v>
                </c:pt>
                <c:pt idx="3">
                  <c:v>70</c:v>
                </c:pt>
                <c:pt idx="5">
                  <c:v>56.666670000000003</c:v>
                </c:pt>
                <c:pt idx="6">
                  <c:v>60</c:v>
                </c:pt>
                <c:pt idx="7">
                  <c:v>66.666669999999996</c:v>
                </c:pt>
                <c:pt idx="8">
                  <c:v>66.666669999999996</c:v>
                </c:pt>
                <c:pt idx="10">
                  <c:v>56.666670000000003</c:v>
                </c:pt>
                <c:pt idx="11">
                  <c:v>66.666669999999996</c:v>
                </c:pt>
                <c:pt idx="12">
                  <c:v>66.666669999999996</c:v>
                </c:pt>
                <c:pt idx="13">
                  <c:v>60</c:v>
                </c:pt>
                <c:pt idx="15">
                  <c:v>63.333329999999997</c:v>
                </c:pt>
                <c:pt idx="16">
                  <c:v>80</c:v>
                </c:pt>
                <c:pt idx="17">
                  <c:v>73.333330000000004</c:v>
                </c:pt>
                <c:pt idx="18">
                  <c:v>80</c:v>
                </c:pt>
                <c:pt idx="20">
                  <c:v>73.333330000000004</c:v>
                </c:pt>
                <c:pt idx="21">
                  <c:v>60</c:v>
                </c:pt>
                <c:pt idx="22">
                  <c:v>70</c:v>
                </c:pt>
                <c:pt idx="23">
                  <c:v>53.333329999999997</c:v>
                </c:pt>
              </c:numCache>
            </c:numRef>
          </c:val>
        </c:ser>
        <c:dLbls>
          <c:showVal val="1"/>
        </c:dLbls>
        <c:gapWidth val="40"/>
        <c:axId val="149064704"/>
        <c:axId val="149066496"/>
      </c:barChart>
      <c:catAx>
        <c:axId val="149064704"/>
        <c:scaling>
          <c:orientation val="minMax"/>
        </c:scaling>
        <c:axPos val="b"/>
        <c:majorTickMark val="none"/>
        <c:tickLblPos val="none"/>
        <c:crossAx val="149066496"/>
        <c:crosses val="autoZero"/>
        <c:auto val="1"/>
        <c:lblAlgn val="ctr"/>
        <c:lblOffset val="100"/>
      </c:catAx>
      <c:valAx>
        <c:axId val="149066496"/>
        <c:scaling>
          <c:orientation val="minMax"/>
          <c:max val="10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Larval</a:t>
                </a:r>
                <a:r>
                  <a:rPr lang="en-US" baseline="0"/>
                  <a:t> </a:t>
                </a:r>
                <a:r>
                  <a:rPr lang="en-US"/>
                  <a:t>mortality (%)</a:t>
                </a:r>
              </a:p>
            </c:rich>
          </c:tx>
          <c:layout/>
        </c:title>
        <c:numFmt formatCode="General" sourceLinked="0"/>
        <c:majorTickMark val="none"/>
        <c:tickLblPos val="nextTo"/>
        <c:txPr>
          <a:bodyPr/>
          <a:lstStyle/>
          <a:p>
            <a:pPr>
              <a:defRPr sz="1400">
                <a:solidFill>
                  <a:sysClr val="windowText" lastClr="000000"/>
                </a:solidFill>
              </a:defRPr>
            </a:pPr>
            <a:endParaRPr lang="en-US"/>
          </a:p>
        </c:txPr>
        <c:crossAx val="149064704"/>
        <c:crosses val="autoZero"/>
        <c:crossBetween val="between"/>
        <c:majorUnit val="20"/>
      </c:valAx>
      <c:spPr>
        <a:ln>
          <a:noFill/>
        </a:ln>
      </c:spPr>
    </c:plotArea>
    <c:plotVisOnly val="1"/>
    <c:dispBlanksAs val="gap"/>
  </c:chart>
  <c:spPr>
    <a:solidFill>
      <a:sysClr val="window" lastClr="FFFFFF"/>
    </a:solidFill>
    <a:ln>
      <a:noFill/>
    </a:ln>
  </c:spPr>
  <c:txPr>
    <a:bodyPr/>
    <a:lstStyle/>
    <a:p>
      <a:pPr>
        <a:defRPr sz="1100"/>
      </a:pPr>
      <a:endParaRPr lang="en-US"/>
    </a:p>
  </c:txPr>
  <c:printSettings>
    <c:headerFooter/>
    <c:pageMargins b="0.75000000000000255" l="0.70000000000000062" r="0.70000000000000062" t="0.75000000000000255" header="0.30000000000000032" footer="0.30000000000000032"/>
    <c:pageSetup orientation="portrait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/>
          <a:lstStyle/>
          <a:p>
            <a:pPr>
              <a:defRPr/>
            </a:pPr>
            <a:r>
              <a:rPr lang="en-US"/>
              <a:t>(b)</a:t>
            </a:r>
          </a:p>
        </c:rich>
      </c:tx>
      <c:layout>
        <c:manualLayout>
          <c:xMode val="edge"/>
          <c:yMode val="edge"/>
          <c:x val="1.5709506198198584E-3"/>
          <c:y val="5.4506557897516916E-3"/>
        </c:manualLayout>
      </c:layout>
      <c:spPr>
        <a:noFill/>
      </c:spPr>
    </c:title>
    <c:plotArea>
      <c:layout>
        <c:manualLayout>
          <c:layoutTarget val="inner"/>
          <c:xMode val="edge"/>
          <c:yMode val="edge"/>
          <c:x val="0.14111401310615773"/>
          <c:y val="5.3666359731413517E-2"/>
          <c:w val="0.82813676603384312"/>
          <c:h val="0.89266728053717292"/>
        </c:manualLayout>
      </c:layout>
      <c:barChart>
        <c:barDir val="col"/>
        <c:grouping val="clustered"/>
        <c:ser>
          <c:idx val="0"/>
          <c:order val="0"/>
          <c:tx>
            <c:strRef>
              <c:f>'Switching and Reversal Assays'!$F$3</c:f>
              <c:strCache>
                <c:ptCount val="1"/>
                <c:pt idx="0">
                  <c:v>Shifting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ysClr val="windowText" lastClr="000000"/>
              </a:solidFill>
            </a:ln>
          </c:spPr>
          <c:dPt>
            <c:idx val="4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5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6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7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8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Lbls>
            <c:dLbl>
              <c:idx val="0"/>
              <c:layout>
                <c:manualLayout>
                  <c:x val="2.6283237689252448E-3"/>
                  <c:y val="-0.11304844071286781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e</a:t>
                    </a:r>
                  </a:p>
                </c:rich>
              </c:tx>
              <c:dLblPos val="outEnd"/>
              <c:showVal val="1"/>
            </c:dLbl>
            <c:dLbl>
              <c:idx val="1"/>
              <c:layout>
                <c:manualLayout>
                  <c:x val="-2.2621719850621693E-3"/>
                  <c:y val="-0.12209665019304917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2"/>
              <c:layout>
                <c:manualLayout>
                  <c:x val="0"/>
                  <c:y val="-0.11932890964136048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3"/>
              <c:layout>
                <c:manualLayout>
                  <c:x val="0"/>
                  <c:y val="-0.16957274751102891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de</a:t>
                    </a:r>
                  </a:p>
                </c:rich>
              </c:tx>
              <c:dLblPos val="outEnd"/>
              <c:showVal val="1"/>
            </c:dLbl>
            <c:dLbl>
              <c:idx val="4"/>
              <c:layout>
                <c:manualLayout>
                  <c:x val="0"/>
                  <c:y val="-0.14445078535533154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5"/>
              <c:layout>
                <c:manualLayout>
                  <c:x val="4.1570872875909897E-17"/>
                  <c:y val="-0.15360485371535471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cd</a:t>
                    </a:r>
                  </a:p>
                </c:rich>
              </c:tx>
              <c:dLblPos val="outEnd"/>
              <c:showVal val="1"/>
            </c:dLbl>
            <c:dLbl>
              <c:idx val="6"/>
              <c:layout>
                <c:manualLayout>
                  <c:x val="-1.0891277907560567E-5"/>
                  <c:y val="-0.10612952751382047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7"/>
              <c:layout>
                <c:manualLayout>
                  <c:x val="0"/>
                  <c:y val="-0.12071288173155754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8"/>
              <c:layout>
                <c:manualLayout>
                  <c:x val="2.2675283512462209E-3"/>
                  <c:y val="-0.10591708493307865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9"/>
              <c:layout>
                <c:manualLayout>
                  <c:x val="0"/>
                  <c:y val="-0.24493828821121424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0"/>
              <c:layout>
                <c:manualLayout>
                  <c:x val="-2.2675283512462209E-3"/>
                  <c:y val="-0.16393164515380304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cde</a:t>
                    </a:r>
                  </a:p>
                </c:rich>
              </c:tx>
              <c:dLblPos val="outEnd"/>
              <c:showVal val="1"/>
            </c:dLbl>
            <c:dLbl>
              <c:idx val="11"/>
              <c:layout>
                <c:manualLayout>
                  <c:x val="0"/>
                  <c:y val="-0.23769818656545544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cde</a:t>
                    </a:r>
                  </a:p>
                </c:rich>
              </c:tx>
              <c:dLblPos val="outEnd"/>
              <c:showVal val="1"/>
            </c:dLbl>
            <c:dLbl>
              <c:idx val="12"/>
              <c:layout>
                <c:manualLayout>
                  <c:x val="2.2675283512462209E-3"/>
                  <c:y val="-0.20150506507837243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13"/>
              <c:layout>
                <c:manualLayout>
                  <c:x val="2.6283688865114626E-3"/>
                  <c:y val="-7.5259422850185193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14"/>
              <c:layout>
                <c:manualLayout>
                  <c:x val="-1.7812611328820863E-7"/>
                  <c:y val="-5.0243751427941324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5"/>
              <c:layout>
                <c:manualLayout>
                  <c:x val="-2.2677068967856861E-3"/>
                  <c:y val="2.3407239703860452E-3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16"/>
              <c:layout>
                <c:manualLayout>
                  <c:x val="0"/>
                  <c:y val="-0.113793268307654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cd</a:t>
                    </a:r>
                  </a:p>
                </c:rich>
              </c:tx>
              <c:dLblPos val="outEnd"/>
              <c:showVal val="1"/>
            </c:dLbl>
            <c:dLbl>
              <c:idx val="17"/>
              <c:layout>
                <c:manualLayout>
                  <c:x val="0"/>
                  <c:y val="-4.4069304861657853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18"/>
              <c:layout>
                <c:manualLayout>
                  <c:x val="-4.5297003363083781E-3"/>
                  <c:y val="-0.10366619602859618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19"/>
              <c:layout>
                <c:manualLayout>
                  <c:x val="0"/>
                  <c:y val="-0.11932890964136048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20"/>
              <c:layout>
                <c:manualLayout>
                  <c:x val="0"/>
                  <c:y val="-8.813860972331569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21"/>
              <c:layout>
                <c:manualLayout>
                  <c:x val="0"/>
                  <c:y val="1.468976828721930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22"/>
              <c:layout>
                <c:manualLayout>
                  <c:x val="-2.2675283512462209E-3"/>
                  <c:y val="-7.344884143609642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23"/>
              <c:layout>
                <c:manualLayout>
                  <c:x val="2.2675283512462209E-3"/>
                  <c:y val="-4.406930486165785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dLblPos val="outEnd"/>
            <c:showVal val="1"/>
          </c:dLbls>
          <c:errBars>
            <c:errBarType val="both"/>
            <c:errValType val="cust"/>
            <c:plus>
              <c:numRef>
                <c:f>'Switching and Reversal Assays'!$G$31:$G$54</c:f>
                <c:numCache>
                  <c:formatCode>General</c:formatCode>
                  <c:ptCount val="24"/>
                  <c:pt idx="0">
                    <c:v>15.055453</c:v>
                  </c:pt>
                  <c:pt idx="1">
                    <c:v>15.05</c:v>
                  </c:pt>
                  <c:pt idx="2">
                    <c:v>16.329931999999999</c:v>
                  </c:pt>
                  <c:pt idx="3">
                    <c:v>20.655911</c:v>
                  </c:pt>
                  <c:pt idx="5">
                    <c:v>19.66</c:v>
                  </c:pt>
                  <c:pt idx="6">
                    <c:v>15.05</c:v>
                  </c:pt>
                  <c:pt idx="7">
                    <c:v>10.32</c:v>
                  </c:pt>
                  <c:pt idx="8">
                    <c:v>15.05</c:v>
                  </c:pt>
                  <c:pt idx="10">
                    <c:v>20.97</c:v>
                  </c:pt>
                  <c:pt idx="11">
                    <c:v>30.11</c:v>
                  </c:pt>
                  <c:pt idx="12">
                    <c:v>23.38</c:v>
                  </c:pt>
                  <c:pt idx="13">
                    <c:v>10.32</c:v>
                  </c:pt>
                  <c:pt idx="15">
                    <c:v>0</c:v>
                  </c:pt>
                  <c:pt idx="16">
                    <c:v>15.055453</c:v>
                  </c:pt>
                  <c:pt idx="17">
                    <c:v>8.16</c:v>
                  </c:pt>
                  <c:pt idx="18">
                    <c:v>15.05</c:v>
                  </c:pt>
                  <c:pt idx="20">
                    <c:v>12.648999999999999</c:v>
                  </c:pt>
                  <c:pt idx="21">
                    <c:v>0</c:v>
                  </c:pt>
                  <c:pt idx="22">
                    <c:v>10.32</c:v>
                  </c:pt>
                  <c:pt idx="23">
                    <c:v>8.16</c:v>
                  </c:pt>
                </c:numCache>
              </c:numRef>
            </c:plus>
            <c:minus>
              <c:numRef>
                <c:f>'Switching and Reversal Assays'!$G$31:$G$54</c:f>
                <c:numCache>
                  <c:formatCode>General</c:formatCode>
                  <c:ptCount val="24"/>
                  <c:pt idx="0">
                    <c:v>15.055453</c:v>
                  </c:pt>
                  <c:pt idx="1">
                    <c:v>15.05</c:v>
                  </c:pt>
                  <c:pt idx="2">
                    <c:v>16.329931999999999</c:v>
                  </c:pt>
                  <c:pt idx="3">
                    <c:v>20.655911</c:v>
                  </c:pt>
                  <c:pt idx="5">
                    <c:v>19.66</c:v>
                  </c:pt>
                  <c:pt idx="6">
                    <c:v>15.05</c:v>
                  </c:pt>
                  <c:pt idx="7">
                    <c:v>10.32</c:v>
                  </c:pt>
                  <c:pt idx="8">
                    <c:v>15.05</c:v>
                  </c:pt>
                  <c:pt idx="10">
                    <c:v>20.97</c:v>
                  </c:pt>
                  <c:pt idx="11">
                    <c:v>30.11</c:v>
                  </c:pt>
                  <c:pt idx="12">
                    <c:v>23.38</c:v>
                  </c:pt>
                  <c:pt idx="13">
                    <c:v>10.32</c:v>
                  </c:pt>
                  <c:pt idx="15">
                    <c:v>0</c:v>
                  </c:pt>
                  <c:pt idx="16">
                    <c:v>15.055453</c:v>
                  </c:pt>
                  <c:pt idx="17">
                    <c:v>8.16</c:v>
                  </c:pt>
                  <c:pt idx="18">
                    <c:v>15.05</c:v>
                  </c:pt>
                  <c:pt idx="20">
                    <c:v>12.648999999999999</c:v>
                  </c:pt>
                  <c:pt idx="21">
                    <c:v>0</c:v>
                  </c:pt>
                  <c:pt idx="22">
                    <c:v>10.32</c:v>
                  </c:pt>
                  <c:pt idx="23">
                    <c:v>8.16</c:v>
                  </c:pt>
                </c:numCache>
              </c:numRef>
            </c:minus>
            <c:spPr>
              <a:noFill/>
              <a:ln w="9525" cap="flat" cmpd="sng" algn="ctr">
                <a:solidFill>
                  <a:sysClr val="windowText" lastClr="000000"/>
                </a:solidFill>
                <a:prstDash val="solid"/>
              </a:ln>
              <a:effectLst/>
            </c:spPr>
          </c:errBars>
          <c:cat>
            <c:multiLvlStrRef>
              <c:f>'Switching and Reversal Assays'!$D$31:$E$54</c:f>
              <c:multiLvlStrCache>
                <c:ptCount val="24"/>
                <c:lvl>
                  <c:pt idx="0">
                    <c:v>Cypermethrin</c:v>
                  </c:pt>
                  <c:pt idx="1">
                    <c:v>Chlorpyrifos</c:v>
                  </c:pt>
                  <c:pt idx="2">
                    <c:v>Lufenuron</c:v>
                  </c:pt>
                  <c:pt idx="3">
                    <c:v>Emamectin</c:v>
                  </c:pt>
                  <c:pt idx="5">
                    <c:v>Cypermethrin</c:v>
                  </c:pt>
                  <c:pt idx="6">
                    <c:v>Chlorpyrifos</c:v>
                  </c:pt>
                  <c:pt idx="7">
                    <c:v>Lufenuron</c:v>
                  </c:pt>
                  <c:pt idx="8">
                    <c:v>Emamectin</c:v>
                  </c:pt>
                  <c:pt idx="10">
                    <c:v>Cypermethrin</c:v>
                  </c:pt>
                  <c:pt idx="11">
                    <c:v>Chlorpyrifos</c:v>
                  </c:pt>
                  <c:pt idx="12">
                    <c:v>Lufenuron</c:v>
                  </c:pt>
                  <c:pt idx="13">
                    <c:v>Emamectin</c:v>
                  </c:pt>
                  <c:pt idx="15">
                    <c:v>Cypermethrin</c:v>
                  </c:pt>
                  <c:pt idx="16">
                    <c:v>Chlorpyrifos</c:v>
                  </c:pt>
                  <c:pt idx="17">
                    <c:v>Lufenuron</c:v>
                  </c:pt>
                  <c:pt idx="18">
                    <c:v>Emamectin</c:v>
                  </c:pt>
                  <c:pt idx="20">
                    <c:v>Cypermethrin</c:v>
                  </c:pt>
                  <c:pt idx="21">
                    <c:v>Chlorpyrifos</c:v>
                  </c:pt>
                  <c:pt idx="22">
                    <c:v>Lufenuron</c:v>
                  </c:pt>
                  <c:pt idx="23">
                    <c:v>Emamectin</c:v>
                  </c:pt>
                </c:lvl>
                <c:lvl>
                  <c:pt idx="0">
                    <c:v>Castor</c:v>
                  </c:pt>
                  <c:pt idx="5">
                    <c:v>Cauliflower</c:v>
                  </c:pt>
                  <c:pt idx="10">
                    <c:v>Cotton</c:v>
                  </c:pt>
                  <c:pt idx="15">
                    <c:v>Okra</c:v>
                  </c:pt>
                  <c:pt idx="20">
                    <c:v>Spinach</c:v>
                  </c:pt>
                </c:lvl>
              </c:multiLvlStrCache>
            </c:multiLvlStrRef>
          </c:cat>
          <c:val>
            <c:numRef>
              <c:f>'Switching and Reversal Assays'!$F$31:$F$54</c:f>
              <c:numCache>
                <c:formatCode>0.0</c:formatCode>
                <c:ptCount val="24"/>
                <c:pt idx="0">
                  <c:v>36.666670000000003</c:v>
                </c:pt>
                <c:pt idx="1">
                  <c:v>63.33</c:v>
                </c:pt>
                <c:pt idx="2">
                  <c:v>66.666669999999996</c:v>
                </c:pt>
                <c:pt idx="3">
                  <c:v>46.666670000000003</c:v>
                </c:pt>
                <c:pt idx="5">
                  <c:v>56.666666599999999</c:v>
                </c:pt>
                <c:pt idx="6">
                  <c:v>63.333329999999997</c:v>
                </c:pt>
                <c:pt idx="7">
                  <c:v>66.67</c:v>
                </c:pt>
                <c:pt idx="8">
                  <c:v>63.33</c:v>
                </c:pt>
                <c:pt idx="10">
                  <c:v>50</c:v>
                </c:pt>
                <c:pt idx="11">
                  <c:v>53.33</c:v>
                </c:pt>
                <c:pt idx="12">
                  <c:v>63.33</c:v>
                </c:pt>
                <c:pt idx="13">
                  <c:v>66.66</c:v>
                </c:pt>
                <c:pt idx="15">
                  <c:v>60</c:v>
                </c:pt>
                <c:pt idx="16">
                  <c:v>56.67</c:v>
                </c:pt>
                <c:pt idx="17">
                  <c:v>76.7</c:v>
                </c:pt>
                <c:pt idx="18">
                  <c:v>63.33</c:v>
                </c:pt>
                <c:pt idx="20">
                  <c:v>60</c:v>
                </c:pt>
                <c:pt idx="21">
                  <c:v>60</c:v>
                </c:pt>
                <c:pt idx="22">
                  <c:v>66.67</c:v>
                </c:pt>
                <c:pt idx="23">
                  <c:v>83.33</c:v>
                </c:pt>
              </c:numCache>
            </c:numRef>
          </c:val>
        </c:ser>
        <c:dLbls>
          <c:showVal val="1"/>
        </c:dLbls>
        <c:gapWidth val="40"/>
        <c:axId val="149811200"/>
        <c:axId val="149812736"/>
      </c:barChart>
      <c:catAx>
        <c:axId val="149811200"/>
        <c:scaling>
          <c:orientation val="minMax"/>
        </c:scaling>
        <c:axPos val="b"/>
        <c:majorTickMark val="none"/>
        <c:tickLblPos val="none"/>
        <c:crossAx val="149812736"/>
        <c:crosses val="autoZero"/>
        <c:auto val="1"/>
        <c:lblAlgn val="ctr"/>
        <c:lblOffset val="100"/>
      </c:catAx>
      <c:valAx>
        <c:axId val="149812736"/>
        <c:scaling>
          <c:orientation val="minMax"/>
          <c:max val="10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Larval mortality (%)</a:t>
                </a:r>
              </a:p>
            </c:rich>
          </c:tx>
          <c:layout/>
        </c:title>
        <c:numFmt formatCode="General" sourceLinked="0"/>
        <c:maj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49811200"/>
        <c:crosses val="autoZero"/>
        <c:crossBetween val="between"/>
        <c:majorUnit val="20"/>
      </c:valAx>
      <c:spPr>
        <a:ln>
          <a:noFill/>
        </a:ln>
      </c:spPr>
    </c:plotArea>
    <c:plotVisOnly val="1"/>
    <c:dispBlanksAs val="gap"/>
  </c:chart>
  <c:spPr>
    <a:solidFill>
      <a:sysClr val="window" lastClr="FFFFFF"/>
    </a:solidFill>
    <a:ln>
      <a:noFill/>
    </a:ln>
  </c:spPr>
  <c:txPr>
    <a:bodyPr/>
    <a:lstStyle/>
    <a:p>
      <a:pPr>
        <a:defRPr sz="1100"/>
      </a:pPr>
      <a:endParaRPr lang="en-US"/>
    </a:p>
  </c:txPr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/>
          <a:lstStyle/>
          <a:p>
            <a:pPr>
              <a:defRPr/>
            </a:pPr>
            <a:r>
              <a:rPr lang="en-US"/>
              <a:t> (c) </a:t>
            </a:r>
          </a:p>
        </c:rich>
      </c:tx>
      <c:layout>
        <c:manualLayout>
          <c:xMode val="edge"/>
          <c:yMode val="edge"/>
          <c:x val="4.1874847669296448E-3"/>
          <c:y val="5.4506557897516916E-3"/>
        </c:manualLayout>
      </c:layout>
      <c:spPr>
        <a:noFill/>
      </c:spPr>
    </c:title>
    <c:plotArea>
      <c:layout>
        <c:manualLayout>
          <c:layoutTarget val="inner"/>
          <c:xMode val="edge"/>
          <c:yMode val="edge"/>
          <c:x val="0.13588094481193821"/>
          <c:y val="5.3666359731413517E-2"/>
          <c:w val="0.83336983432806444"/>
          <c:h val="0.89266728053717292"/>
        </c:manualLayout>
      </c:layout>
      <c:barChart>
        <c:barDir val="col"/>
        <c:grouping val="clustered"/>
        <c:ser>
          <c:idx val="0"/>
          <c:order val="0"/>
          <c:tx>
            <c:strRef>
              <c:f>'Switching and Reversal Assays'!$F$3</c:f>
              <c:strCache>
                <c:ptCount val="1"/>
                <c:pt idx="0">
                  <c:v>Shifting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ysClr val="windowText" lastClr="000000"/>
              </a:solidFill>
            </a:ln>
          </c:spPr>
          <c:dPt>
            <c:idx val="9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0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1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2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3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Lbls>
            <c:dLbl>
              <c:idx val="0"/>
              <c:layout>
                <c:manualLayout>
                  <c:x val="0"/>
                  <c:y val="-0.13188984749834581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1"/>
              <c:layout>
                <c:manualLayout>
                  <c:x val="-2.2683480781912121E-3"/>
                  <c:y val="-0.16605992654344739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2"/>
              <c:layout>
                <c:manualLayout>
                  <c:x val="0"/>
                  <c:y val="-9.6335963097451557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3"/>
              <c:layout>
                <c:manualLayout>
                  <c:x val="7.4373239351088326E-4"/>
                  <c:y val="-5.7052206896711428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4"/>
              <c:layout>
                <c:manualLayout>
                  <c:x val="0"/>
                  <c:y val="-8.7926564998897686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5"/>
              <c:layout>
                <c:manualLayout>
                  <c:x val="0"/>
                  <c:y val="-7.996477540076849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d</a:t>
                    </a:r>
                  </a:p>
                </c:rich>
              </c:tx>
              <c:dLblPos val="outEnd"/>
              <c:showVal val="1"/>
            </c:dLbl>
            <c:dLbl>
              <c:idx val="6"/>
              <c:layout>
                <c:manualLayout>
                  <c:x val="2.2683480781912121E-3"/>
                  <c:y val="-0.16148142264815268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7"/>
              <c:layout>
                <c:manualLayout>
                  <c:x val="-1.786100848553602E-7"/>
                  <c:y val="-6.9723963445996143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8"/>
              <c:layout>
                <c:manualLayout>
                  <c:x val="0"/>
                  <c:y val="-7.025680490985263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bcd</a:t>
                    </a:r>
                  </a:p>
                </c:rich>
              </c:tx>
              <c:dLblPos val="outEnd"/>
              <c:showVal val="1"/>
            </c:dLbl>
            <c:dLbl>
              <c:idx val="9"/>
              <c:layout>
                <c:manualLayout>
                  <c:x val="5.2566475378504514E-3"/>
                  <c:y val="1.8841406785478024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10"/>
              <c:layout>
                <c:manualLayout>
                  <c:x val="0"/>
                  <c:y val="-0.16893387753591291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11"/>
              <c:layout>
                <c:manualLayout>
                  <c:x val="0"/>
                  <c:y val="3.1920365262437947E-3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12"/>
              <c:layout>
                <c:manualLayout>
                  <c:x val="0"/>
                  <c:y val="-0.13337962602394599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13"/>
              <c:layout>
                <c:manualLayout>
                  <c:x val="3.597207109824487E-4"/>
                  <c:y val="-0.15498900773506943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cd</a:t>
                    </a:r>
                  </a:p>
                </c:rich>
              </c:tx>
              <c:dLblPos val="outEnd"/>
              <c:showVal val="1"/>
            </c:dLbl>
            <c:dLbl>
              <c:idx val="14"/>
              <c:layout>
                <c:manualLayout>
                  <c:x val="0"/>
                  <c:y val="-5.0243751427941324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5"/>
              <c:layout>
                <c:manualLayout>
                  <c:x val="0"/>
                  <c:y val="-9.6229934586191945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cd</a:t>
                    </a:r>
                  </a:p>
                </c:rich>
              </c:tx>
              <c:dLblPos val="outEnd"/>
              <c:showVal val="1"/>
            </c:dLbl>
            <c:dLbl>
              <c:idx val="16"/>
              <c:layout>
                <c:manualLayout>
                  <c:x val="0"/>
                  <c:y val="-0.12518265820803304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7"/>
              <c:layout>
                <c:manualLayout>
                  <c:x val="0"/>
                  <c:y val="-5.3756455208544593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18"/>
              <c:layout>
                <c:manualLayout>
                  <c:x val="6.8048656244887344E-3"/>
                  <c:y val="-0.13274114160705294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bcd</a:t>
                    </a:r>
                  </a:p>
                </c:rich>
              </c:tx>
              <c:dLblPos val="outEnd"/>
              <c:showVal val="1"/>
            </c:dLbl>
            <c:dLbl>
              <c:idx val="19"/>
              <c:layout>
                <c:manualLayout>
                  <c:x val="0"/>
                  <c:y val="-0.11304844071286785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20"/>
              <c:layout>
                <c:manualLayout>
                  <c:x val="-6.8050442345736388E-3"/>
                  <c:y val="-2.93795365744385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21"/>
              <c:layout>
                <c:manualLayout>
                  <c:x val="-2.2683480781912121E-3"/>
                  <c:y val="-5.386248371980412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22"/>
              <c:layout>
                <c:manualLayout>
                  <c:x val="0"/>
                  <c:y val="-7.83454308651695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bcd</a:t>
                    </a:r>
                  </a:p>
                </c:rich>
              </c:tx>
              <c:dLblPos val="outEnd"/>
              <c:showVal val="1"/>
            </c:dLbl>
            <c:dLbl>
              <c:idx val="23"/>
              <c:layout>
                <c:manualLayout>
                  <c:x val="2.2683480781912121E-3"/>
                  <c:y val="-0.11751814629775419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Val val="1"/>
            </c:dLbl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dLblPos val="outEnd"/>
            <c:showVal val="1"/>
          </c:dLbls>
          <c:errBars>
            <c:errBarType val="both"/>
            <c:errValType val="cust"/>
            <c:plus>
              <c:numRef>
                <c:f>'Switching and Reversal Assays'!$G$56:$G$79</c:f>
                <c:numCache>
                  <c:formatCode>General</c:formatCode>
                  <c:ptCount val="24"/>
                  <c:pt idx="0">
                    <c:v>16.733201000000001</c:v>
                  </c:pt>
                  <c:pt idx="1">
                    <c:v>21.908902000000001</c:v>
                  </c:pt>
                  <c:pt idx="2">
                    <c:v>10.954451000000001</c:v>
                  </c:pt>
                  <c:pt idx="3">
                    <c:v>10.327956</c:v>
                  </c:pt>
                  <c:pt idx="5">
                    <c:v>12.649111</c:v>
                  </c:pt>
                  <c:pt idx="6">
                    <c:v>19.663841999999999</c:v>
                  </c:pt>
                  <c:pt idx="7">
                    <c:v>8.1649659999999997</c:v>
                  </c:pt>
                  <c:pt idx="8">
                    <c:v>10.954451000000001</c:v>
                  </c:pt>
                  <c:pt idx="10">
                    <c:v>20.655911</c:v>
                  </c:pt>
                  <c:pt idx="11">
                    <c:v>0</c:v>
                  </c:pt>
                  <c:pt idx="12">
                    <c:v>17.888544</c:v>
                  </c:pt>
                  <c:pt idx="13">
                    <c:v>20.655911</c:v>
                  </c:pt>
                  <c:pt idx="15">
                    <c:v>12.649111</c:v>
                  </c:pt>
                  <c:pt idx="16">
                    <c:v>16.329931999999999</c:v>
                  </c:pt>
                  <c:pt idx="17">
                    <c:v>8.1649659999999997</c:v>
                  </c:pt>
                  <c:pt idx="18">
                    <c:v>16.733201000000001</c:v>
                  </c:pt>
                  <c:pt idx="20">
                    <c:v>10.954451000000001</c:v>
                  </c:pt>
                  <c:pt idx="21">
                    <c:v>8.1649659999999997</c:v>
                  </c:pt>
                  <c:pt idx="22">
                    <c:v>10.327956</c:v>
                  </c:pt>
                  <c:pt idx="23">
                    <c:v>15.055453</c:v>
                  </c:pt>
                </c:numCache>
              </c:numRef>
            </c:plus>
            <c:minus>
              <c:numRef>
                <c:f>'Switching and Reversal Assays'!$G$56:$G$79</c:f>
                <c:numCache>
                  <c:formatCode>General</c:formatCode>
                  <c:ptCount val="24"/>
                  <c:pt idx="0">
                    <c:v>16.733201000000001</c:v>
                  </c:pt>
                  <c:pt idx="1">
                    <c:v>21.908902000000001</c:v>
                  </c:pt>
                  <c:pt idx="2">
                    <c:v>10.954451000000001</c:v>
                  </c:pt>
                  <c:pt idx="3">
                    <c:v>10.327956</c:v>
                  </c:pt>
                  <c:pt idx="5">
                    <c:v>12.649111</c:v>
                  </c:pt>
                  <c:pt idx="6">
                    <c:v>19.663841999999999</c:v>
                  </c:pt>
                  <c:pt idx="7">
                    <c:v>8.1649659999999997</c:v>
                  </c:pt>
                  <c:pt idx="8">
                    <c:v>10.954451000000001</c:v>
                  </c:pt>
                  <c:pt idx="10">
                    <c:v>20.655911</c:v>
                  </c:pt>
                  <c:pt idx="11">
                    <c:v>0</c:v>
                  </c:pt>
                  <c:pt idx="12">
                    <c:v>17.888544</c:v>
                  </c:pt>
                  <c:pt idx="13">
                    <c:v>20.655911</c:v>
                  </c:pt>
                  <c:pt idx="15">
                    <c:v>12.649111</c:v>
                  </c:pt>
                  <c:pt idx="16">
                    <c:v>16.329931999999999</c:v>
                  </c:pt>
                  <c:pt idx="17">
                    <c:v>8.1649659999999997</c:v>
                  </c:pt>
                  <c:pt idx="18">
                    <c:v>16.733201000000001</c:v>
                  </c:pt>
                  <c:pt idx="20">
                    <c:v>10.954451000000001</c:v>
                  </c:pt>
                  <c:pt idx="21">
                    <c:v>8.1649659999999997</c:v>
                  </c:pt>
                  <c:pt idx="22">
                    <c:v>10.327956</c:v>
                  </c:pt>
                  <c:pt idx="23">
                    <c:v>15.055453</c:v>
                  </c:pt>
                </c:numCache>
              </c:numRef>
            </c:minus>
            <c:spPr>
              <a:noFill/>
              <a:ln w="9525" cap="flat" cmpd="sng" algn="ctr">
                <a:solidFill>
                  <a:sysClr val="windowText" lastClr="000000"/>
                </a:solidFill>
                <a:prstDash val="solid"/>
              </a:ln>
              <a:effectLst/>
            </c:spPr>
          </c:errBars>
          <c:cat>
            <c:multiLvlStrRef>
              <c:f>'Switching and Reversal Assays'!$D$56:$E$79</c:f>
              <c:multiLvlStrCache>
                <c:ptCount val="24"/>
                <c:lvl>
                  <c:pt idx="0">
                    <c:v>Cypermethrin</c:v>
                  </c:pt>
                  <c:pt idx="1">
                    <c:v>Chlorpyrifos</c:v>
                  </c:pt>
                  <c:pt idx="2">
                    <c:v>Lufenuron</c:v>
                  </c:pt>
                  <c:pt idx="3">
                    <c:v>Emamectin</c:v>
                  </c:pt>
                  <c:pt idx="5">
                    <c:v>Cypermethrin</c:v>
                  </c:pt>
                  <c:pt idx="6">
                    <c:v>Chlorpyrifos</c:v>
                  </c:pt>
                  <c:pt idx="7">
                    <c:v>Lufenuron</c:v>
                  </c:pt>
                  <c:pt idx="8">
                    <c:v>Emamectin</c:v>
                  </c:pt>
                  <c:pt idx="10">
                    <c:v>Cypermethrin</c:v>
                  </c:pt>
                  <c:pt idx="11">
                    <c:v>Chlorpyrifos</c:v>
                  </c:pt>
                  <c:pt idx="12">
                    <c:v>Lufenuron</c:v>
                  </c:pt>
                  <c:pt idx="13">
                    <c:v>Emamectin</c:v>
                  </c:pt>
                  <c:pt idx="15">
                    <c:v>Cypermethrin</c:v>
                  </c:pt>
                  <c:pt idx="16">
                    <c:v>Chlorpyrifos</c:v>
                  </c:pt>
                  <c:pt idx="17">
                    <c:v>Lufenuron</c:v>
                  </c:pt>
                  <c:pt idx="18">
                    <c:v>Emamectin</c:v>
                  </c:pt>
                  <c:pt idx="20">
                    <c:v>Cypermethrin</c:v>
                  </c:pt>
                  <c:pt idx="21">
                    <c:v>Chlorpyrifos</c:v>
                  </c:pt>
                  <c:pt idx="22">
                    <c:v>Lufenuron</c:v>
                  </c:pt>
                  <c:pt idx="23">
                    <c:v>Emamectin</c:v>
                  </c:pt>
                </c:lvl>
                <c:lvl>
                  <c:pt idx="0">
                    <c:v>Castor</c:v>
                  </c:pt>
                  <c:pt idx="5">
                    <c:v>Cauliflower</c:v>
                  </c:pt>
                  <c:pt idx="10">
                    <c:v>Cotton</c:v>
                  </c:pt>
                  <c:pt idx="15">
                    <c:v>Okra</c:v>
                  </c:pt>
                  <c:pt idx="20">
                    <c:v>Spinach</c:v>
                  </c:pt>
                </c:lvl>
              </c:multiLvlStrCache>
            </c:multiLvlStrRef>
          </c:cat>
          <c:val>
            <c:numRef>
              <c:f>'Switching and Reversal Assays'!$F$56:$F$79</c:f>
              <c:numCache>
                <c:formatCode>0.0</c:formatCode>
                <c:ptCount val="24"/>
                <c:pt idx="0">
                  <c:v>70</c:v>
                </c:pt>
                <c:pt idx="1">
                  <c:v>60</c:v>
                </c:pt>
                <c:pt idx="2">
                  <c:v>70</c:v>
                </c:pt>
                <c:pt idx="3">
                  <c:v>86.666669999999996</c:v>
                </c:pt>
                <c:pt idx="5">
                  <c:v>80</c:v>
                </c:pt>
                <c:pt idx="6">
                  <c:v>43.333329999999997</c:v>
                </c:pt>
                <c:pt idx="7">
                  <c:v>76.666669999999996</c:v>
                </c:pt>
                <c:pt idx="8">
                  <c:v>70</c:v>
                </c:pt>
                <c:pt idx="10">
                  <c:v>53.333329999999997</c:v>
                </c:pt>
                <c:pt idx="11">
                  <c:v>60</c:v>
                </c:pt>
                <c:pt idx="12">
                  <c:v>60</c:v>
                </c:pt>
                <c:pt idx="13">
                  <c:v>66.666669999999996</c:v>
                </c:pt>
                <c:pt idx="15">
                  <c:v>60</c:v>
                </c:pt>
                <c:pt idx="16">
                  <c:v>46.666670000000003</c:v>
                </c:pt>
                <c:pt idx="17">
                  <c:v>83.333330000000004</c:v>
                </c:pt>
                <c:pt idx="18">
                  <c:v>50</c:v>
                </c:pt>
                <c:pt idx="20">
                  <c:v>90</c:v>
                </c:pt>
                <c:pt idx="21">
                  <c:v>76.666669999999996</c:v>
                </c:pt>
                <c:pt idx="22">
                  <c:v>53.333329999999997</c:v>
                </c:pt>
                <c:pt idx="23">
                  <c:v>76.666669999999996</c:v>
                </c:pt>
              </c:numCache>
            </c:numRef>
          </c:val>
        </c:ser>
        <c:dLbls>
          <c:showVal val="1"/>
        </c:dLbls>
        <c:gapWidth val="40"/>
        <c:axId val="149893888"/>
        <c:axId val="149895424"/>
      </c:barChart>
      <c:catAx>
        <c:axId val="149893888"/>
        <c:scaling>
          <c:orientation val="minMax"/>
        </c:scaling>
        <c:axPos val="b"/>
        <c:majorTickMark val="none"/>
        <c:tickLblPos val="none"/>
        <c:crossAx val="149895424"/>
        <c:crosses val="autoZero"/>
        <c:auto val="1"/>
        <c:lblAlgn val="ctr"/>
        <c:lblOffset val="100"/>
      </c:catAx>
      <c:valAx>
        <c:axId val="149895424"/>
        <c:scaling>
          <c:orientation val="minMax"/>
          <c:max val="10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Larval mortality (%)</a:t>
                </a:r>
              </a:p>
            </c:rich>
          </c:tx>
          <c:layout/>
        </c:title>
        <c:numFmt formatCode="General" sourceLinked="0"/>
        <c:maj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49893888"/>
        <c:crosses val="autoZero"/>
        <c:crossBetween val="between"/>
        <c:majorUnit val="20"/>
      </c:valAx>
      <c:spPr>
        <a:ln>
          <a:noFill/>
        </a:ln>
      </c:spPr>
    </c:plotArea>
    <c:plotVisOnly val="1"/>
    <c:dispBlanksAs val="gap"/>
  </c:chart>
  <c:spPr>
    <a:solidFill>
      <a:sysClr val="window" lastClr="FFFFFF"/>
    </a:solidFill>
    <a:ln>
      <a:noFill/>
    </a:ln>
  </c:spPr>
  <c:txPr>
    <a:bodyPr/>
    <a:lstStyle/>
    <a:p>
      <a:pPr>
        <a:defRPr sz="1100"/>
      </a:pPr>
      <a:endParaRPr lang="en-US"/>
    </a:p>
  </c:txPr>
  <c:printSettings>
    <c:headerFooter/>
    <c:pageMargins b="0.75000000000000266" l="0.70000000000000062" r="0.70000000000000062" t="0.75000000000000266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/>
          <a:lstStyle/>
          <a:p>
            <a:pPr>
              <a:defRPr/>
            </a:pPr>
            <a:r>
              <a:rPr lang="en-US"/>
              <a:t>(d)</a:t>
            </a:r>
          </a:p>
        </c:rich>
      </c:tx>
      <c:layout>
        <c:manualLayout>
          <c:xMode val="edge"/>
          <c:yMode val="edge"/>
          <c:x val="1.5709506198198584E-3"/>
          <c:y val="5.4506557897516916E-3"/>
        </c:manualLayout>
      </c:layout>
      <c:spPr>
        <a:noFill/>
      </c:spPr>
    </c:title>
    <c:plotArea>
      <c:layout>
        <c:manualLayout>
          <c:layoutTarget val="inner"/>
          <c:xMode val="edge"/>
          <c:yMode val="edge"/>
          <c:x val="0.12803134237060879"/>
          <c:y val="5.3666359731413517E-2"/>
          <c:w val="0.84121943676939426"/>
          <c:h val="0.89266728053717292"/>
        </c:manualLayout>
      </c:layout>
      <c:barChart>
        <c:barDir val="col"/>
        <c:grouping val="clustered"/>
        <c:ser>
          <c:idx val="0"/>
          <c:order val="0"/>
          <c:tx>
            <c:strRef>
              <c:f>'Switching and Reversal Assays'!$F$3</c:f>
              <c:strCache>
                <c:ptCount val="1"/>
                <c:pt idx="0">
                  <c:v>Shifting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ysClr val="windowText" lastClr="000000"/>
              </a:solidFill>
            </a:ln>
          </c:spPr>
          <c:dPt>
            <c:idx val="14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5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6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7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8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Lbls>
            <c:dLbl>
              <c:idx val="0"/>
              <c:layout>
                <c:manualLayout>
                  <c:x val="6.8050442345736388E-3"/>
                  <c:y val="-0.1158162923024843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cde</a:t>
                    </a:r>
                  </a:p>
                </c:rich>
              </c:tx>
              <c:dLblPos val="outEnd"/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 sz="1400"/>
                      <a:t>e</a:t>
                    </a:r>
                  </a:p>
                </c:rich>
              </c:tx>
              <c:dLblPos val="outEnd"/>
              <c:showVal val="1"/>
            </c:dLbl>
            <c:dLbl>
              <c:idx val="2"/>
              <c:layout>
                <c:manualLayout>
                  <c:x val="0"/>
                  <c:y val="-0.12560937856985313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3"/>
              <c:layout>
                <c:manualLayout>
                  <c:x val="0"/>
                  <c:y val="-0.13817031642683847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4"/>
              <c:layout>
                <c:manualLayout>
                  <c:x val="2.6479748830199891E-3"/>
                  <c:y val="-0.13817031642683847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5"/>
              <c:layout>
                <c:manualLayout>
                  <c:x val="3.7954643040600985E-4"/>
                  <c:y val="-0.13763734547790357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6"/>
              <c:layout>
                <c:manualLayout>
                  <c:x val="4.8545645385261932E-17"/>
                  <c:y val="-6.2804689284926815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7"/>
              <c:layout>
                <c:manualLayout>
                  <c:x val="-4.8545645385261932E-17"/>
                  <c:y val="-0.12560937856985313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8"/>
              <c:layout>
                <c:manualLayout>
                  <c:x val="0"/>
                  <c:y val="-0.14200109344311976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9"/>
              <c:layout>
                <c:manualLayout>
                  <c:x val="0"/>
                  <c:y val="-0.11304844071286785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10"/>
              <c:layout>
                <c:manualLayout>
                  <c:x val="0"/>
                  <c:y val="2.7760192038839594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11"/>
              <c:layout>
                <c:manualLayout>
                  <c:x val="-2.2683480781912121E-3"/>
                  <c:y val="-0.1174121177864948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cde</a:t>
                    </a:r>
                  </a:p>
                </c:rich>
              </c:tx>
              <c:dLblPos val="outEnd"/>
              <c:showVal val="1"/>
            </c:dLbl>
            <c:dLbl>
              <c:idx val="12"/>
              <c:layout>
                <c:manualLayout>
                  <c:x val="6.8050442345736388E-3"/>
                  <c:y val="-0.11720006076397603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de</a:t>
                    </a:r>
                  </a:p>
                </c:rich>
              </c:tx>
              <c:dLblPos val="outEnd"/>
              <c:showVal val="1"/>
            </c:dLbl>
            <c:dLbl>
              <c:idx val="13"/>
              <c:layout>
                <c:manualLayout>
                  <c:x val="-2.2683480781912121E-3"/>
                  <c:y val="-4.7796881759317747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14"/>
              <c:layout>
                <c:manualLayout>
                  <c:x val="0"/>
                  <c:y val="-6.908515821341922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15"/>
              <c:layout>
                <c:manualLayout>
                  <c:x val="9.7091290770524258E-17"/>
                  <c:y val="-0.11932890964136048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de</a:t>
                    </a:r>
                  </a:p>
                </c:rich>
              </c:tx>
              <c:dLblPos val="outEnd"/>
              <c:showVal val="1"/>
            </c:dLbl>
            <c:dLbl>
              <c:idx val="16"/>
              <c:layout>
                <c:manualLayout>
                  <c:x val="-1.7861008489694597E-7"/>
                  <c:y val="-0.20044208105821876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17"/>
              <c:layout>
                <c:manualLayout>
                  <c:x val="8.3171802059256953E-17"/>
                  <c:y val="-8.1752223321491568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de</a:t>
                    </a:r>
                  </a:p>
                </c:rich>
              </c:tx>
              <c:dLblPos val="outEnd"/>
              <c:showVal val="1"/>
            </c:dLbl>
            <c:dLbl>
              <c:idx val="18"/>
              <c:layout>
                <c:manualLayout>
                  <c:x val="0"/>
                  <c:y val="-0.13348565453520589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9"/>
              <c:layout>
                <c:manualLayout>
                  <c:x val="2.6479748830199891E-3"/>
                  <c:y val="-0.16957266106930177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cde</a:t>
                    </a:r>
                  </a:p>
                </c:rich>
              </c:tx>
              <c:dLblPos val="outEnd"/>
              <c:showVal val="1"/>
            </c:dLbl>
            <c:dLbl>
              <c:idx val="20"/>
              <c:layout>
                <c:manualLayout>
                  <c:x val="-2.2683480781912121E-3"/>
                  <c:y val="-0.12731132515590049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21"/>
              <c:layout>
                <c:manualLayout>
                  <c:x val="0"/>
                  <c:y val="-5.38624837198040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de</a:t>
                    </a:r>
                  </a:p>
                </c:rich>
              </c:tx>
              <c:dLblPos val="outEnd"/>
              <c:showVal val="1"/>
            </c:dLbl>
            <c:dLbl>
              <c:idx val="22"/>
              <c:layout>
                <c:manualLayout>
                  <c:x val="0"/>
                  <c:y val="-4.896589429073096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23"/>
              <c:layout>
                <c:manualLayout>
                  <c:x val="0"/>
                  <c:y val="-0.15669086173033925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cde</a:t>
                    </a:r>
                  </a:p>
                </c:rich>
              </c:tx>
              <c:dLblPos val="outEnd"/>
              <c:showVal val="1"/>
            </c:dLbl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dLblPos val="outEnd"/>
            <c:showVal val="1"/>
          </c:dLbls>
          <c:errBars>
            <c:errBarType val="both"/>
            <c:errValType val="cust"/>
            <c:plus>
              <c:numRef>
                <c:f>'Switching and Reversal Assays'!$G$81:$G$104</c:f>
                <c:numCache>
                  <c:formatCode>General</c:formatCode>
                  <c:ptCount val="24"/>
                  <c:pt idx="0">
                    <c:v>15.055453</c:v>
                  </c:pt>
                  <c:pt idx="1">
                    <c:v>0</c:v>
                  </c:pt>
                  <c:pt idx="2">
                    <c:v>16.733201000000001</c:v>
                  </c:pt>
                  <c:pt idx="3">
                    <c:v>16.329931999999999</c:v>
                  </c:pt>
                  <c:pt idx="5">
                    <c:v>16.733201000000001</c:v>
                  </c:pt>
                  <c:pt idx="6">
                    <c:v>10.327956</c:v>
                  </c:pt>
                  <c:pt idx="7">
                    <c:v>10.327956</c:v>
                  </c:pt>
                  <c:pt idx="8">
                    <c:v>16.733201000000001</c:v>
                  </c:pt>
                  <c:pt idx="10">
                    <c:v>0</c:v>
                  </c:pt>
                  <c:pt idx="11">
                    <c:v>15.055453</c:v>
                  </c:pt>
                  <c:pt idx="12">
                    <c:v>16.329931999999999</c:v>
                  </c:pt>
                  <c:pt idx="13">
                    <c:v>8.1649659999999997</c:v>
                  </c:pt>
                  <c:pt idx="15">
                    <c:v>16.329931999999999</c:v>
                  </c:pt>
                  <c:pt idx="16">
                    <c:v>24.221202999999999</c:v>
                  </c:pt>
                  <c:pt idx="17">
                    <c:v>10.954451000000001</c:v>
                  </c:pt>
                  <c:pt idx="18">
                    <c:v>16.329931999999999</c:v>
                  </c:pt>
                  <c:pt idx="20">
                    <c:v>16.733201000000001</c:v>
                  </c:pt>
                  <c:pt idx="21">
                    <c:v>8.1649659999999997</c:v>
                  </c:pt>
                  <c:pt idx="22">
                    <c:v>8.1649659999999997</c:v>
                  </c:pt>
                  <c:pt idx="23">
                    <c:v>19.663841999999999</c:v>
                  </c:pt>
                </c:numCache>
              </c:numRef>
            </c:plus>
            <c:minus>
              <c:numRef>
                <c:f>'Switching and Reversal Assays'!$G$81:$G$104</c:f>
                <c:numCache>
                  <c:formatCode>General</c:formatCode>
                  <c:ptCount val="24"/>
                  <c:pt idx="0">
                    <c:v>15.055453</c:v>
                  </c:pt>
                  <c:pt idx="1">
                    <c:v>0</c:v>
                  </c:pt>
                  <c:pt idx="2">
                    <c:v>16.733201000000001</c:v>
                  </c:pt>
                  <c:pt idx="3">
                    <c:v>16.329931999999999</c:v>
                  </c:pt>
                  <c:pt idx="5">
                    <c:v>16.733201000000001</c:v>
                  </c:pt>
                  <c:pt idx="6">
                    <c:v>10.327956</c:v>
                  </c:pt>
                  <c:pt idx="7">
                    <c:v>10.327956</c:v>
                  </c:pt>
                  <c:pt idx="8">
                    <c:v>16.733201000000001</c:v>
                  </c:pt>
                  <c:pt idx="10">
                    <c:v>0</c:v>
                  </c:pt>
                  <c:pt idx="11">
                    <c:v>15.055453</c:v>
                  </c:pt>
                  <c:pt idx="12">
                    <c:v>16.329931999999999</c:v>
                  </c:pt>
                  <c:pt idx="13">
                    <c:v>8.1649659999999997</c:v>
                  </c:pt>
                  <c:pt idx="15">
                    <c:v>16.329931999999999</c:v>
                  </c:pt>
                  <c:pt idx="16">
                    <c:v>24.221202999999999</c:v>
                  </c:pt>
                  <c:pt idx="17">
                    <c:v>10.954451000000001</c:v>
                  </c:pt>
                  <c:pt idx="18">
                    <c:v>16.329931999999999</c:v>
                  </c:pt>
                  <c:pt idx="20">
                    <c:v>16.733201000000001</c:v>
                  </c:pt>
                  <c:pt idx="21">
                    <c:v>8.1649659999999997</c:v>
                  </c:pt>
                  <c:pt idx="22">
                    <c:v>8.1649659999999997</c:v>
                  </c:pt>
                  <c:pt idx="23">
                    <c:v>19.663841999999999</c:v>
                  </c:pt>
                </c:numCache>
              </c:numRef>
            </c:minus>
            <c:spPr>
              <a:noFill/>
              <a:ln w="9525" cap="flat" cmpd="sng" algn="ctr">
                <a:solidFill>
                  <a:sysClr val="windowText" lastClr="000000"/>
                </a:solidFill>
                <a:prstDash val="solid"/>
              </a:ln>
              <a:effectLst/>
            </c:spPr>
          </c:errBars>
          <c:cat>
            <c:multiLvlStrRef>
              <c:f>'Switching and Reversal Assays'!$D$81:$E$104</c:f>
              <c:multiLvlStrCache>
                <c:ptCount val="24"/>
                <c:lvl>
                  <c:pt idx="0">
                    <c:v>Cypermethrin</c:v>
                  </c:pt>
                  <c:pt idx="1">
                    <c:v>Chlorpyrifos</c:v>
                  </c:pt>
                  <c:pt idx="2">
                    <c:v>Lufenuron</c:v>
                  </c:pt>
                  <c:pt idx="3">
                    <c:v>Emamectin</c:v>
                  </c:pt>
                  <c:pt idx="5">
                    <c:v>Cypermethrin</c:v>
                  </c:pt>
                  <c:pt idx="6">
                    <c:v>Chlorpyrifos</c:v>
                  </c:pt>
                  <c:pt idx="7">
                    <c:v>Lufenuron</c:v>
                  </c:pt>
                  <c:pt idx="8">
                    <c:v>Emamectin</c:v>
                  </c:pt>
                  <c:pt idx="10">
                    <c:v>Cypermethrin</c:v>
                  </c:pt>
                  <c:pt idx="11">
                    <c:v>Chlorpyrifos</c:v>
                  </c:pt>
                  <c:pt idx="12">
                    <c:v>Lufenuron</c:v>
                  </c:pt>
                  <c:pt idx="13">
                    <c:v>Emamectin</c:v>
                  </c:pt>
                  <c:pt idx="15">
                    <c:v>Cypermethrin</c:v>
                  </c:pt>
                  <c:pt idx="16">
                    <c:v>Chlorpyrifos</c:v>
                  </c:pt>
                  <c:pt idx="17">
                    <c:v>Lufenuron</c:v>
                  </c:pt>
                  <c:pt idx="18">
                    <c:v>Emamectin</c:v>
                  </c:pt>
                  <c:pt idx="20">
                    <c:v>Cypermethrin</c:v>
                  </c:pt>
                  <c:pt idx="21">
                    <c:v>Chlorpyrifos</c:v>
                  </c:pt>
                  <c:pt idx="22">
                    <c:v>Lufenuron</c:v>
                  </c:pt>
                  <c:pt idx="23">
                    <c:v>Emamectin</c:v>
                  </c:pt>
                </c:lvl>
                <c:lvl>
                  <c:pt idx="0">
                    <c:v>Castor</c:v>
                  </c:pt>
                  <c:pt idx="5">
                    <c:v>Cauliflower</c:v>
                  </c:pt>
                  <c:pt idx="10">
                    <c:v>Cotton</c:v>
                  </c:pt>
                  <c:pt idx="15">
                    <c:v>Okra</c:v>
                  </c:pt>
                  <c:pt idx="20">
                    <c:v>Spinach</c:v>
                  </c:pt>
                </c:lvl>
              </c:multiLvlStrCache>
            </c:multiLvlStrRef>
          </c:cat>
          <c:val>
            <c:numRef>
              <c:f>'Switching and Reversal Assays'!$F$81:$F$104</c:f>
              <c:numCache>
                <c:formatCode>0.0</c:formatCode>
                <c:ptCount val="24"/>
                <c:pt idx="0">
                  <c:v>63.333329999999997</c:v>
                </c:pt>
                <c:pt idx="1">
                  <c:v>40</c:v>
                </c:pt>
                <c:pt idx="2">
                  <c:v>70</c:v>
                </c:pt>
                <c:pt idx="3">
                  <c:v>73.333330000000004</c:v>
                </c:pt>
                <c:pt idx="5">
                  <c:v>70</c:v>
                </c:pt>
                <c:pt idx="6">
                  <c:v>66.666669999999996</c:v>
                </c:pt>
                <c:pt idx="7">
                  <c:v>66.666669999999996</c:v>
                </c:pt>
                <c:pt idx="8">
                  <c:v>70</c:v>
                </c:pt>
                <c:pt idx="10">
                  <c:v>80</c:v>
                </c:pt>
                <c:pt idx="11">
                  <c:v>76.666669999999996</c:v>
                </c:pt>
                <c:pt idx="12">
                  <c:v>73.333330000000004</c:v>
                </c:pt>
                <c:pt idx="13">
                  <c:v>56.666670000000003</c:v>
                </c:pt>
                <c:pt idx="15">
                  <c:v>53.333329999999997</c:v>
                </c:pt>
                <c:pt idx="16">
                  <c:v>66.666669999999996</c:v>
                </c:pt>
                <c:pt idx="17">
                  <c:v>70</c:v>
                </c:pt>
                <c:pt idx="18">
                  <c:v>53.333329999999997</c:v>
                </c:pt>
                <c:pt idx="20">
                  <c:v>70</c:v>
                </c:pt>
                <c:pt idx="21">
                  <c:v>43.333329999999997</c:v>
                </c:pt>
                <c:pt idx="22">
                  <c:v>83.333330000000004</c:v>
                </c:pt>
                <c:pt idx="23">
                  <c:v>56.666670000000003</c:v>
                </c:pt>
              </c:numCache>
            </c:numRef>
          </c:val>
        </c:ser>
        <c:gapWidth val="40"/>
        <c:axId val="149407232"/>
        <c:axId val="149408768"/>
      </c:barChart>
      <c:catAx>
        <c:axId val="149407232"/>
        <c:scaling>
          <c:orientation val="minMax"/>
        </c:scaling>
        <c:axPos val="b"/>
        <c:majorTickMark val="none"/>
        <c:tickLblPos val="none"/>
        <c:crossAx val="149408768"/>
        <c:crosses val="autoZero"/>
        <c:auto val="1"/>
        <c:lblAlgn val="ctr"/>
        <c:lblOffset val="100"/>
      </c:catAx>
      <c:valAx>
        <c:axId val="149408768"/>
        <c:scaling>
          <c:orientation val="minMax"/>
          <c:max val="10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Larval mortality (%)</a:t>
                </a:r>
              </a:p>
            </c:rich>
          </c:tx>
          <c:layout/>
        </c:title>
        <c:numFmt formatCode="General" sourceLinked="0"/>
        <c:maj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49407232"/>
        <c:crosses val="autoZero"/>
        <c:crossBetween val="between"/>
        <c:majorUnit val="20"/>
      </c:valAx>
      <c:spPr>
        <a:ln>
          <a:noFill/>
        </a:ln>
      </c:spPr>
    </c:plotArea>
    <c:plotVisOnly val="1"/>
    <c:dispBlanksAs val="gap"/>
  </c:chart>
  <c:spPr>
    <a:solidFill>
      <a:sysClr val="window" lastClr="FFFFFF"/>
    </a:solidFill>
    <a:ln>
      <a:noFill/>
    </a:ln>
  </c:spPr>
  <c:txPr>
    <a:bodyPr/>
    <a:lstStyle/>
    <a:p>
      <a:pPr>
        <a:defRPr sz="1100"/>
      </a:pPr>
      <a:endParaRPr lang="en-US"/>
    </a:p>
  </c:tx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/>
          <a:lstStyle/>
          <a:p>
            <a:pPr>
              <a:defRPr/>
            </a:pPr>
            <a:r>
              <a:rPr lang="en-US"/>
              <a:t>(e)</a:t>
            </a:r>
          </a:p>
        </c:rich>
      </c:tx>
      <c:layout>
        <c:manualLayout>
          <c:xMode val="edge"/>
          <c:yMode val="edge"/>
          <c:x val="9.3901738523144047E-3"/>
          <c:y val="3.1764341701029245E-3"/>
        </c:manualLayout>
      </c:layout>
      <c:spPr>
        <a:noFill/>
      </c:spPr>
    </c:title>
    <c:plotArea>
      <c:layout>
        <c:manualLayout>
          <c:layoutTarget val="inner"/>
          <c:xMode val="edge"/>
          <c:yMode val="edge"/>
          <c:x val="0.13627426266700279"/>
          <c:y val="2.4904505472683403E-2"/>
          <c:w val="0.83322595841925384"/>
          <c:h val="0.57571255855245451"/>
        </c:manualLayout>
      </c:layout>
      <c:barChart>
        <c:barDir val="col"/>
        <c:grouping val="clustered"/>
        <c:ser>
          <c:idx val="0"/>
          <c:order val="0"/>
          <c:tx>
            <c:strRef>
              <c:f>'Switching and Reversal Assays'!$H$3</c:f>
              <c:strCache>
                <c:ptCount val="1"/>
                <c:pt idx="0">
                  <c:v>reversal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ysClr val="windowText" lastClr="000000"/>
              </a:solidFill>
            </a:ln>
          </c:spPr>
          <c:dPt>
            <c:idx val="19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20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21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22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23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Lbls>
            <c:dLbl>
              <c:idx val="0"/>
              <c:layout>
                <c:manualLayout>
                  <c:x val="2.6218645751206614E-3"/>
                  <c:y val="-8.88515314895727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1"/>
              <c:layout>
                <c:manualLayout>
                  <c:x val="0"/>
                  <c:y val="-0.1149708497941945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2"/>
              <c:layout>
                <c:manualLayout>
                  <c:x val="2.621880666670337E-3"/>
                  <c:y val="-9.019468857940846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3"/>
              <c:layout>
                <c:manualLayout>
                  <c:x val="0"/>
                  <c:y val="-7.615845556249067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4"/>
              <c:layout>
                <c:manualLayout>
                  <c:x val="2.6218645751206614E-3"/>
                  <c:y val="-5.07723037083271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5"/>
              <c:layout>
                <c:manualLayout>
                  <c:x val="-1.7727387874714906E-7"/>
                  <c:y val="-6.29194769714787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6"/>
              <c:layout>
                <c:manualLayout>
                  <c:x val="-2.2513782600887895E-3"/>
                  <c:y val="-0.1570849551999504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7"/>
              <c:layout>
                <c:manualLayout>
                  <c:x val="2.621880666670337E-3"/>
                  <c:y val="-6.163523713529950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8"/>
              <c:layout>
                <c:manualLayout>
                  <c:x val="0"/>
                  <c:y val="-5.504248304936636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9"/>
              <c:layout>
                <c:manualLayout>
                  <c:x val="-2.6218645751206614E-3"/>
                  <c:y val="-0.1174109523255064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0"/>
              <c:layout>
                <c:manualLayout>
                  <c:x val="0"/>
                  <c:y val="-7.188271618642730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11"/>
              <c:layout>
                <c:manualLayout>
                  <c:x val="0"/>
                  <c:y val="-0.1263207204821621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12"/>
              <c:layout>
                <c:manualLayout>
                  <c:x val="2.621880666670337E-3"/>
                  <c:y val="-0.12339359014362576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13"/>
              <c:layout>
                <c:manualLayout>
                  <c:x val="2.2513782600887895E-3"/>
                  <c:y val="-0.1197334157873301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14"/>
              <c:layout>
                <c:manualLayout>
                  <c:x val="0"/>
                  <c:y val="-8.250499352603191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5"/>
              <c:layout>
                <c:manualLayout>
                  <c:x val="6.7541347802663734E-3"/>
                  <c:y val="-8.885151458761651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16"/>
              <c:layout>
                <c:manualLayout>
                  <c:x val="0"/>
                  <c:y val="-9.056403619848885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17"/>
              <c:layout>
                <c:manualLayout>
                  <c:x val="0"/>
                  <c:y val="-7.506152766211841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18"/>
              <c:layout>
                <c:manualLayout>
                  <c:x val="0"/>
                  <c:y val="-9.0681702680414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cd</a:t>
                    </a:r>
                  </a:p>
                </c:rich>
              </c:tx>
              <c:dLblPos val="outEnd"/>
              <c:showVal val="1"/>
            </c:dLbl>
            <c:dLbl>
              <c:idx val="19"/>
              <c:layout>
                <c:manualLayout>
                  <c:x val="-2.6218645751206614E-3"/>
                  <c:y val="-5.711884167186794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20"/>
              <c:layout>
                <c:manualLayout>
                  <c:x val="0"/>
                  <c:y val="-5.126464221114490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21"/>
              <c:layout>
                <c:manualLayout>
                  <c:x val="0"/>
                  <c:y val="-6.151757065337391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</a:t>
                    </a:r>
                  </a:p>
                </c:rich>
              </c:tx>
              <c:dLblPos val="outEnd"/>
              <c:showVal val="1"/>
            </c:dLbl>
            <c:dLbl>
              <c:idx val="22"/>
              <c:layout>
                <c:manualLayout>
                  <c:x val="0"/>
                  <c:y val="-0.10509251653284711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23"/>
              <c:layout>
                <c:manualLayout>
                  <c:x val="0"/>
                  <c:y val="-6.151757065337391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cd</a:t>
                    </a:r>
                  </a:p>
                </c:rich>
              </c:tx>
              <c:dLblPos val="outEnd"/>
              <c:showVal val="1"/>
            </c:dLbl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dLblPos val="outEnd"/>
            <c:showVal val="1"/>
          </c:dLbls>
          <c:errBars>
            <c:errBarType val="both"/>
            <c:errValType val="cust"/>
            <c:plus>
              <c:numRef>
                <c:f>'Switching and Reversal Assays'!$I$106:$I$129</c:f>
                <c:numCache>
                  <c:formatCode>General</c:formatCode>
                  <c:ptCount val="24"/>
                  <c:pt idx="0">
                    <c:v>17.888539999999999</c:v>
                  </c:pt>
                  <c:pt idx="1">
                    <c:v>20.655909999999999</c:v>
                  </c:pt>
                  <c:pt idx="2">
                    <c:v>16.7332</c:v>
                  </c:pt>
                  <c:pt idx="3">
                    <c:v>15.05545</c:v>
                  </c:pt>
                  <c:pt idx="5">
                    <c:v>12.64911</c:v>
                  </c:pt>
                  <c:pt idx="6">
                    <c:v>27.325199999999999</c:v>
                  </c:pt>
                  <c:pt idx="7">
                    <c:v>12.64911</c:v>
                  </c:pt>
                  <c:pt idx="8">
                    <c:v>12.64911</c:v>
                  </c:pt>
                  <c:pt idx="10">
                    <c:v>15.05545</c:v>
                  </c:pt>
                  <c:pt idx="11">
                    <c:v>23.3809</c:v>
                  </c:pt>
                  <c:pt idx="12">
                    <c:v>23.3809</c:v>
                  </c:pt>
                  <c:pt idx="13">
                    <c:v>23.3809</c:v>
                  </c:pt>
                  <c:pt idx="15">
                    <c:v>17.888539999999999</c:v>
                  </c:pt>
                  <c:pt idx="16">
                    <c:v>15.05545</c:v>
                  </c:pt>
                  <c:pt idx="17">
                    <c:v>16.329930000000001</c:v>
                  </c:pt>
                  <c:pt idx="18">
                    <c:v>16.7332</c:v>
                  </c:pt>
                  <c:pt idx="20">
                    <c:v>10.327959999999999</c:v>
                  </c:pt>
                  <c:pt idx="21">
                    <c:v>12.64911</c:v>
                  </c:pt>
                  <c:pt idx="22">
                    <c:v>19.66384</c:v>
                  </c:pt>
                  <c:pt idx="23">
                    <c:v>10.95445</c:v>
                  </c:pt>
                </c:numCache>
              </c:numRef>
            </c:plus>
            <c:minus>
              <c:numRef>
                <c:f>'Switching and Reversal Assays'!$I$106:$I$129</c:f>
                <c:numCache>
                  <c:formatCode>General</c:formatCode>
                  <c:ptCount val="24"/>
                  <c:pt idx="0">
                    <c:v>17.888539999999999</c:v>
                  </c:pt>
                  <c:pt idx="1">
                    <c:v>20.655909999999999</c:v>
                  </c:pt>
                  <c:pt idx="2">
                    <c:v>16.7332</c:v>
                  </c:pt>
                  <c:pt idx="3">
                    <c:v>15.05545</c:v>
                  </c:pt>
                  <c:pt idx="5">
                    <c:v>12.64911</c:v>
                  </c:pt>
                  <c:pt idx="6">
                    <c:v>27.325199999999999</c:v>
                  </c:pt>
                  <c:pt idx="7">
                    <c:v>12.64911</c:v>
                  </c:pt>
                  <c:pt idx="8">
                    <c:v>12.64911</c:v>
                  </c:pt>
                  <c:pt idx="10">
                    <c:v>15.05545</c:v>
                  </c:pt>
                  <c:pt idx="11">
                    <c:v>23.3809</c:v>
                  </c:pt>
                  <c:pt idx="12">
                    <c:v>23.3809</c:v>
                  </c:pt>
                  <c:pt idx="13">
                    <c:v>23.3809</c:v>
                  </c:pt>
                  <c:pt idx="15">
                    <c:v>17.888539999999999</c:v>
                  </c:pt>
                  <c:pt idx="16">
                    <c:v>15.05545</c:v>
                  </c:pt>
                  <c:pt idx="17">
                    <c:v>16.329930000000001</c:v>
                  </c:pt>
                  <c:pt idx="18">
                    <c:v>16.7332</c:v>
                  </c:pt>
                  <c:pt idx="20">
                    <c:v>10.327959999999999</c:v>
                  </c:pt>
                  <c:pt idx="21">
                    <c:v>12.64911</c:v>
                  </c:pt>
                  <c:pt idx="22">
                    <c:v>19.66384</c:v>
                  </c:pt>
                  <c:pt idx="23">
                    <c:v>10.95445</c:v>
                  </c:pt>
                </c:numCache>
              </c:numRef>
            </c:minus>
            <c:spPr>
              <a:noFill/>
              <a:ln w="9525" cap="flat" cmpd="sng" algn="ctr">
                <a:solidFill>
                  <a:sysClr val="windowText" lastClr="000000"/>
                </a:solidFill>
                <a:prstDash val="solid"/>
              </a:ln>
              <a:effectLst/>
            </c:spPr>
          </c:errBars>
          <c:cat>
            <c:multiLvlStrRef>
              <c:f>'Switching and Reversal Assays'!$D$106:$E$129</c:f>
              <c:multiLvlStrCache>
                <c:ptCount val="24"/>
                <c:lvl>
                  <c:pt idx="0">
                    <c:v>Cypermethrin</c:v>
                  </c:pt>
                  <c:pt idx="1">
                    <c:v>Chlorpyrifos</c:v>
                  </c:pt>
                  <c:pt idx="2">
                    <c:v>Lufenuron</c:v>
                  </c:pt>
                  <c:pt idx="3">
                    <c:v>Emamectin</c:v>
                  </c:pt>
                  <c:pt idx="5">
                    <c:v>Cypermethrin</c:v>
                  </c:pt>
                  <c:pt idx="6">
                    <c:v>Chlorpyrifos</c:v>
                  </c:pt>
                  <c:pt idx="7">
                    <c:v>Lufenuron</c:v>
                  </c:pt>
                  <c:pt idx="8">
                    <c:v>Emamectin</c:v>
                  </c:pt>
                  <c:pt idx="10">
                    <c:v>Cypermethrin</c:v>
                  </c:pt>
                  <c:pt idx="11">
                    <c:v>Chlorpyrifos</c:v>
                  </c:pt>
                  <c:pt idx="12">
                    <c:v>Lufenuron</c:v>
                  </c:pt>
                  <c:pt idx="13">
                    <c:v>Emamectin</c:v>
                  </c:pt>
                  <c:pt idx="15">
                    <c:v>Cypermethrin</c:v>
                  </c:pt>
                  <c:pt idx="16">
                    <c:v>Chlorpyrifos</c:v>
                  </c:pt>
                  <c:pt idx="17">
                    <c:v>Lufenuron</c:v>
                  </c:pt>
                  <c:pt idx="18">
                    <c:v>Emamectin</c:v>
                  </c:pt>
                  <c:pt idx="20">
                    <c:v>Cypermethrin</c:v>
                  </c:pt>
                  <c:pt idx="21">
                    <c:v>Chlorpyrifos</c:v>
                  </c:pt>
                  <c:pt idx="22">
                    <c:v>Lufenuron</c:v>
                  </c:pt>
                  <c:pt idx="23">
                    <c:v>Emamectin</c:v>
                  </c:pt>
                </c:lvl>
                <c:lvl>
                  <c:pt idx="0">
                    <c:v>Castor</c:v>
                  </c:pt>
                  <c:pt idx="5">
                    <c:v>Cauliflower</c:v>
                  </c:pt>
                  <c:pt idx="10">
                    <c:v>Cotton</c:v>
                  </c:pt>
                  <c:pt idx="15">
                    <c:v>Okra</c:v>
                  </c:pt>
                  <c:pt idx="20">
                    <c:v>Spinach</c:v>
                  </c:pt>
                </c:lvl>
              </c:multiLvlStrCache>
            </c:multiLvlStrRef>
          </c:cat>
          <c:val>
            <c:numRef>
              <c:f>'Switching and Reversal Assays'!$H$106:$H$129</c:f>
              <c:numCache>
                <c:formatCode>0.0</c:formatCode>
                <c:ptCount val="24"/>
                <c:pt idx="0">
                  <c:v>60</c:v>
                </c:pt>
                <c:pt idx="1">
                  <c:v>66.666669999999996</c:v>
                </c:pt>
                <c:pt idx="2">
                  <c:v>70</c:v>
                </c:pt>
                <c:pt idx="3">
                  <c:v>56.666670000000003</c:v>
                </c:pt>
                <c:pt idx="5">
                  <c:v>80</c:v>
                </c:pt>
                <c:pt idx="6">
                  <c:v>66.666669999999996</c:v>
                </c:pt>
                <c:pt idx="7">
                  <c:v>80</c:v>
                </c:pt>
                <c:pt idx="8">
                  <c:v>60</c:v>
                </c:pt>
                <c:pt idx="10">
                  <c:v>56.666670000000003</c:v>
                </c:pt>
                <c:pt idx="11">
                  <c:v>56.666670000000003</c:v>
                </c:pt>
                <c:pt idx="12">
                  <c:v>63.333329999999997</c:v>
                </c:pt>
                <c:pt idx="13">
                  <c:v>63.333329999999997</c:v>
                </c:pt>
                <c:pt idx="15">
                  <c:v>60</c:v>
                </c:pt>
                <c:pt idx="16">
                  <c:v>63.333329999999997</c:v>
                </c:pt>
                <c:pt idx="17">
                  <c:v>73.333330000000004</c:v>
                </c:pt>
                <c:pt idx="18">
                  <c:v>50</c:v>
                </c:pt>
                <c:pt idx="20">
                  <c:v>66.666669999999996</c:v>
                </c:pt>
                <c:pt idx="21">
                  <c:v>40</c:v>
                </c:pt>
                <c:pt idx="22">
                  <c:v>56.666670000000003</c:v>
                </c:pt>
                <c:pt idx="23">
                  <c:v>50</c:v>
                </c:pt>
              </c:numCache>
            </c:numRef>
          </c:val>
        </c:ser>
        <c:dLbls>
          <c:showVal val="1"/>
        </c:dLbls>
        <c:gapWidth val="40"/>
        <c:axId val="150108800"/>
        <c:axId val="149692800"/>
      </c:barChart>
      <c:catAx>
        <c:axId val="150108800"/>
        <c:scaling>
          <c:orientation val="minMax"/>
        </c:scaling>
        <c:axPos val="b"/>
        <c:maj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49692800"/>
        <c:crosses val="autoZero"/>
        <c:auto val="1"/>
        <c:lblAlgn val="ctr"/>
        <c:lblOffset val="100"/>
      </c:catAx>
      <c:valAx>
        <c:axId val="149692800"/>
        <c:scaling>
          <c:orientation val="minMax"/>
          <c:max val="10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Larval mortality (%)</a:t>
                </a:r>
              </a:p>
            </c:rich>
          </c:tx>
          <c:layout/>
        </c:title>
        <c:numFmt formatCode="General" sourceLinked="0"/>
        <c:maj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50108800"/>
        <c:crosses val="autoZero"/>
        <c:crossBetween val="between"/>
        <c:majorUnit val="20"/>
      </c:valAx>
      <c:spPr>
        <a:ln>
          <a:noFill/>
        </a:ln>
      </c:spPr>
    </c:plotArea>
    <c:plotVisOnly val="1"/>
    <c:dispBlanksAs val="gap"/>
  </c:chart>
  <c:spPr>
    <a:solidFill>
      <a:sysClr val="window" lastClr="FFFFFF"/>
    </a:solidFill>
    <a:ln>
      <a:noFill/>
    </a:ln>
  </c:spPr>
  <c:txPr>
    <a:bodyPr/>
    <a:lstStyle/>
    <a:p>
      <a:pPr>
        <a:defRPr sz="1100"/>
      </a:pPr>
      <a:endParaRPr lang="en-US"/>
    </a:p>
  </c:tx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style val="1"/>
  <c:chart>
    <c:title>
      <c:tx>
        <c:rich>
          <a:bodyPr/>
          <a:lstStyle/>
          <a:p>
            <a:pPr>
              <a:defRPr sz="1320"/>
            </a:pPr>
            <a:r>
              <a:rPr lang="en-US" sz="1320"/>
              <a:t>(a)</a:t>
            </a:r>
          </a:p>
        </c:rich>
      </c:tx>
      <c:layout>
        <c:manualLayout>
          <c:xMode val="edge"/>
          <c:yMode val="edge"/>
          <c:x val="1.5709506198198521E-3"/>
          <c:y val="5.4506557897517635E-3"/>
        </c:manualLayout>
      </c:layout>
      <c:spPr>
        <a:noFill/>
      </c:spPr>
    </c:title>
    <c:plotArea>
      <c:layout>
        <c:manualLayout>
          <c:layoutTarget val="inner"/>
          <c:xMode val="edge"/>
          <c:yMode val="edge"/>
          <c:x val="0.14111401310615773"/>
          <c:y val="5.3666359731413517E-2"/>
          <c:w val="0.82813676603384312"/>
          <c:h val="0.89266728053717292"/>
        </c:manualLayout>
      </c:layout>
      <c:barChart>
        <c:barDir val="col"/>
        <c:grouping val="clustered"/>
        <c:ser>
          <c:idx val="2"/>
          <c:order val="0"/>
          <c:tx>
            <c:strRef>
              <c:f>'Switching and Reversal Assays'!$H$3</c:f>
              <c:strCache>
                <c:ptCount val="1"/>
                <c:pt idx="0">
                  <c:v>reversal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ysClr val="windowText" lastClr="000000"/>
              </a:solidFill>
            </a:ln>
          </c:spPr>
          <c:dPt>
            <c:idx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2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3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Lbls>
            <c:dLbl>
              <c:idx val="0"/>
              <c:layout>
                <c:manualLayout>
                  <c:x val="0"/>
                  <c:y val="-0.175853129997794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"/>
              <c:layout>
                <c:manualLayout>
                  <c:x val="-2.6165341471097768E-3"/>
                  <c:y val="-0.1695726610693017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2"/>
              <c:layout>
                <c:manualLayout>
                  <c:x val="1.9101178862455169E-3"/>
                  <c:y val="-0.1416833934675643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3"/>
              <c:layout>
                <c:manualLayout>
                  <c:x val="0"/>
                  <c:y val="-6.908515821341923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4"/>
              <c:layout>
                <c:manualLayout>
                  <c:x val="2.6165341471097998E-3"/>
                  <c:y val="-0.1444507853553317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5"/>
              <c:layout>
                <c:manualLayout>
                  <c:x val="0"/>
                  <c:y val="-0.17319121143164709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6"/>
              <c:layout>
                <c:manualLayout>
                  <c:x val="-1.7821588787511831E-7"/>
                  <c:y val="-0.1319958575624549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7"/>
              <c:layout>
                <c:manualLayout>
                  <c:x val="0"/>
                  <c:y val="-6.961832049295933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8"/>
              <c:layout>
                <c:manualLayout>
                  <c:x val="0"/>
                  <c:y val="-0.13380682453476619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9"/>
              <c:layout>
                <c:manualLayout>
                  <c:x val="-2.6165341471097998E-3"/>
                  <c:y val="-0.11304844071286781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0"/>
              <c:layout>
                <c:manualLayout>
                  <c:x val="0"/>
                  <c:y val="-0.18149459331704246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1"/>
              <c:layout>
                <c:manualLayout>
                  <c:x val="3.532238897684835E-4"/>
                  <c:y val="-0.1003816255288896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2"/>
              <c:layout>
                <c:manualLayout>
                  <c:x val="-1.0594934534175749E-3"/>
                  <c:y val="-0.15711767468293639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3"/>
              <c:layout>
                <c:manualLayout>
                  <c:x val="0"/>
                  <c:y val="-0.17808780086072046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4"/>
              <c:layout>
                <c:manualLayout>
                  <c:x val="0"/>
                  <c:y val="-5.652422035643392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5"/>
              <c:layout>
                <c:manualLayout>
                  <c:x val="0"/>
                  <c:y val="-0.14889294667498446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6"/>
              <c:layout>
                <c:manualLayout>
                  <c:x val="7.064477795369682E-4"/>
                  <c:y val="-0.13625357701641166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7"/>
              <c:layout>
                <c:manualLayout>
                  <c:x val="-2.6165656657824812E-3"/>
                  <c:y val="-8.505260170833137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8"/>
              <c:layout>
                <c:manualLayout>
                  <c:x val="-2.6165656657824812E-3"/>
                  <c:y val="-0.2283318206599058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9"/>
              <c:layout>
                <c:manualLayout>
                  <c:x val="0"/>
                  <c:y val="-0.11304844071286781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20"/>
              <c:layout>
                <c:manualLayout>
                  <c:x val="0"/>
                  <c:y val="-8.81386097233157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21"/>
              <c:layout>
                <c:manualLayout>
                  <c:x val="0"/>
                  <c:y val="-0.1322079145849737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22"/>
              <c:layout>
                <c:manualLayout>
                  <c:x val="0"/>
                  <c:y val="-0.1517942723012662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23"/>
              <c:layout>
                <c:manualLayout>
                  <c:x val="0"/>
                  <c:y val="-0.1322079145849737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dLblPos val="outEnd"/>
            <c:showVal val="1"/>
          </c:dLbls>
          <c:errBars>
            <c:errBarType val="both"/>
            <c:errValType val="cust"/>
            <c:plus>
              <c:numRef>
                <c:f>'Switching and Reversal Assays'!$I$6:$I$29</c:f>
                <c:numCache>
                  <c:formatCode>General</c:formatCode>
                  <c:ptCount val="24"/>
                  <c:pt idx="0">
                    <c:v>20.976179999999999</c:v>
                  </c:pt>
                  <c:pt idx="1">
                    <c:v>20.655909999999999</c:v>
                  </c:pt>
                  <c:pt idx="2">
                    <c:v>17.888539999999999</c:v>
                  </c:pt>
                  <c:pt idx="3">
                    <c:v>10.95445</c:v>
                  </c:pt>
                  <c:pt idx="5">
                    <c:v>20.655909999999999</c:v>
                  </c:pt>
                  <c:pt idx="6">
                    <c:v>16.329930000000001</c:v>
                  </c:pt>
                  <c:pt idx="7">
                    <c:v>10.327959999999999</c:v>
                  </c:pt>
                  <c:pt idx="8">
                    <c:v>16.329930000000001</c:v>
                  </c:pt>
                  <c:pt idx="10">
                    <c:v>23.3809</c:v>
                  </c:pt>
                  <c:pt idx="11">
                    <c:v>12.64911</c:v>
                  </c:pt>
                  <c:pt idx="12">
                    <c:v>19.66384</c:v>
                  </c:pt>
                  <c:pt idx="13">
                    <c:v>20.655909999999999</c:v>
                  </c:pt>
                  <c:pt idx="15">
                    <c:v>19.66384</c:v>
                  </c:pt>
                  <c:pt idx="16">
                    <c:v>16.329930000000001</c:v>
                  </c:pt>
                  <c:pt idx="17">
                    <c:v>10.327959999999999</c:v>
                  </c:pt>
                  <c:pt idx="18">
                    <c:v>27.568100000000001</c:v>
                  </c:pt>
                  <c:pt idx="20">
                    <c:v>10.95445</c:v>
                  </c:pt>
                  <c:pt idx="21">
                    <c:v>16.329930000000001</c:v>
                  </c:pt>
                  <c:pt idx="22">
                    <c:v>19.66384</c:v>
                  </c:pt>
                  <c:pt idx="23">
                    <c:v>16.7332</c:v>
                  </c:pt>
                </c:numCache>
              </c:numRef>
            </c:plus>
            <c:minus>
              <c:numRef>
                <c:f>'Switching and Reversal Assays'!$I$6:$I$29</c:f>
                <c:numCache>
                  <c:formatCode>General</c:formatCode>
                  <c:ptCount val="24"/>
                  <c:pt idx="0">
                    <c:v>20.976179999999999</c:v>
                  </c:pt>
                  <c:pt idx="1">
                    <c:v>20.655909999999999</c:v>
                  </c:pt>
                  <c:pt idx="2">
                    <c:v>17.888539999999999</c:v>
                  </c:pt>
                  <c:pt idx="3">
                    <c:v>10.95445</c:v>
                  </c:pt>
                  <c:pt idx="5">
                    <c:v>20.655909999999999</c:v>
                  </c:pt>
                  <c:pt idx="6">
                    <c:v>16.329930000000001</c:v>
                  </c:pt>
                  <c:pt idx="7">
                    <c:v>10.327959999999999</c:v>
                  </c:pt>
                  <c:pt idx="8">
                    <c:v>16.329930000000001</c:v>
                  </c:pt>
                  <c:pt idx="10">
                    <c:v>23.3809</c:v>
                  </c:pt>
                  <c:pt idx="11">
                    <c:v>12.64911</c:v>
                  </c:pt>
                  <c:pt idx="12">
                    <c:v>19.66384</c:v>
                  </c:pt>
                  <c:pt idx="13">
                    <c:v>20.655909999999999</c:v>
                  </c:pt>
                  <c:pt idx="15">
                    <c:v>19.66384</c:v>
                  </c:pt>
                  <c:pt idx="16">
                    <c:v>16.329930000000001</c:v>
                  </c:pt>
                  <c:pt idx="17">
                    <c:v>10.327959999999999</c:v>
                  </c:pt>
                  <c:pt idx="18">
                    <c:v>27.568100000000001</c:v>
                  </c:pt>
                  <c:pt idx="20">
                    <c:v>10.95445</c:v>
                  </c:pt>
                  <c:pt idx="21">
                    <c:v>16.329930000000001</c:v>
                  </c:pt>
                  <c:pt idx="22">
                    <c:v>19.66384</c:v>
                  </c:pt>
                  <c:pt idx="23">
                    <c:v>16.7332</c:v>
                  </c:pt>
                </c:numCache>
              </c:numRef>
            </c:minus>
            <c:spPr>
              <a:ln>
                <a:solidFill>
                  <a:sysClr val="windowText" lastClr="000000"/>
                </a:solidFill>
              </a:ln>
            </c:spPr>
          </c:errBars>
          <c:cat>
            <c:multiLvlStrRef>
              <c:f>'Switching and Reversal Assays'!$D$6:$E$29</c:f>
              <c:multiLvlStrCache>
                <c:ptCount val="24"/>
                <c:lvl>
                  <c:pt idx="0">
                    <c:v>Cypermethrin</c:v>
                  </c:pt>
                  <c:pt idx="1">
                    <c:v>Chlorpyrifos</c:v>
                  </c:pt>
                  <c:pt idx="2">
                    <c:v>Lufenuron</c:v>
                  </c:pt>
                  <c:pt idx="3">
                    <c:v>Emamectin</c:v>
                  </c:pt>
                  <c:pt idx="5">
                    <c:v>Cypermethrin</c:v>
                  </c:pt>
                  <c:pt idx="6">
                    <c:v>Chlorpyrifos</c:v>
                  </c:pt>
                  <c:pt idx="7">
                    <c:v>Lufenuron</c:v>
                  </c:pt>
                  <c:pt idx="8">
                    <c:v>Emamectin</c:v>
                  </c:pt>
                  <c:pt idx="10">
                    <c:v>Cypermethrin</c:v>
                  </c:pt>
                  <c:pt idx="11">
                    <c:v>Chlorpyrifos</c:v>
                  </c:pt>
                  <c:pt idx="12">
                    <c:v>Lufenuron</c:v>
                  </c:pt>
                  <c:pt idx="13">
                    <c:v>Emamectin</c:v>
                  </c:pt>
                  <c:pt idx="15">
                    <c:v>Cypermethrin</c:v>
                  </c:pt>
                  <c:pt idx="16">
                    <c:v>Chlorpyrifos</c:v>
                  </c:pt>
                  <c:pt idx="17">
                    <c:v>Lufenuron</c:v>
                  </c:pt>
                  <c:pt idx="18">
                    <c:v>Emamectin</c:v>
                  </c:pt>
                  <c:pt idx="20">
                    <c:v>Cypermethrin</c:v>
                  </c:pt>
                  <c:pt idx="21">
                    <c:v>Chlorpyrifos</c:v>
                  </c:pt>
                  <c:pt idx="22">
                    <c:v>Lufenuron</c:v>
                  </c:pt>
                  <c:pt idx="23">
                    <c:v>Emamectin</c:v>
                  </c:pt>
                </c:lvl>
                <c:lvl>
                  <c:pt idx="0">
                    <c:v>Castor</c:v>
                  </c:pt>
                  <c:pt idx="5">
                    <c:v>Cauliflower</c:v>
                  </c:pt>
                  <c:pt idx="10">
                    <c:v>Cotton</c:v>
                  </c:pt>
                  <c:pt idx="15">
                    <c:v>Okra</c:v>
                  </c:pt>
                  <c:pt idx="20">
                    <c:v>Spinach</c:v>
                  </c:pt>
                </c:lvl>
              </c:multiLvlStrCache>
            </c:multiLvlStrRef>
          </c:cat>
          <c:val>
            <c:numRef>
              <c:f>'Switching and Reversal Assays'!$H$6:$H$29</c:f>
              <c:numCache>
                <c:formatCode>0.0</c:formatCode>
                <c:ptCount val="24"/>
                <c:pt idx="0">
                  <c:v>70</c:v>
                </c:pt>
                <c:pt idx="1">
                  <c:v>53.333329999999997</c:v>
                </c:pt>
                <c:pt idx="2">
                  <c:v>60</c:v>
                </c:pt>
                <c:pt idx="3">
                  <c:v>70</c:v>
                </c:pt>
                <c:pt idx="5">
                  <c:v>73.333330000000004</c:v>
                </c:pt>
                <c:pt idx="6">
                  <c:v>73.333330000000004</c:v>
                </c:pt>
                <c:pt idx="7">
                  <c:v>66.666669999999996</c:v>
                </c:pt>
                <c:pt idx="8">
                  <c:v>66.666669999999996</c:v>
                </c:pt>
                <c:pt idx="10">
                  <c:v>63.333329999999997</c:v>
                </c:pt>
                <c:pt idx="11">
                  <c:v>60</c:v>
                </c:pt>
                <c:pt idx="12">
                  <c:v>63.333329999999997</c:v>
                </c:pt>
                <c:pt idx="13">
                  <c:v>73.333330000000004</c:v>
                </c:pt>
                <c:pt idx="15">
                  <c:v>76.666669999999996</c:v>
                </c:pt>
                <c:pt idx="16">
                  <c:v>73.333330000000004</c:v>
                </c:pt>
                <c:pt idx="17">
                  <c:v>66.666669999999996</c:v>
                </c:pt>
                <c:pt idx="18">
                  <c:v>50</c:v>
                </c:pt>
                <c:pt idx="20">
                  <c:v>70</c:v>
                </c:pt>
                <c:pt idx="21">
                  <c:v>53.333329999999997</c:v>
                </c:pt>
                <c:pt idx="22">
                  <c:v>63.333329999999997</c:v>
                </c:pt>
                <c:pt idx="23">
                  <c:v>70</c:v>
                </c:pt>
              </c:numCache>
            </c:numRef>
          </c:val>
        </c:ser>
        <c:dLbls>
          <c:showVal val="1"/>
        </c:dLbls>
        <c:gapWidth val="40"/>
        <c:axId val="150211200"/>
        <c:axId val="150217088"/>
      </c:barChart>
      <c:catAx>
        <c:axId val="150211200"/>
        <c:scaling>
          <c:orientation val="minMax"/>
        </c:scaling>
        <c:axPos val="b"/>
        <c:majorTickMark val="none"/>
        <c:tickLblPos val="none"/>
        <c:crossAx val="150217088"/>
        <c:crosses val="autoZero"/>
        <c:auto val="1"/>
        <c:lblAlgn val="ctr"/>
        <c:lblOffset val="100"/>
      </c:catAx>
      <c:valAx>
        <c:axId val="150217088"/>
        <c:scaling>
          <c:orientation val="minMax"/>
          <c:max val="10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Larval mortality (%)</a:t>
                </a:r>
              </a:p>
            </c:rich>
          </c:tx>
          <c:layout/>
        </c:title>
        <c:numFmt formatCode="General" sourceLinked="0"/>
        <c:maj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50211200"/>
        <c:crosses val="autoZero"/>
        <c:crossBetween val="between"/>
        <c:majorUnit val="20"/>
      </c:valAx>
    </c:plotArea>
    <c:plotVisOnly val="1"/>
    <c:dispBlanksAs val="gap"/>
  </c:chart>
  <c:spPr>
    <a:ln>
      <a:noFill/>
    </a:ln>
  </c:spPr>
  <c:printSettings>
    <c:headerFooter/>
    <c:pageMargins b="0.75000000000000266" l="0.70000000000000062" r="0.70000000000000062" t="0.75000000000000266" header="0.30000000000000032" footer="0.30000000000000032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/>
          <a:lstStyle/>
          <a:p>
            <a:pPr>
              <a:defRPr/>
            </a:pPr>
            <a:r>
              <a:rPr lang="en-US"/>
              <a:t>(b)</a:t>
            </a:r>
          </a:p>
        </c:rich>
      </c:tx>
      <c:layout>
        <c:manualLayout>
          <c:xMode val="edge"/>
          <c:yMode val="edge"/>
          <c:x val="1.5709506198198586E-3"/>
          <c:y val="5.4506557897516933E-3"/>
        </c:manualLayout>
      </c:layout>
      <c:spPr>
        <a:noFill/>
        <a:ln>
          <a:noFill/>
        </a:ln>
      </c:spPr>
    </c:title>
    <c:plotArea>
      <c:layout>
        <c:manualLayout>
          <c:layoutTarget val="inner"/>
          <c:xMode val="edge"/>
          <c:yMode val="edge"/>
          <c:x val="0.1411140132578364"/>
          <c:y val="5.3666359731413517E-2"/>
          <c:w val="0.82813676603384312"/>
          <c:h val="0.89266728053717292"/>
        </c:manualLayout>
      </c:layout>
      <c:barChart>
        <c:barDir val="col"/>
        <c:grouping val="clustered"/>
        <c:ser>
          <c:idx val="0"/>
          <c:order val="0"/>
          <c:tx>
            <c:strRef>
              <c:f>'Switching and Reversal Assays'!$H$3</c:f>
              <c:strCache>
                <c:ptCount val="1"/>
                <c:pt idx="0">
                  <c:v>reversal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ysClr val="windowText" lastClr="000000"/>
              </a:solidFill>
            </a:ln>
          </c:spPr>
          <c:dPt>
            <c:idx val="4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5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6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7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8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Lbls>
            <c:dLbl>
              <c:idx val="0"/>
              <c:layout>
                <c:manualLayout>
                  <c:x val="2.6142488592401018E-3"/>
                  <c:y val="-0.11304844071286781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abc</a:t>
                    </a:r>
                  </a:p>
                </c:rich>
              </c:tx>
              <c:dLblPos val="outEnd"/>
              <c:showVal val="1"/>
            </c:dLbl>
            <c:dLbl>
              <c:idx val="1"/>
              <c:layout>
                <c:manualLayout>
                  <c:x val="0"/>
                  <c:y val="-7.5365627141912139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2"/>
              <c:layout>
                <c:manualLayout>
                  <c:x val="0"/>
                  <c:y val="7.0232456474372314E-3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3"/>
              <c:layout>
                <c:manualLayout>
                  <c:x val="4.5027565201775791E-3"/>
                  <c:y val="-5.3230728770917377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abc</a:t>
                    </a:r>
                  </a:p>
                </c:rich>
              </c:tx>
              <c:dLblPos val="outEnd"/>
              <c:showVal val="1"/>
            </c:dLbl>
            <c:dLbl>
              <c:idx val="4"/>
              <c:layout>
                <c:manualLayout>
                  <c:x val="0"/>
                  <c:y val="-0.1507312542838242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5"/>
              <c:layout>
                <c:manualLayout>
                  <c:x val="2.2512009862100451E-3"/>
                  <c:y val="-0.17845678698969941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cd</a:t>
                    </a:r>
                  </a:p>
                </c:rich>
              </c:tx>
              <c:dLblPos val="outEnd"/>
              <c:showVal val="1"/>
            </c:dLbl>
            <c:dLbl>
              <c:idx val="6"/>
              <c:layout>
                <c:manualLayout>
                  <c:x val="-2.6143037409245258E-3"/>
                  <c:y val="-5.6524220356433924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bcd</a:t>
                    </a:r>
                  </a:p>
                </c:rich>
              </c:tx>
              <c:dLblPos val="outEnd"/>
              <c:showVal val="1"/>
            </c:dLbl>
            <c:dLbl>
              <c:idx val="7"/>
              <c:layout>
                <c:manualLayout>
                  <c:x val="2.6142578898842028E-3"/>
                  <c:y val="-9.0913895225500627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bcd</a:t>
                    </a:r>
                  </a:p>
                </c:rich>
              </c:tx>
              <c:dLblPos val="outEnd"/>
              <c:showVal val="1"/>
            </c:dLbl>
            <c:dLbl>
              <c:idx val="8"/>
              <c:layout>
                <c:manualLayout>
                  <c:x val="2.6142578898842028E-3"/>
                  <c:y val="-0.18343610157036139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bcd</a:t>
                    </a:r>
                  </a:p>
                </c:rich>
              </c:tx>
              <c:dLblPos val="outEnd"/>
              <c:showVal val="1"/>
            </c:dLbl>
            <c:dLbl>
              <c:idx val="9"/>
              <c:layout>
                <c:manualLayout>
                  <c:x val="0"/>
                  <c:y val="2.5121875713970693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0"/>
              <c:layout>
                <c:manualLayout>
                  <c:x val="0"/>
                  <c:y val="-0.16359832252942225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d</a:t>
                    </a:r>
                  </a:p>
                </c:rich>
              </c:tx>
              <c:dLblPos val="outEnd"/>
              <c:showVal val="1"/>
            </c:dLbl>
            <c:dLbl>
              <c:idx val="11"/>
              <c:layout>
                <c:manualLayout>
                  <c:x val="2.6142578898842028E-3"/>
                  <c:y val="1.5393597215645202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cd</a:t>
                    </a:r>
                  </a:p>
                </c:rich>
              </c:tx>
              <c:dLblPos val="outEnd"/>
              <c:showVal val="1"/>
            </c:dLbl>
            <c:dLbl>
              <c:idx val="12"/>
              <c:layout>
                <c:manualLayout>
                  <c:x val="-2.2513782600887895E-3"/>
                  <c:y val="-0.13947199125145329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cd</a:t>
                    </a:r>
                  </a:p>
                </c:rich>
              </c:tx>
              <c:dLblPos val="outEnd"/>
              <c:showVal val="1"/>
            </c:dLbl>
            <c:dLbl>
              <c:idx val="13"/>
              <c:layout>
                <c:manualLayout>
                  <c:x val="3.5082500604060815E-4"/>
                  <c:y val="-0.16091724916796477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bcd</a:t>
                    </a:r>
                  </a:p>
                </c:rich>
              </c:tx>
              <c:dLblPos val="outEnd"/>
              <c:showVal val="1"/>
            </c:dLbl>
            <c:dLbl>
              <c:idx val="14"/>
              <c:layout>
                <c:manualLayout>
                  <c:x val="-1.7821588787511865E-7"/>
                  <c:y val="2.5864652432915195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5"/>
              <c:layout>
                <c:manualLayout>
                  <c:x val="0"/>
                  <c:y val="-0.12821298117214913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abc</a:t>
                    </a:r>
                  </a:p>
                </c:rich>
              </c:tx>
              <c:dLblPos val="outEnd"/>
              <c:showVal val="1"/>
            </c:dLbl>
            <c:dLbl>
              <c:idx val="16"/>
              <c:layout>
                <c:manualLayout>
                  <c:x val="-2.2632556099648478E-3"/>
                  <c:y val="-9.4320685169665547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17"/>
              <c:layout>
                <c:manualLayout>
                  <c:x val="0"/>
                  <c:y val="9.1904681454529104E-3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18"/>
              <c:layout>
                <c:manualLayout>
                  <c:x val="0"/>
                  <c:y val="-0.10079346122701049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abc</a:t>
                    </a:r>
                  </a:p>
                </c:rich>
              </c:tx>
              <c:dLblPos val="outEnd"/>
              <c:showVal val="1"/>
            </c:dLbl>
            <c:dLbl>
              <c:idx val="19"/>
              <c:layout>
                <c:manualLayout>
                  <c:x val="0"/>
                  <c:y val="-0.1632921921408096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20"/>
              <c:layout>
                <c:manualLayout>
                  <c:x val="0"/>
                  <c:y val="-0.1585424415203102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cd</a:t>
                    </a:r>
                  </a:p>
                </c:rich>
              </c:tx>
              <c:dLblPos val="outEnd"/>
              <c:showVal val="1"/>
            </c:dLbl>
            <c:dLbl>
              <c:idx val="21"/>
              <c:layout>
                <c:manualLayout>
                  <c:x val="0"/>
                  <c:y val="-0.10041021296286275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22"/>
              <c:layout>
                <c:manualLayout>
                  <c:x val="0"/>
                  <c:y val="-4.756314857798665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23"/>
              <c:layout>
                <c:manualLayout>
                  <c:x val="0"/>
                  <c:y val="-0.147972945418955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bcd</a:t>
                    </a:r>
                  </a:p>
                </c:rich>
              </c:tx>
              <c:dLblPos val="outEnd"/>
              <c:showVal val="1"/>
            </c:dLbl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dLblPos val="outEnd"/>
            <c:showVal val="1"/>
          </c:dLbls>
          <c:errBars>
            <c:errBarType val="both"/>
            <c:errValType val="cust"/>
            <c:plus>
              <c:numRef>
                <c:f>'Switching and Reversal Assays'!$I$31:$I$54</c:f>
                <c:numCache>
                  <c:formatCode>General</c:formatCode>
                  <c:ptCount val="24"/>
                  <c:pt idx="0">
                    <c:v>16.733201000000001</c:v>
                  </c:pt>
                  <c:pt idx="1">
                    <c:v>12.649111</c:v>
                  </c:pt>
                  <c:pt idx="2">
                    <c:v>0</c:v>
                  </c:pt>
                  <c:pt idx="3">
                    <c:v>10.954451000000001</c:v>
                  </c:pt>
                  <c:pt idx="5">
                    <c:v>19.663841999999999</c:v>
                  </c:pt>
                  <c:pt idx="6">
                    <c:v>15.055453</c:v>
                  </c:pt>
                  <c:pt idx="7">
                    <c:v>10.327956</c:v>
                  </c:pt>
                  <c:pt idx="8">
                    <c:v>15.055453</c:v>
                  </c:pt>
                  <c:pt idx="10">
                    <c:v>20.655911</c:v>
                  </c:pt>
                  <c:pt idx="11">
                    <c:v>0</c:v>
                  </c:pt>
                  <c:pt idx="12">
                    <c:v>17.888544</c:v>
                  </c:pt>
                  <c:pt idx="13">
                    <c:v>20.655911</c:v>
                  </c:pt>
                  <c:pt idx="15">
                    <c:v>16.733201000000001</c:v>
                  </c:pt>
                  <c:pt idx="16">
                    <c:v>12.649111</c:v>
                  </c:pt>
                  <c:pt idx="17">
                    <c:v>0</c:v>
                  </c:pt>
                  <c:pt idx="18">
                    <c:v>10.327956</c:v>
                  </c:pt>
                  <c:pt idx="20">
                    <c:v>19.663841999999999</c:v>
                  </c:pt>
                  <c:pt idx="21">
                    <c:v>12.649111</c:v>
                  </c:pt>
                  <c:pt idx="22">
                    <c:v>8.1649659999999997</c:v>
                  </c:pt>
                  <c:pt idx="23">
                    <c:v>20.655911</c:v>
                  </c:pt>
                </c:numCache>
              </c:numRef>
            </c:plus>
            <c:minus>
              <c:numRef>
                <c:f>'Switching and Reversal Assays'!$I$31:$I$54</c:f>
                <c:numCache>
                  <c:formatCode>General</c:formatCode>
                  <c:ptCount val="24"/>
                  <c:pt idx="0">
                    <c:v>16.733201000000001</c:v>
                  </c:pt>
                  <c:pt idx="1">
                    <c:v>12.649111</c:v>
                  </c:pt>
                  <c:pt idx="2">
                    <c:v>0</c:v>
                  </c:pt>
                  <c:pt idx="3">
                    <c:v>10.954451000000001</c:v>
                  </c:pt>
                  <c:pt idx="5">
                    <c:v>19.663841999999999</c:v>
                  </c:pt>
                  <c:pt idx="6">
                    <c:v>15.055453</c:v>
                  </c:pt>
                  <c:pt idx="7">
                    <c:v>10.327956</c:v>
                  </c:pt>
                  <c:pt idx="8">
                    <c:v>15.055453</c:v>
                  </c:pt>
                  <c:pt idx="10">
                    <c:v>20.655911</c:v>
                  </c:pt>
                  <c:pt idx="11">
                    <c:v>0</c:v>
                  </c:pt>
                  <c:pt idx="12">
                    <c:v>17.888544</c:v>
                  </c:pt>
                  <c:pt idx="13">
                    <c:v>20.655911</c:v>
                  </c:pt>
                  <c:pt idx="15">
                    <c:v>16.733201000000001</c:v>
                  </c:pt>
                  <c:pt idx="16">
                    <c:v>12.649111</c:v>
                  </c:pt>
                  <c:pt idx="17">
                    <c:v>0</c:v>
                  </c:pt>
                  <c:pt idx="18">
                    <c:v>10.327956</c:v>
                  </c:pt>
                  <c:pt idx="20">
                    <c:v>19.663841999999999</c:v>
                  </c:pt>
                  <c:pt idx="21">
                    <c:v>12.649111</c:v>
                  </c:pt>
                  <c:pt idx="22">
                    <c:v>8.1649659999999997</c:v>
                  </c:pt>
                  <c:pt idx="23">
                    <c:v>20.655911</c:v>
                  </c:pt>
                </c:numCache>
              </c:numRef>
            </c:minus>
            <c:spPr>
              <a:noFill/>
              <a:ln w="9525" cap="flat" cmpd="sng" algn="ctr">
                <a:solidFill>
                  <a:sysClr val="windowText" lastClr="000000"/>
                </a:solidFill>
                <a:prstDash val="solid"/>
              </a:ln>
              <a:effectLst/>
            </c:spPr>
          </c:errBars>
          <c:cat>
            <c:multiLvlStrRef>
              <c:f>'Switching and Reversal Assays'!$D$31:$E$54</c:f>
              <c:multiLvlStrCache>
                <c:ptCount val="24"/>
                <c:lvl>
                  <c:pt idx="0">
                    <c:v>Cypermethrin</c:v>
                  </c:pt>
                  <c:pt idx="1">
                    <c:v>Chlorpyrifos</c:v>
                  </c:pt>
                  <c:pt idx="2">
                    <c:v>Lufenuron</c:v>
                  </c:pt>
                  <c:pt idx="3">
                    <c:v>Emamectin</c:v>
                  </c:pt>
                  <c:pt idx="5">
                    <c:v>Cypermethrin</c:v>
                  </c:pt>
                  <c:pt idx="6">
                    <c:v>Chlorpyrifos</c:v>
                  </c:pt>
                  <c:pt idx="7">
                    <c:v>Lufenuron</c:v>
                  </c:pt>
                  <c:pt idx="8">
                    <c:v>Emamectin</c:v>
                  </c:pt>
                  <c:pt idx="10">
                    <c:v>Cypermethrin</c:v>
                  </c:pt>
                  <c:pt idx="11">
                    <c:v>Chlorpyrifos</c:v>
                  </c:pt>
                  <c:pt idx="12">
                    <c:v>Lufenuron</c:v>
                  </c:pt>
                  <c:pt idx="13">
                    <c:v>Emamectin</c:v>
                  </c:pt>
                  <c:pt idx="15">
                    <c:v>Cypermethrin</c:v>
                  </c:pt>
                  <c:pt idx="16">
                    <c:v>Chlorpyrifos</c:v>
                  </c:pt>
                  <c:pt idx="17">
                    <c:v>Lufenuron</c:v>
                  </c:pt>
                  <c:pt idx="18">
                    <c:v>Emamectin</c:v>
                  </c:pt>
                  <c:pt idx="20">
                    <c:v>Cypermethrin</c:v>
                  </c:pt>
                  <c:pt idx="21">
                    <c:v>Chlorpyrifos</c:v>
                  </c:pt>
                  <c:pt idx="22">
                    <c:v>Lufenuron</c:v>
                  </c:pt>
                  <c:pt idx="23">
                    <c:v>Emamectin</c:v>
                  </c:pt>
                </c:lvl>
                <c:lvl>
                  <c:pt idx="0">
                    <c:v>Castor</c:v>
                  </c:pt>
                  <c:pt idx="5">
                    <c:v>Cauliflower</c:v>
                  </c:pt>
                  <c:pt idx="10">
                    <c:v>Cotton</c:v>
                  </c:pt>
                  <c:pt idx="15">
                    <c:v>Okra</c:v>
                  </c:pt>
                  <c:pt idx="20">
                    <c:v>Spinach</c:v>
                  </c:pt>
                </c:lvl>
              </c:multiLvlStrCache>
            </c:multiLvlStrRef>
          </c:cat>
          <c:val>
            <c:numRef>
              <c:f>'Switching and Reversal Assays'!$H$31:$H$54</c:f>
              <c:numCache>
                <c:formatCode>0.0</c:formatCode>
                <c:ptCount val="24"/>
                <c:pt idx="0">
                  <c:v>70</c:v>
                </c:pt>
                <c:pt idx="1">
                  <c:v>80</c:v>
                </c:pt>
                <c:pt idx="2">
                  <c:v>80</c:v>
                </c:pt>
                <c:pt idx="3">
                  <c:v>70</c:v>
                </c:pt>
                <c:pt idx="5">
                  <c:v>56.666670000000003</c:v>
                </c:pt>
                <c:pt idx="6">
                  <c:v>63.333329999999997</c:v>
                </c:pt>
                <c:pt idx="7">
                  <c:v>66.666669999999996</c:v>
                </c:pt>
                <c:pt idx="8">
                  <c:v>63.333329999999997</c:v>
                </c:pt>
                <c:pt idx="10">
                  <c:v>53.333329999999997</c:v>
                </c:pt>
                <c:pt idx="11">
                  <c:v>60</c:v>
                </c:pt>
                <c:pt idx="12">
                  <c:v>60</c:v>
                </c:pt>
                <c:pt idx="13">
                  <c:v>66.666669999999996</c:v>
                </c:pt>
                <c:pt idx="15">
                  <c:v>70</c:v>
                </c:pt>
                <c:pt idx="16">
                  <c:v>80</c:v>
                </c:pt>
                <c:pt idx="17">
                  <c:v>80</c:v>
                </c:pt>
                <c:pt idx="18">
                  <c:v>73.333330000000004</c:v>
                </c:pt>
                <c:pt idx="20">
                  <c:v>56.666670000000003</c:v>
                </c:pt>
                <c:pt idx="21">
                  <c:v>80</c:v>
                </c:pt>
                <c:pt idx="22">
                  <c:v>83.333330000000004</c:v>
                </c:pt>
                <c:pt idx="23">
                  <c:v>66.666669999999996</c:v>
                </c:pt>
              </c:numCache>
            </c:numRef>
          </c:val>
        </c:ser>
        <c:dLbls>
          <c:showVal val="1"/>
        </c:dLbls>
        <c:gapWidth val="40"/>
        <c:axId val="149982208"/>
        <c:axId val="149988096"/>
      </c:barChart>
      <c:catAx>
        <c:axId val="149982208"/>
        <c:scaling>
          <c:orientation val="minMax"/>
        </c:scaling>
        <c:axPos val="b"/>
        <c:majorTickMark val="none"/>
        <c:tickLblPos val="none"/>
        <c:crossAx val="149988096"/>
        <c:crosses val="autoZero"/>
        <c:auto val="1"/>
        <c:lblAlgn val="ctr"/>
        <c:lblOffset val="100"/>
      </c:catAx>
      <c:valAx>
        <c:axId val="149988096"/>
        <c:scaling>
          <c:orientation val="minMax"/>
          <c:max val="10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Larval mortality (%)</a:t>
                </a:r>
              </a:p>
            </c:rich>
          </c:tx>
          <c:layout/>
        </c:title>
        <c:numFmt formatCode="General" sourceLinked="0"/>
        <c:maj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49982208"/>
        <c:crosses val="autoZero"/>
        <c:crossBetween val="between"/>
        <c:majorUnit val="20"/>
      </c:valAx>
      <c:spPr>
        <a:ln>
          <a:noFill/>
        </a:ln>
      </c:spPr>
    </c:plotArea>
    <c:plotVisOnly val="1"/>
    <c:dispBlanksAs val="gap"/>
  </c:chart>
  <c:spPr>
    <a:solidFill>
      <a:sysClr val="window" lastClr="FFFFFF"/>
    </a:solidFill>
    <a:ln>
      <a:noFill/>
    </a:ln>
  </c:spPr>
  <c:txPr>
    <a:bodyPr/>
    <a:lstStyle/>
    <a:p>
      <a:pPr>
        <a:defRPr sz="1100"/>
      </a:pPr>
      <a:endParaRPr lang="en-US"/>
    </a:p>
  </c:tx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/>
          <a:lstStyle/>
          <a:p>
            <a:pPr>
              <a:defRPr/>
            </a:pPr>
            <a:r>
              <a:rPr lang="en-US"/>
              <a:t>(c)</a:t>
            </a:r>
          </a:p>
        </c:rich>
      </c:tx>
      <c:layout>
        <c:manualLayout>
          <c:xMode val="edge"/>
          <c:yMode val="edge"/>
          <c:x val="4.1874847669296448E-3"/>
          <c:y val="5.4506557897516933E-3"/>
        </c:manualLayout>
      </c:layout>
      <c:spPr>
        <a:noFill/>
      </c:spPr>
    </c:title>
    <c:plotArea>
      <c:layout>
        <c:manualLayout>
          <c:layoutTarget val="inner"/>
          <c:xMode val="edge"/>
          <c:yMode val="edge"/>
          <c:x val="0.13588094481193821"/>
          <c:y val="5.3666359731413517E-2"/>
          <c:w val="0.83336983432806455"/>
          <c:h val="0.89266728053717292"/>
        </c:manualLayout>
      </c:layout>
      <c:barChart>
        <c:barDir val="col"/>
        <c:grouping val="clustered"/>
        <c:ser>
          <c:idx val="0"/>
          <c:order val="0"/>
          <c:tx>
            <c:strRef>
              <c:f>'Switching and Reversal Assays'!$H$3</c:f>
              <c:strCache>
                <c:ptCount val="1"/>
                <c:pt idx="0">
                  <c:v>reversal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ysClr val="windowText" lastClr="000000"/>
              </a:solidFill>
            </a:ln>
          </c:spPr>
          <c:dPt>
            <c:idx val="9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0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1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2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3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Lbls>
            <c:dLbl>
              <c:idx val="0"/>
              <c:layout>
                <c:manualLayout>
                  <c:x val="0"/>
                  <c:y val="-0.11932890964136048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abc</a:t>
                    </a:r>
                  </a:p>
                </c:rich>
              </c:tx>
              <c:dLblPos val="outEnd"/>
              <c:showVal val="1"/>
            </c:dLbl>
            <c:dLbl>
              <c:idx val="1"/>
              <c:layout>
                <c:manualLayout>
                  <c:x val="2.3964174122290975E-17"/>
                  <c:y val="-8.164609607040454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2"/>
              <c:layout>
                <c:manualLayout>
                  <c:x val="0"/>
                  <c:y val="2.512187571397070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3"/>
              <c:layout>
                <c:manualLayout>
                  <c:x val="0"/>
                  <c:y val="-9.77984892686527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abc</a:t>
                    </a:r>
                  </a:p>
                </c:rich>
              </c:tx>
              <c:dLblPos val="outEnd"/>
              <c:showVal val="1"/>
            </c:dLbl>
            <c:dLbl>
              <c:idx val="4"/>
              <c:layout>
                <c:manualLayout>
                  <c:x val="0"/>
                  <c:y val="-6.908515821341923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5"/>
              <c:layout>
                <c:manualLayout>
                  <c:x val="-1.7727387874714906E-7"/>
                  <c:y val="-6.96868733076244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abc</a:t>
                    </a:r>
                  </a:p>
                </c:rich>
              </c:tx>
              <c:dLblPos val="outEnd"/>
              <c:showVal val="1"/>
            </c:dLbl>
            <c:dLbl>
              <c:idx val="6"/>
              <c:layout>
                <c:manualLayout>
                  <c:x val="4.1274791291716959E-17"/>
                  <c:y val="-6.728956889970434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7"/>
              <c:layout>
                <c:manualLayout>
                  <c:x val="3.6287962979541453E-4"/>
                  <c:y val="-8.972218851811020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8"/>
              <c:layout>
                <c:manualLayout>
                  <c:x val="2.2513782600887895E-3"/>
                  <c:y val="-8.044271376969143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e</a:t>
                    </a:r>
                  </a:p>
                </c:rich>
              </c:tx>
              <c:dLblPos val="outEnd"/>
              <c:showVal val="1"/>
            </c:dLbl>
            <c:dLbl>
              <c:idx val="9"/>
              <c:layout>
                <c:manualLayout>
                  <c:x val="0"/>
                  <c:y val="2.512187571397072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0"/>
              <c:layout>
                <c:manualLayout>
                  <c:x val="0"/>
                  <c:y val="-0.16239909805284039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e</a:t>
                    </a:r>
                  </a:p>
                </c:rich>
              </c:tx>
              <c:dLblPos val="outEnd"/>
              <c:showVal val="1"/>
            </c:dLbl>
            <c:dLbl>
              <c:idx val="11"/>
              <c:layout>
                <c:manualLayout>
                  <c:x val="-6.7541347802663734E-3"/>
                  <c:y val="8.9881958569817521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bcd</a:t>
                    </a:r>
                  </a:p>
                </c:rich>
              </c:tx>
              <c:dLblPos val="outEnd"/>
              <c:showVal val="1"/>
            </c:dLbl>
            <c:dLbl>
              <c:idx val="12"/>
              <c:layout>
                <c:manualLayout>
                  <c:x val="0"/>
                  <c:y val="-0.12560937856985316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bcd</a:t>
                    </a:r>
                  </a:p>
                </c:rich>
              </c:tx>
              <c:dLblPos val="outEnd"/>
              <c:showVal val="1"/>
            </c:dLbl>
            <c:dLbl>
              <c:idx val="13"/>
              <c:layout>
                <c:manualLayout>
                  <c:x val="2.2513782600887895E-3"/>
                  <c:y val="-0.1582156850480103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bcd</a:t>
                    </a:r>
                  </a:p>
                </c:rich>
              </c:tx>
              <c:dLblPos val="outEnd"/>
              <c:showVal val="1"/>
            </c:dLbl>
            <c:dLbl>
              <c:idx val="14"/>
              <c:layout>
                <c:manualLayout>
                  <c:x val="0"/>
                  <c:y val="1.884140678547801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5"/>
              <c:layout>
                <c:manualLayout>
                  <c:x val="-2.2515555339675392E-3"/>
                  <c:y val="-0.1235222212257530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abc</a:t>
                    </a:r>
                  </a:p>
                </c:rich>
              </c:tx>
              <c:dLblPos val="outEnd"/>
              <c:showVal val="1"/>
            </c:dLbl>
            <c:dLbl>
              <c:idx val="16"/>
              <c:layout>
                <c:manualLayout>
                  <c:x val="2.6142578898842028E-3"/>
                  <c:y val="-9.777361940211314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17"/>
              <c:layout>
                <c:manualLayout>
                  <c:x val="0"/>
                  <c:y val="-3.379098911981020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18"/>
              <c:layout>
                <c:manualLayout>
                  <c:x val="-2.2513782600887895E-3"/>
                  <c:y val="-3.917757612251649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abc</a:t>
                    </a:r>
                  </a:p>
                </c:rich>
              </c:tx>
              <c:dLblPos val="outEnd"/>
              <c:showVal val="1"/>
            </c:dLbl>
            <c:dLbl>
              <c:idx val="19"/>
              <c:layout>
                <c:manualLayout>
                  <c:x val="0"/>
                  <c:y val="-0.1758531299977944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20"/>
              <c:layout>
                <c:manualLayout>
                  <c:x val="0"/>
                  <c:y val="-0.1531380872962463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de</a:t>
                    </a:r>
                  </a:p>
                </c:rich>
              </c:tx>
              <c:dLblPos val="outEnd"/>
              <c:showVal val="1"/>
            </c:dLbl>
            <c:dLbl>
              <c:idx val="21"/>
              <c:layout>
                <c:manualLayout>
                  <c:x val="-2.2513782600887895E-3"/>
                  <c:y val="-9.092573933214620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22"/>
              <c:layout>
                <c:manualLayout>
                  <c:x val="-2.2513782600887895E-3"/>
                  <c:y val="-5.742678273609234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23"/>
              <c:layout>
                <c:manualLayout>
                  <c:x val="0"/>
                  <c:y val="-0.1674947829802694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abc</a:t>
                    </a:r>
                  </a:p>
                </c:rich>
              </c:tx>
              <c:dLblPos val="outEnd"/>
              <c:showVal val="1"/>
            </c:dLbl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dLblPos val="outEnd"/>
            <c:showVal val="1"/>
          </c:dLbls>
          <c:errBars>
            <c:errBarType val="both"/>
            <c:errValType val="cust"/>
            <c:plus>
              <c:numRef>
                <c:f>'Switching and Reversal Assays'!$I$56:$I$79</c:f>
                <c:numCache>
                  <c:formatCode>General</c:formatCode>
                  <c:ptCount val="24"/>
                  <c:pt idx="0">
                    <c:v>16.733201000000001</c:v>
                  </c:pt>
                  <c:pt idx="1">
                    <c:v>12.649111</c:v>
                  </c:pt>
                  <c:pt idx="2">
                    <c:v>0</c:v>
                  </c:pt>
                  <c:pt idx="3">
                    <c:v>10.954451000000001</c:v>
                  </c:pt>
                  <c:pt idx="5">
                    <c:v>10.954451000000001</c:v>
                  </c:pt>
                  <c:pt idx="6">
                    <c:v>8.1649659999999997</c:v>
                  </c:pt>
                  <c:pt idx="7">
                    <c:v>12.649111</c:v>
                  </c:pt>
                  <c:pt idx="8">
                    <c:v>10.327956</c:v>
                  </c:pt>
                  <c:pt idx="10">
                    <c:v>20.655911</c:v>
                  </c:pt>
                  <c:pt idx="11">
                    <c:v>0</c:v>
                  </c:pt>
                  <c:pt idx="12">
                    <c:v>17.888544</c:v>
                  </c:pt>
                  <c:pt idx="13">
                    <c:v>20.655911</c:v>
                  </c:pt>
                  <c:pt idx="15">
                    <c:v>16.733201000000001</c:v>
                  </c:pt>
                  <c:pt idx="16">
                    <c:v>12.649111</c:v>
                  </c:pt>
                  <c:pt idx="17">
                    <c:v>0</c:v>
                  </c:pt>
                  <c:pt idx="18">
                    <c:v>10.327956</c:v>
                  </c:pt>
                  <c:pt idx="20">
                    <c:v>19.663841999999999</c:v>
                  </c:pt>
                  <c:pt idx="21">
                    <c:v>12.649111</c:v>
                  </c:pt>
                  <c:pt idx="22">
                    <c:v>8.1649659999999997</c:v>
                  </c:pt>
                  <c:pt idx="23">
                    <c:v>20.655911</c:v>
                  </c:pt>
                </c:numCache>
              </c:numRef>
            </c:plus>
            <c:minus>
              <c:numRef>
                <c:f>'Switching and Reversal Assays'!$I$56:$I$79</c:f>
                <c:numCache>
                  <c:formatCode>General</c:formatCode>
                  <c:ptCount val="24"/>
                  <c:pt idx="0">
                    <c:v>16.733201000000001</c:v>
                  </c:pt>
                  <c:pt idx="1">
                    <c:v>12.649111</c:v>
                  </c:pt>
                  <c:pt idx="2">
                    <c:v>0</c:v>
                  </c:pt>
                  <c:pt idx="3">
                    <c:v>10.954451000000001</c:v>
                  </c:pt>
                  <c:pt idx="5">
                    <c:v>10.954451000000001</c:v>
                  </c:pt>
                  <c:pt idx="6">
                    <c:v>8.1649659999999997</c:v>
                  </c:pt>
                  <c:pt idx="7">
                    <c:v>12.649111</c:v>
                  </c:pt>
                  <c:pt idx="8">
                    <c:v>10.327956</c:v>
                  </c:pt>
                  <c:pt idx="10">
                    <c:v>20.655911</c:v>
                  </c:pt>
                  <c:pt idx="11">
                    <c:v>0</c:v>
                  </c:pt>
                  <c:pt idx="12">
                    <c:v>17.888544</c:v>
                  </c:pt>
                  <c:pt idx="13">
                    <c:v>20.655911</c:v>
                  </c:pt>
                  <c:pt idx="15">
                    <c:v>16.733201000000001</c:v>
                  </c:pt>
                  <c:pt idx="16">
                    <c:v>12.649111</c:v>
                  </c:pt>
                  <c:pt idx="17">
                    <c:v>0</c:v>
                  </c:pt>
                  <c:pt idx="18">
                    <c:v>10.327956</c:v>
                  </c:pt>
                  <c:pt idx="20">
                    <c:v>19.663841999999999</c:v>
                  </c:pt>
                  <c:pt idx="21">
                    <c:v>12.649111</c:v>
                  </c:pt>
                  <c:pt idx="22">
                    <c:v>8.1649659999999997</c:v>
                  </c:pt>
                  <c:pt idx="23">
                    <c:v>20.655911</c:v>
                  </c:pt>
                </c:numCache>
              </c:numRef>
            </c:minus>
            <c:spPr>
              <a:noFill/>
              <a:ln w="9525" cap="flat" cmpd="sng" algn="ctr">
                <a:solidFill>
                  <a:sysClr val="windowText" lastClr="000000"/>
                </a:solidFill>
                <a:prstDash val="solid"/>
              </a:ln>
              <a:effectLst/>
            </c:spPr>
          </c:errBars>
          <c:cat>
            <c:multiLvlStrRef>
              <c:f>'Switching and Reversal Assays'!$D$56:$E$79</c:f>
              <c:multiLvlStrCache>
                <c:ptCount val="24"/>
                <c:lvl>
                  <c:pt idx="0">
                    <c:v>Cypermethrin</c:v>
                  </c:pt>
                  <c:pt idx="1">
                    <c:v>Chlorpyrifos</c:v>
                  </c:pt>
                  <c:pt idx="2">
                    <c:v>Lufenuron</c:v>
                  </c:pt>
                  <c:pt idx="3">
                    <c:v>Emamectin</c:v>
                  </c:pt>
                  <c:pt idx="5">
                    <c:v>Cypermethrin</c:v>
                  </c:pt>
                  <c:pt idx="6">
                    <c:v>Chlorpyrifos</c:v>
                  </c:pt>
                  <c:pt idx="7">
                    <c:v>Lufenuron</c:v>
                  </c:pt>
                  <c:pt idx="8">
                    <c:v>Emamectin</c:v>
                  </c:pt>
                  <c:pt idx="10">
                    <c:v>Cypermethrin</c:v>
                  </c:pt>
                  <c:pt idx="11">
                    <c:v>Chlorpyrifos</c:v>
                  </c:pt>
                  <c:pt idx="12">
                    <c:v>Lufenuron</c:v>
                  </c:pt>
                  <c:pt idx="13">
                    <c:v>Emamectin</c:v>
                  </c:pt>
                  <c:pt idx="15">
                    <c:v>Cypermethrin</c:v>
                  </c:pt>
                  <c:pt idx="16">
                    <c:v>Chlorpyrifos</c:v>
                  </c:pt>
                  <c:pt idx="17">
                    <c:v>Lufenuron</c:v>
                  </c:pt>
                  <c:pt idx="18">
                    <c:v>Emamectin</c:v>
                  </c:pt>
                  <c:pt idx="20">
                    <c:v>Cypermethrin</c:v>
                  </c:pt>
                  <c:pt idx="21">
                    <c:v>Chlorpyrifos</c:v>
                  </c:pt>
                  <c:pt idx="22">
                    <c:v>Lufenuron</c:v>
                  </c:pt>
                  <c:pt idx="23">
                    <c:v>Emamectin</c:v>
                  </c:pt>
                </c:lvl>
                <c:lvl>
                  <c:pt idx="0">
                    <c:v>Castor</c:v>
                  </c:pt>
                  <c:pt idx="5">
                    <c:v>Cauliflower</c:v>
                  </c:pt>
                  <c:pt idx="10">
                    <c:v>Cotton</c:v>
                  </c:pt>
                  <c:pt idx="15">
                    <c:v>Okra</c:v>
                  </c:pt>
                  <c:pt idx="20">
                    <c:v>Spinach</c:v>
                  </c:pt>
                </c:lvl>
              </c:multiLvlStrCache>
            </c:multiLvlStrRef>
          </c:cat>
          <c:val>
            <c:numRef>
              <c:f>'Switching and Reversal Assays'!$H$56:$H$79</c:f>
              <c:numCache>
                <c:formatCode>0.0</c:formatCode>
                <c:ptCount val="24"/>
                <c:pt idx="0">
                  <c:v>70</c:v>
                </c:pt>
                <c:pt idx="1">
                  <c:v>80</c:v>
                </c:pt>
                <c:pt idx="2">
                  <c:v>80</c:v>
                </c:pt>
                <c:pt idx="3">
                  <c:v>70</c:v>
                </c:pt>
                <c:pt idx="5">
                  <c:v>70</c:v>
                </c:pt>
                <c:pt idx="6">
                  <c:v>76.666669999999996</c:v>
                </c:pt>
                <c:pt idx="7">
                  <c:v>80</c:v>
                </c:pt>
                <c:pt idx="8">
                  <c:v>53.333329999999997</c:v>
                </c:pt>
                <c:pt idx="10">
                  <c:v>53.333329999999997</c:v>
                </c:pt>
                <c:pt idx="11">
                  <c:v>60</c:v>
                </c:pt>
                <c:pt idx="12">
                  <c:v>60</c:v>
                </c:pt>
                <c:pt idx="13">
                  <c:v>66.666669999999996</c:v>
                </c:pt>
                <c:pt idx="15">
                  <c:v>70</c:v>
                </c:pt>
                <c:pt idx="16">
                  <c:v>80</c:v>
                </c:pt>
                <c:pt idx="17">
                  <c:v>80</c:v>
                </c:pt>
                <c:pt idx="18">
                  <c:v>73.333330000000004</c:v>
                </c:pt>
                <c:pt idx="20">
                  <c:v>56.666670000000003</c:v>
                </c:pt>
                <c:pt idx="21">
                  <c:v>80</c:v>
                </c:pt>
                <c:pt idx="22">
                  <c:v>83.333330000000004</c:v>
                </c:pt>
                <c:pt idx="23">
                  <c:v>66.666669999999996</c:v>
                </c:pt>
              </c:numCache>
            </c:numRef>
          </c:val>
        </c:ser>
        <c:dLbls>
          <c:showVal val="1"/>
        </c:dLbls>
        <c:gapWidth val="40"/>
        <c:axId val="150408576"/>
        <c:axId val="150414464"/>
      </c:barChart>
      <c:catAx>
        <c:axId val="150408576"/>
        <c:scaling>
          <c:orientation val="minMax"/>
        </c:scaling>
        <c:axPos val="b"/>
        <c:majorTickMark val="none"/>
        <c:tickLblPos val="none"/>
        <c:crossAx val="150414464"/>
        <c:crosses val="autoZero"/>
        <c:auto val="1"/>
        <c:lblAlgn val="ctr"/>
        <c:lblOffset val="100"/>
      </c:catAx>
      <c:valAx>
        <c:axId val="150414464"/>
        <c:scaling>
          <c:orientation val="minMax"/>
          <c:max val="10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Larval mortality (%)</a:t>
                </a:r>
              </a:p>
            </c:rich>
          </c:tx>
          <c:layout/>
        </c:title>
        <c:numFmt formatCode="General" sourceLinked="0"/>
        <c:maj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50408576"/>
        <c:crosses val="autoZero"/>
        <c:crossBetween val="between"/>
        <c:majorUnit val="20"/>
      </c:valAx>
      <c:spPr>
        <a:ln>
          <a:noFill/>
        </a:ln>
      </c:spPr>
    </c:plotArea>
    <c:plotVisOnly val="1"/>
    <c:dispBlanksAs val="gap"/>
  </c:chart>
  <c:spPr>
    <a:solidFill>
      <a:sysClr val="window" lastClr="FFFFFF"/>
    </a:solidFill>
    <a:ln>
      <a:noFill/>
    </a:ln>
  </c:spPr>
  <c:txPr>
    <a:bodyPr/>
    <a:lstStyle/>
    <a:p>
      <a:pPr>
        <a:defRPr sz="1100"/>
      </a:pPr>
      <a:endParaRPr lang="en-US"/>
    </a:p>
  </c:tx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/>
          <a:lstStyle/>
          <a:p>
            <a:pPr>
              <a:defRPr/>
            </a:pPr>
            <a:r>
              <a:rPr lang="en-US"/>
              <a:t>(d)</a:t>
            </a:r>
          </a:p>
        </c:rich>
      </c:tx>
      <c:layout>
        <c:manualLayout>
          <c:xMode val="edge"/>
          <c:yMode val="edge"/>
          <c:x val="1.5709506198198586E-3"/>
          <c:y val="5.4506557897516933E-3"/>
        </c:manualLayout>
      </c:layout>
      <c:spPr>
        <a:noFill/>
      </c:spPr>
    </c:title>
    <c:plotArea>
      <c:layout>
        <c:manualLayout>
          <c:layoutTarget val="inner"/>
          <c:xMode val="edge"/>
          <c:yMode val="edge"/>
          <c:x val="0.12803134237060879"/>
          <c:y val="5.3666359731413517E-2"/>
          <c:w val="0.84121943676939448"/>
          <c:h val="0.89266728053717292"/>
        </c:manualLayout>
      </c:layout>
      <c:barChart>
        <c:barDir val="col"/>
        <c:grouping val="clustered"/>
        <c:ser>
          <c:idx val="0"/>
          <c:order val="0"/>
          <c:tx>
            <c:strRef>
              <c:f>'Switching and Reversal Assays'!$H$3</c:f>
              <c:strCache>
                <c:ptCount val="1"/>
                <c:pt idx="0">
                  <c:v>reversal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ysClr val="windowText" lastClr="000000"/>
              </a:solidFill>
            </a:ln>
          </c:spPr>
          <c:dPt>
            <c:idx val="14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5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6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7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8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Lbls>
            <c:dLbl>
              <c:idx val="0"/>
              <c:layout>
                <c:manualLayout>
                  <c:x val="-2.6139851912593292E-3"/>
                  <c:y val="0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1"/>
              <c:layout>
                <c:manualLayout>
                  <c:x val="-2.6139851912593292E-3"/>
                  <c:y val="-6.908515821341923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2"/>
              <c:layout>
                <c:manualLayout>
                  <c:x val="0"/>
                  <c:y val="-0.12773813810849796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3"/>
              <c:layout>
                <c:manualLayout>
                  <c:x val="0"/>
                  <c:y val="-0.1220966501930491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4"/>
              <c:layout>
                <c:manualLayout>
                  <c:x val="2.6139851912593292E-3"/>
                  <c:y val="-4.396328249944879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Val val="1"/>
            </c:dLbl>
            <c:dLbl>
              <c:idx val="5"/>
              <c:layout>
                <c:manualLayout>
                  <c:x val="0"/>
                  <c:y val="-6.979567727542981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6"/>
              <c:layout>
                <c:manualLayout>
                  <c:x val="0"/>
                  <c:y val="-0.11304844071286781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7"/>
              <c:layout>
                <c:manualLayout>
                  <c:x val="0"/>
                  <c:y val="-9.005521964866404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8"/>
              <c:layout>
                <c:manualLayout>
                  <c:x val="2.6139033421267153E-3"/>
                  <c:y val="-6.557227250329845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bcd</a:t>
                    </a:r>
                  </a:p>
                </c:rich>
              </c:tx>
              <c:dLblPos val="outEnd"/>
              <c:showVal val="1"/>
            </c:dLbl>
            <c:dLbl>
              <c:idx val="9"/>
              <c:layout>
                <c:manualLayout>
                  <c:x val="2.6139851912593292E-3"/>
                  <c:y val="-0.1318898474983458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bcd</a:t>
                    </a:r>
                  </a:p>
                </c:rich>
              </c:tx>
              <c:dLblPos val="outEnd"/>
              <c:showVal val="1"/>
            </c:dLbl>
            <c:dLbl>
              <c:idx val="10"/>
              <c:layout>
                <c:manualLayout>
                  <c:x val="-2.2513782600887895E-3"/>
                  <c:y val="-0.15871350016694699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11"/>
              <c:layout>
                <c:manualLayout>
                  <c:x val="0"/>
                  <c:y val="-0.207255474640257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bcd</a:t>
                    </a:r>
                  </a:p>
                </c:rich>
              </c:tx>
              <c:dLblPos val="outEnd"/>
              <c:showVal val="1"/>
            </c:dLbl>
            <c:dLbl>
              <c:idx val="12"/>
              <c:layout>
                <c:manualLayout>
                  <c:x val="2.6139033421267153E-3"/>
                  <c:y val="-8.366883324683999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cdef</a:t>
                    </a:r>
                  </a:p>
                </c:rich>
              </c:tx>
              <c:dLblPos val="outEnd"/>
              <c:showVal val="1"/>
            </c:dLbl>
            <c:dLbl>
              <c:idx val="13"/>
              <c:layout>
                <c:manualLayout>
                  <c:x val="6.7541347802663734E-3"/>
                  <c:y val="-0.11006877587577621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14"/>
              <c:layout>
                <c:manualLayout>
                  <c:x val="2.6139851912593292E-3"/>
                  <c:y val="-6.908515821341923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15"/>
              <c:layout>
                <c:manualLayout>
                  <c:x val="-4.8652816022154155E-3"/>
                  <c:y val="-0.1186898577367269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cdef</a:t>
                    </a:r>
                  </a:p>
                </c:rich>
              </c:tx>
              <c:dLblPos val="outEnd"/>
              <c:showVal val="1"/>
            </c:dLbl>
            <c:dLbl>
              <c:idx val="16"/>
              <c:layout>
                <c:manualLayout>
                  <c:x val="9.584501646970091E-17"/>
                  <c:y val="-0.19469453678327239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cdef</a:t>
                    </a:r>
                  </a:p>
                </c:rich>
              </c:tx>
              <c:dLblPos val="outEnd"/>
              <c:showVal val="1"/>
            </c:dLbl>
            <c:dLbl>
              <c:idx val="17"/>
              <c:layout>
                <c:manualLayout>
                  <c:x val="8.2549582583433942E-17"/>
                  <c:y val="-7.02568049098526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18"/>
              <c:layout>
                <c:manualLayout>
                  <c:x val="0"/>
                  <c:y val="-0.12560937856985319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ef</a:t>
                    </a:r>
                  </a:p>
                </c:rich>
              </c:tx>
              <c:dLblPos val="outEnd"/>
              <c:showVal val="1"/>
            </c:dLbl>
            <c:dLbl>
              <c:idx val="19"/>
              <c:layout>
                <c:manualLayout>
                  <c:x val="-2.6139851912593292E-3"/>
                  <c:y val="-0.12560937856985316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Val val="1"/>
            </c:dLbl>
            <c:dLbl>
              <c:idx val="20"/>
              <c:layout>
                <c:manualLayout>
                  <c:x val="-2.2513782600887895E-3"/>
                  <c:y val="-0.14689768287219326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cdef</a:t>
                    </a:r>
                  </a:p>
                </c:rich>
              </c:tx>
              <c:dLblPos val="outEnd"/>
              <c:showVal val="1"/>
            </c:dLbl>
            <c:dLbl>
              <c:idx val="21"/>
              <c:layout>
                <c:manualLayout>
                  <c:x val="-2.2513782600887895E-3"/>
                  <c:y val="-0.11751814629775419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bc</a:t>
                    </a:r>
                  </a:p>
                </c:rich>
              </c:tx>
              <c:dLblPos val="outEnd"/>
              <c:showVal val="1"/>
            </c:dLbl>
            <c:dLbl>
              <c:idx val="22"/>
              <c:layout>
                <c:manualLayout>
                  <c:x val="0"/>
                  <c:y val="-0.1224147357268274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ef</a:t>
                    </a:r>
                  </a:p>
                </c:rich>
              </c:tx>
              <c:dLblPos val="outEnd"/>
              <c:showVal val="1"/>
            </c:dLbl>
            <c:dLbl>
              <c:idx val="23"/>
              <c:layout>
                <c:manualLayout>
                  <c:x val="0"/>
                  <c:y val="-0.12731132515590049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Val val="1"/>
            </c:dLbl>
            <c:spPr>
              <a:ln>
                <a:noFill/>
              </a:ln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dLblPos val="outEnd"/>
            <c:showVal val="1"/>
          </c:dLbls>
          <c:errBars>
            <c:errBarType val="both"/>
            <c:errValType val="cust"/>
            <c:plus>
              <c:numRef>
                <c:f>'Switching and Reversal Assays'!$I$81:$I$104</c:f>
                <c:numCache>
                  <c:formatCode>General</c:formatCode>
                  <c:ptCount val="24"/>
                  <c:pt idx="0">
                    <c:v>10.954451000000001</c:v>
                  </c:pt>
                  <c:pt idx="1">
                    <c:v>10.327956</c:v>
                  </c:pt>
                  <c:pt idx="2">
                    <c:v>16.733201000000001</c:v>
                  </c:pt>
                  <c:pt idx="3">
                    <c:v>16.329931999999999</c:v>
                  </c:pt>
                  <c:pt idx="5">
                    <c:v>8.1649659999999997</c:v>
                  </c:pt>
                  <c:pt idx="6">
                    <c:v>15.055453</c:v>
                  </c:pt>
                  <c:pt idx="7">
                    <c:v>15.055453</c:v>
                  </c:pt>
                  <c:pt idx="8">
                    <c:v>10.327956</c:v>
                  </c:pt>
                  <c:pt idx="10">
                    <c:v>21.908902000000001</c:v>
                  </c:pt>
                  <c:pt idx="11">
                    <c:v>19.663841999999999</c:v>
                  </c:pt>
                  <c:pt idx="12">
                    <c:v>10.327956</c:v>
                  </c:pt>
                  <c:pt idx="13">
                    <c:v>26.583203000000001</c:v>
                  </c:pt>
                  <c:pt idx="15">
                    <c:v>16.329931999999999</c:v>
                  </c:pt>
                  <c:pt idx="16">
                    <c:v>24.221202999999999</c:v>
                  </c:pt>
                  <c:pt idx="17">
                    <c:v>10.954451000000001</c:v>
                  </c:pt>
                  <c:pt idx="18">
                    <c:v>16.329931999999999</c:v>
                  </c:pt>
                  <c:pt idx="20">
                    <c:v>20.655911</c:v>
                  </c:pt>
                  <c:pt idx="21">
                    <c:v>16.329931999999999</c:v>
                  </c:pt>
                  <c:pt idx="22">
                    <c:v>16.329931999999999</c:v>
                  </c:pt>
                  <c:pt idx="23">
                    <c:v>16.329931999999999</c:v>
                  </c:pt>
                </c:numCache>
              </c:numRef>
            </c:plus>
            <c:minus>
              <c:numRef>
                <c:f>'Switching and Reversal Assays'!$I$81:$I$104</c:f>
                <c:numCache>
                  <c:formatCode>General</c:formatCode>
                  <c:ptCount val="24"/>
                  <c:pt idx="0">
                    <c:v>10.954451000000001</c:v>
                  </c:pt>
                  <c:pt idx="1">
                    <c:v>10.327956</c:v>
                  </c:pt>
                  <c:pt idx="2">
                    <c:v>16.733201000000001</c:v>
                  </c:pt>
                  <c:pt idx="3">
                    <c:v>16.329931999999999</c:v>
                  </c:pt>
                  <c:pt idx="5">
                    <c:v>8.1649659999999997</c:v>
                  </c:pt>
                  <c:pt idx="6">
                    <c:v>15.055453</c:v>
                  </c:pt>
                  <c:pt idx="7">
                    <c:v>15.055453</c:v>
                  </c:pt>
                  <c:pt idx="8">
                    <c:v>10.327956</c:v>
                  </c:pt>
                  <c:pt idx="10">
                    <c:v>21.908902000000001</c:v>
                  </c:pt>
                  <c:pt idx="11">
                    <c:v>19.663841999999999</c:v>
                  </c:pt>
                  <c:pt idx="12">
                    <c:v>10.327956</c:v>
                  </c:pt>
                  <c:pt idx="13">
                    <c:v>26.583203000000001</c:v>
                  </c:pt>
                  <c:pt idx="15">
                    <c:v>16.329931999999999</c:v>
                  </c:pt>
                  <c:pt idx="16">
                    <c:v>24.221202999999999</c:v>
                  </c:pt>
                  <c:pt idx="17">
                    <c:v>10.954451000000001</c:v>
                  </c:pt>
                  <c:pt idx="18">
                    <c:v>16.329931999999999</c:v>
                  </c:pt>
                  <c:pt idx="20">
                    <c:v>20.655911</c:v>
                  </c:pt>
                  <c:pt idx="21">
                    <c:v>16.329931999999999</c:v>
                  </c:pt>
                  <c:pt idx="22">
                    <c:v>16.329931999999999</c:v>
                  </c:pt>
                  <c:pt idx="23">
                    <c:v>16.329931999999999</c:v>
                  </c:pt>
                </c:numCache>
              </c:numRef>
            </c:minus>
            <c:spPr>
              <a:noFill/>
              <a:ln w="9525" cap="flat" cmpd="sng" algn="ctr">
                <a:solidFill>
                  <a:sysClr val="windowText" lastClr="000000"/>
                </a:solidFill>
                <a:prstDash val="solid"/>
              </a:ln>
              <a:effectLst/>
            </c:spPr>
          </c:errBars>
          <c:cat>
            <c:multiLvlStrRef>
              <c:f>'Switching and Reversal Assays'!$D$81:$E$104</c:f>
              <c:multiLvlStrCache>
                <c:ptCount val="24"/>
                <c:lvl>
                  <c:pt idx="0">
                    <c:v>Cypermethrin</c:v>
                  </c:pt>
                  <c:pt idx="1">
                    <c:v>Chlorpyrifos</c:v>
                  </c:pt>
                  <c:pt idx="2">
                    <c:v>Lufenuron</c:v>
                  </c:pt>
                  <c:pt idx="3">
                    <c:v>Emamectin</c:v>
                  </c:pt>
                  <c:pt idx="5">
                    <c:v>Cypermethrin</c:v>
                  </c:pt>
                  <c:pt idx="6">
                    <c:v>Chlorpyrifos</c:v>
                  </c:pt>
                  <c:pt idx="7">
                    <c:v>Lufenuron</c:v>
                  </c:pt>
                  <c:pt idx="8">
                    <c:v>Emamectin</c:v>
                  </c:pt>
                  <c:pt idx="10">
                    <c:v>Cypermethrin</c:v>
                  </c:pt>
                  <c:pt idx="11">
                    <c:v>Chlorpyrifos</c:v>
                  </c:pt>
                  <c:pt idx="12">
                    <c:v>Lufenuron</c:v>
                  </c:pt>
                  <c:pt idx="13">
                    <c:v>Emamectin</c:v>
                  </c:pt>
                  <c:pt idx="15">
                    <c:v>Cypermethrin</c:v>
                  </c:pt>
                  <c:pt idx="16">
                    <c:v>Chlorpyrifos</c:v>
                  </c:pt>
                  <c:pt idx="17">
                    <c:v>Lufenuron</c:v>
                  </c:pt>
                  <c:pt idx="18">
                    <c:v>Emamectin</c:v>
                  </c:pt>
                  <c:pt idx="20">
                    <c:v>Cypermethrin</c:v>
                  </c:pt>
                  <c:pt idx="21">
                    <c:v>Chlorpyrifos</c:v>
                  </c:pt>
                  <c:pt idx="22">
                    <c:v>Lufenuron</c:v>
                  </c:pt>
                  <c:pt idx="23">
                    <c:v>Emamectin</c:v>
                  </c:pt>
                </c:lvl>
                <c:lvl>
                  <c:pt idx="0">
                    <c:v>Castor</c:v>
                  </c:pt>
                  <c:pt idx="5">
                    <c:v>Cauliflower</c:v>
                  </c:pt>
                  <c:pt idx="10">
                    <c:v>Cotton</c:v>
                  </c:pt>
                  <c:pt idx="15">
                    <c:v>Okra</c:v>
                  </c:pt>
                  <c:pt idx="20">
                    <c:v>Spinach</c:v>
                  </c:pt>
                </c:lvl>
              </c:multiLvlStrCache>
            </c:multiLvlStrRef>
          </c:cat>
          <c:val>
            <c:numRef>
              <c:f>'Switching and Reversal Assays'!$H$81:$H$104</c:f>
              <c:numCache>
                <c:formatCode>0.0</c:formatCode>
                <c:ptCount val="24"/>
                <c:pt idx="0">
                  <c:v>90</c:v>
                </c:pt>
                <c:pt idx="1">
                  <c:v>66.666669999999996</c:v>
                </c:pt>
                <c:pt idx="2">
                  <c:v>70</c:v>
                </c:pt>
                <c:pt idx="3">
                  <c:v>66.666669999999996</c:v>
                </c:pt>
                <c:pt idx="5">
                  <c:v>83.333330000000004</c:v>
                </c:pt>
                <c:pt idx="6">
                  <c:v>76.666669999999996</c:v>
                </c:pt>
                <c:pt idx="7">
                  <c:v>76.666669999999996</c:v>
                </c:pt>
                <c:pt idx="8">
                  <c:v>73.333330000000004</c:v>
                </c:pt>
                <c:pt idx="10">
                  <c:v>60</c:v>
                </c:pt>
                <c:pt idx="11">
                  <c:v>63.333329999999997</c:v>
                </c:pt>
                <c:pt idx="12">
                  <c:v>66.666669999999996</c:v>
                </c:pt>
                <c:pt idx="13">
                  <c:v>56.666670000000003</c:v>
                </c:pt>
                <c:pt idx="15">
                  <c:v>53.333329999999997</c:v>
                </c:pt>
                <c:pt idx="16">
                  <c:v>66.666669999999996</c:v>
                </c:pt>
                <c:pt idx="17">
                  <c:v>70</c:v>
                </c:pt>
                <c:pt idx="18">
                  <c:v>53.333329999999997</c:v>
                </c:pt>
                <c:pt idx="20">
                  <c:v>53.333329999999997</c:v>
                </c:pt>
                <c:pt idx="21">
                  <c:v>66.666669999999996</c:v>
                </c:pt>
                <c:pt idx="22">
                  <c:v>46.666670000000003</c:v>
                </c:pt>
                <c:pt idx="23">
                  <c:v>73.333330000000004</c:v>
                </c:pt>
              </c:numCache>
            </c:numRef>
          </c:val>
        </c:ser>
        <c:dLbls>
          <c:showVal val="1"/>
        </c:dLbls>
        <c:gapWidth val="40"/>
        <c:axId val="150175104"/>
        <c:axId val="150566016"/>
      </c:barChart>
      <c:catAx>
        <c:axId val="150175104"/>
        <c:scaling>
          <c:orientation val="minMax"/>
        </c:scaling>
        <c:axPos val="b"/>
        <c:majorTickMark val="none"/>
        <c:tickLblPos val="none"/>
        <c:crossAx val="150566016"/>
        <c:crosses val="autoZero"/>
        <c:auto val="1"/>
        <c:lblAlgn val="ctr"/>
        <c:lblOffset val="100"/>
      </c:catAx>
      <c:valAx>
        <c:axId val="150566016"/>
        <c:scaling>
          <c:orientation val="minMax"/>
          <c:max val="10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Larval mortality (%)</a:t>
                </a:r>
              </a:p>
            </c:rich>
          </c:tx>
          <c:layout/>
        </c:title>
        <c:numFmt formatCode="General" sourceLinked="0"/>
        <c:maj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50175104"/>
        <c:crosses val="autoZero"/>
        <c:crossBetween val="between"/>
        <c:majorUnit val="20"/>
      </c:valAx>
      <c:spPr>
        <a:ln>
          <a:noFill/>
        </a:ln>
      </c:spPr>
    </c:plotArea>
    <c:plotVisOnly val="1"/>
    <c:dispBlanksAs val="gap"/>
  </c:chart>
  <c:spPr>
    <a:solidFill>
      <a:sysClr val="window" lastClr="FFFFFF"/>
    </a:solidFill>
    <a:ln>
      <a:noFill/>
    </a:ln>
  </c:spPr>
  <c:txPr>
    <a:bodyPr/>
    <a:lstStyle/>
    <a:p>
      <a:pPr>
        <a:defRPr sz="1100"/>
      </a:pPr>
      <a:endParaRPr lang="en-US"/>
    </a:p>
  </c:tx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style val="1"/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Castor</a:t>
            </a:r>
          </a:p>
        </c:rich>
      </c:tx>
      <c:layout>
        <c:manualLayout>
          <c:xMode val="edge"/>
          <c:yMode val="edge"/>
          <c:x val="0.52653375742485098"/>
          <c:y val="0"/>
        </c:manualLayout>
      </c:layout>
    </c:title>
    <c:plotArea>
      <c:layout>
        <c:manualLayout>
          <c:layoutTarget val="inner"/>
          <c:xMode val="edge"/>
          <c:yMode val="edge"/>
          <c:x val="0.1444779686589294"/>
          <c:y val="6.3262037037037103E-2"/>
          <c:w val="0.83056052780447054"/>
          <c:h val="0.88649675925925897"/>
        </c:manualLayout>
      </c:layout>
      <c:lineChart>
        <c:grouping val="standard"/>
        <c:ser>
          <c:idx val="2"/>
          <c:order val="0"/>
          <c:tx>
            <c:strRef>
              <c:f>'% change'!$L$4</c:f>
              <c:strCache>
                <c:ptCount val="1"/>
                <c:pt idx="0">
                  <c:v>No Shifting to Host Shifting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 sz="1400"/>
                      <a:t>0%</a:t>
                    </a:r>
                  </a:p>
                </c:rich>
              </c:tx>
              <c:dLblPos val="t"/>
              <c:showVal val="1"/>
            </c:dLbl>
            <c:dLbl>
              <c:idx val="1"/>
              <c:layout>
                <c:manualLayout>
                  <c:x val="-4.2528086396566078E-2"/>
                  <c:y val="-7.9639351851851933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 sz="1400"/>
                  </a:p>
                </c:rich>
              </c:tx>
              <c:dLblPos val="r"/>
              <c:showVal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 sz="1400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 sz="1400"/>
                  </a:p>
                </c:rich>
              </c:tx>
              <c:dLblPos val="t"/>
              <c:showVal val="1"/>
            </c:dLbl>
            <c:dLbl>
              <c:idx val="3"/>
              <c:layout>
                <c:manualLayout>
                  <c:x val="-4.2528086396566099E-2"/>
                  <c:y val="-7.9639351851851933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 sz="1400"/>
                  </a:p>
                </c:rich>
              </c:tx>
              <c:dLblPos val="r"/>
              <c:showVal val="1"/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 sz="1400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 sz="1400"/>
                  </a:p>
                </c:rich>
              </c:tx>
              <c:dLblPos val="t"/>
              <c:showVal val="1"/>
            </c:dLbl>
            <c:dLbl>
              <c:idx val="5"/>
              <c:layout>
                <c:manualLayout>
                  <c:x val="-4.2180652593093393E-2"/>
                  <c:y val="6.6351851851851884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-5</a:t>
                    </a:r>
                    <a:r>
                      <a:rPr lang="en-US" sz="1400" b="0" i="0" u="none" strike="noStrike" baseline="0"/>
                      <a:t>%</a:t>
                    </a:r>
                    <a:endParaRPr lang="en-US" sz="1400"/>
                  </a:p>
                </c:rich>
              </c:tx>
              <c:dLblPos val="r"/>
              <c:showVal val="1"/>
            </c:dLbl>
            <c:dLbl>
              <c:idx val="6"/>
              <c:layout>
                <c:manualLayout>
                  <c:x val="-4.2528086396566099E-2"/>
                  <c:y val="-6.7880092592592589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 sz="1400"/>
                  </a:p>
                </c:rich>
              </c:tx>
              <c:dLblPos val="r"/>
              <c:showVal val="1"/>
            </c:dLbl>
            <c:dLbl>
              <c:idx val="7"/>
              <c:layout>
                <c:manualLayout>
                  <c:x val="-4.2528086396566099E-2"/>
                  <c:y val="-6.7880092592592589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5</a:t>
                    </a:r>
                    <a:r>
                      <a:rPr lang="en-US" sz="1400" b="0" i="0" u="none" strike="noStrike" baseline="0"/>
                      <a:t>%</a:t>
                    </a:r>
                    <a:endParaRPr lang="en-US" sz="1400"/>
                  </a:p>
                </c:rich>
              </c:tx>
              <c:dLblPos val="r"/>
              <c:showVal val="1"/>
            </c:dLbl>
            <c:dLbl>
              <c:idx val="8"/>
              <c:layout/>
              <c:tx>
                <c:rich>
                  <a:bodyPr/>
                  <a:lstStyle/>
                  <a:p>
                    <a:r>
                      <a:rPr lang="en-US" sz="1400"/>
                      <a:t>6</a:t>
                    </a:r>
                    <a:r>
                      <a:rPr lang="en-US" sz="1400" b="0" i="0" u="none" strike="noStrike" baseline="0"/>
                      <a:t>%</a:t>
                    </a:r>
                    <a:endParaRPr lang="en-US" sz="1400"/>
                  </a:p>
                </c:rich>
              </c:tx>
              <c:dLblPos val="t"/>
              <c:showVal val="1"/>
            </c:dLbl>
            <c:dLbl>
              <c:idx val="9"/>
              <c:layout>
                <c:manualLayout>
                  <c:x val="-4.4777780560216265E-2"/>
                  <c:y val="-0.12179629629629664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11</a:t>
                    </a:r>
                    <a:r>
                      <a:rPr lang="en-US" sz="1400" b="0" i="0" u="none" strike="noStrike" baseline="0"/>
                      <a:t>%</a:t>
                    </a:r>
                    <a:endParaRPr lang="en-US" sz="1400"/>
                  </a:p>
                </c:rich>
              </c:tx>
              <c:dLblPos val="r"/>
              <c:showVal val="1"/>
            </c:dLbl>
            <c:dLbl>
              <c:idx val="10"/>
              <c:layout>
                <c:manualLayout>
                  <c:x val="-3.7710387120649412E-2"/>
                  <c:y val="-7.4759259259259303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11</a:t>
                    </a:r>
                    <a:r>
                      <a:rPr lang="en-US" sz="1400" b="0" i="0" u="none" strike="noStrike" baseline="0"/>
                      <a:t>%</a:t>
                    </a:r>
                    <a:endParaRPr lang="en-US" sz="1400"/>
                  </a:p>
                </c:rich>
              </c:tx>
              <c:dLblPos val="r"/>
              <c:showVal val="1"/>
            </c:dLbl>
            <c:dLbl>
              <c:idx val="11"/>
              <c:layout>
                <c:manualLayout>
                  <c:x val="-5.1103190436573853E-2"/>
                  <c:y val="6.6351851851851884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-10</a:t>
                    </a:r>
                    <a:r>
                      <a:rPr lang="en-US" sz="1400" b="0" i="0" u="none" strike="noStrike" baseline="0"/>
                      <a:t>%</a:t>
                    </a:r>
                    <a:endParaRPr lang="en-US" sz="1400"/>
                  </a:p>
                </c:rich>
              </c:tx>
              <c:dLblPos val="r"/>
              <c:showVal val="1"/>
            </c:dLbl>
            <c:dLbl>
              <c:idx val="12"/>
              <c:layout>
                <c:manualLayout>
                  <c:x val="-5.1845173999782945E-2"/>
                  <c:y val="-6.3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19</a:t>
                    </a:r>
                    <a:r>
                      <a:rPr lang="en-US" sz="1400" b="0" i="0" u="none" strike="noStrike" baseline="0"/>
                      <a:t>%</a:t>
                    </a:r>
                    <a:endParaRPr lang="en-US" sz="1400"/>
                  </a:p>
                </c:rich>
              </c:tx>
              <c:dLblPos val="r"/>
              <c:showVal val="1"/>
            </c:dLbl>
            <c:dLbl>
              <c:idx val="13"/>
              <c:layout>
                <c:manualLayout>
                  <c:x val="-3.7710387120649412E-2"/>
                  <c:y val="-9.2398148148148201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20</a:t>
                    </a:r>
                    <a:r>
                      <a:rPr lang="en-US" sz="1400" b="0" i="0" u="none" strike="noStrike" baseline="0"/>
                      <a:t>%</a:t>
                    </a:r>
                    <a:endParaRPr lang="en-US" sz="1400"/>
                  </a:p>
                </c:rich>
              </c:tx>
              <c:dLblPos val="r"/>
              <c:showVal val="1"/>
            </c:dLbl>
            <c:dLbl>
              <c:idx val="14"/>
              <c:layout>
                <c:manualLayout>
                  <c:x val="-4.0566838343113532E-2"/>
                  <c:y val="-8.6518518518518495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5</a:t>
                    </a:r>
                    <a:r>
                      <a:rPr lang="en-US" sz="1400" b="0" i="0" u="none" strike="noStrike" baseline="0"/>
                      <a:t>%</a:t>
                    </a:r>
                    <a:endParaRPr lang="en-US" sz="1400"/>
                  </a:p>
                </c:rich>
              </c:tx>
              <c:dLblPos val="r"/>
              <c:showVal val="1"/>
            </c:dLbl>
            <c:dLbl>
              <c:idx val="15"/>
              <c:layout>
                <c:manualLayout>
                  <c:x val="-4.4777780560216376E-2"/>
                  <c:y val="-6.3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50</a:t>
                    </a:r>
                    <a:r>
                      <a:rPr lang="en-US" sz="1400" b="0" i="0" u="none" strike="noStrike" baseline="0"/>
                      <a:t>%</a:t>
                    </a:r>
                    <a:endParaRPr lang="en-US" sz="1400"/>
                  </a:p>
                </c:rich>
              </c:tx>
              <c:dLblPos val="r"/>
              <c:showVal val="1"/>
            </c:dLbl>
            <c:dLbl>
              <c:idx val="16"/>
              <c:layout>
                <c:manualLayout>
                  <c:x val="-4.2421982747027187E-2"/>
                  <c:y val="-0.13943518518518574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10</a:t>
                    </a:r>
                    <a:r>
                      <a:rPr lang="en-US" sz="1400" b="0" i="0" u="none" strike="noStrike" baseline="0"/>
                      <a:t>%</a:t>
                    </a:r>
                    <a:endParaRPr lang="en-US" sz="1400"/>
                  </a:p>
                </c:rich>
              </c:tx>
              <c:dLblPos val="r"/>
              <c:showVal val="1"/>
            </c:dLbl>
            <c:dLbl>
              <c:idx val="17"/>
              <c:layout>
                <c:manualLayout>
                  <c:x val="-4.4777780560216265E-2"/>
                  <c:y val="-8.063888888888926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50</a:t>
                    </a:r>
                    <a:r>
                      <a:rPr lang="en-US" sz="1400" b="0" i="0" u="none" strike="noStrike" baseline="0"/>
                      <a:t>%</a:t>
                    </a:r>
                    <a:endParaRPr lang="en-US" sz="1400"/>
                  </a:p>
                </c:rich>
              </c:tx>
              <c:dLblPos val="r"/>
              <c:showVal val="1"/>
            </c:dLbl>
            <c:dLbl>
              <c:idx val="18"/>
              <c:layout>
                <c:manualLayout>
                  <c:x val="-3.5354589307460368E-2"/>
                  <c:y val="-8.6518518518518495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24</a:t>
                    </a:r>
                    <a:r>
                      <a:rPr lang="en-US" sz="1400" b="0" i="0" u="none" strike="noStrike" baseline="0"/>
                      <a:t>%</a:t>
                    </a:r>
                    <a:endParaRPr lang="en-US" sz="1400"/>
                  </a:p>
                </c:rich>
              </c:tx>
              <c:dLblPos val="r"/>
              <c:showVal val="1"/>
            </c:dLbl>
            <c:dLbl>
              <c:idx val="19"/>
              <c:layout>
                <c:manualLayout>
                  <c:x val="-1.3404118565263511E-2"/>
                  <c:y val="-8.6518518518518495E-2"/>
                </c:manualLayout>
              </c:layout>
              <c:tx>
                <c:rich>
                  <a:bodyPr/>
                  <a:lstStyle/>
                  <a:p>
                    <a:r>
                      <a:rPr lang="en-US" sz="1400"/>
                      <a:t>7</a:t>
                    </a:r>
                    <a:r>
                      <a:rPr lang="en-US" sz="1400" b="0" i="0" u="none" strike="noStrike" baseline="0"/>
                      <a:t>%</a:t>
                    </a:r>
                    <a:endParaRPr lang="en-US" sz="1400"/>
                  </a:p>
                </c:rich>
              </c:tx>
              <c:dLblPos val="r"/>
              <c:showVal val="1"/>
            </c:dLbl>
            <c:txPr>
              <a:bodyPr rot="0" vert="horz"/>
              <a:lstStyle/>
              <a:p>
                <a:pPr>
                  <a:defRPr sz="1400"/>
                </a:pPr>
                <a:endParaRPr lang="en-US"/>
              </a:p>
            </c:txPr>
            <c:dLblPos val="t"/>
            <c:showVal val="1"/>
          </c:dLbls>
          <c:cat>
            <c:multiLvlStrRef>
              <c:f>'% change'!$D$5:$E$24</c:f>
              <c:multiLvlStrCache>
                <c:ptCount val="20"/>
                <c:lvl>
                  <c:pt idx="0">
                    <c:v>Cypermethrin</c:v>
                  </c:pt>
                  <c:pt idx="1">
                    <c:v>Chlorpyrifos</c:v>
                  </c:pt>
                  <c:pt idx="2">
                    <c:v>Lufenuron</c:v>
                  </c:pt>
                  <c:pt idx="3">
                    <c:v>Emamectin</c:v>
                  </c:pt>
                  <c:pt idx="4">
                    <c:v>Cypermethrin</c:v>
                  </c:pt>
                  <c:pt idx="5">
                    <c:v>Chlorpyrifos</c:v>
                  </c:pt>
                  <c:pt idx="6">
                    <c:v>Lufenuron</c:v>
                  </c:pt>
                  <c:pt idx="7">
                    <c:v>Emamectin</c:v>
                  </c:pt>
                  <c:pt idx="8">
                    <c:v>Cypermethrin</c:v>
                  </c:pt>
                  <c:pt idx="9">
                    <c:v>Chlorpyrifos</c:v>
                  </c:pt>
                  <c:pt idx="10">
                    <c:v>Lufenuron</c:v>
                  </c:pt>
                  <c:pt idx="11">
                    <c:v>Emamectin</c:v>
                  </c:pt>
                  <c:pt idx="12">
                    <c:v>Cypermethrin</c:v>
                  </c:pt>
                  <c:pt idx="13">
                    <c:v>Chlorpyrifos</c:v>
                  </c:pt>
                  <c:pt idx="14">
                    <c:v>Lufenuron</c:v>
                  </c:pt>
                  <c:pt idx="15">
                    <c:v>Emamectin</c:v>
                  </c:pt>
                  <c:pt idx="16">
                    <c:v>Cypermethrin</c:v>
                  </c:pt>
                  <c:pt idx="17">
                    <c:v>Chlorpyrifos</c:v>
                  </c:pt>
                  <c:pt idx="18">
                    <c:v>Lufenuron</c:v>
                  </c:pt>
                  <c:pt idx="19">
                    <c:v>Emamectin</c:v>
                  </c:pt>
                </c:lvl>
                <c:lvl>
                  <c:pt idx="0">
                    <c:v>Castor</c:v>
                  </c:pt>
                  <c:pt idx="4">
                    <c:v>Cauliflower</c:v>
                  </c:pt>
                  <c:pt idx="8">
                    <c:v>Cotton</c:v>
                  </c:pt>
                  <c:pt idx="12">
                    <c:v>Okra</c:v>
                  </c:pt>
                  <c:pt idx="16">
                    <c:v>Spinach</c:v>
                  </c:pt>
                </c:lvl>
              </c:multiLvlStrCache>
            </c:multiLvlStrRef>
          </c:cat>
          <c:val>
            <c:numRef>
              <c:f>'% change'!$L$5:$L$24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-5.2631529085869895</c:v>
                </c:pt>
                <c:pt idx="6">
                  <c:v>0</c:v>
                </c:pt>
                <c:pt idx="7">
                  <c:v>5.2631686980615102</c:v>
                </c:pt>
                <c:pt idx="8">
                  <c:v>6.2500128906258192</c:v>
                </c:pt>
                <c:pt idx="9">
                  <c:v>11.111116666666661</c:v>
                </c:pt>
                <c:pt idx="10">
                  <c:v>11.111116666666661</c:v>
                </c:pt>
                <c:pt idx="11">
                  <c:v>-10.00000449999977</c:v>
                </c:pt>
                <c:pt idx="12">
                  <c:v>18.750001171875073</c:v>
                </c:pt>
                <c:pt idx="13">
                  <c:v>19.999994000000306</c:v>
                </c:pt>
                <c:pt idx="14">
                  <c:v>4.7619000000000051</c:v>
                </c:pt>
                <c:pt idx="15">
                  <c:v>50.000009375000602</c:v>
                </c:pt>
                <c:pt idx="16">
                  <c:v>9.9999895000005363</c:v>
                </c:pt>
                <c:pt idx="17">
                  <c:v>50</c:v>
                </c:pt>
                <c:pt idx="18">
                  <c:v>23.529404498270313</c:v>
                </c:pt>
                <c:pt idx="19">
                  <c:v>6.666659999999994</c:v>
                </c:pt>
              </c:numCache>
            </c:numRef>
          </c:val>
        </c:ser>
        <c:dLbls>
          <c:showVal val="1"/>
        </c:dLbls>
        <c:dropLines>
          <c:spPr>
            <a:ln w="31750">
              <a:prstDash val="solid"/>
              <a:headEnd type="none"/>
              <a:tailEnd type="none"/>
            </a:ln>
          </c:spPr>
        </c:dropLines>
        <c:marker val="1"/>
        <c:axId val="203577600"/>
        <c:axId val="203609984"/>
      </c:lineChart>
      <c:catAx>
        <c:axId val="203577600"/>
        <c:scaling>
          <c:orientation val="minMax"/>
        </c:scaling>
        <c:axPos val="b"/>
        <c:majorTickMark val="none"/>
        <c:tickLblPos val="none"/>
        <c:crossAx val="203609984"/>
        <c:crosses val="autoZero"/>
        <c:auto val="1"/>
        <c:lblAlgn val="ctr"/>
        <c:lblOffset val="100"/>
      </c:catAx>
      <c:valAx>
        <c:axId val="203609984"/>
        <c:scaling>
          <c:orientation val="minMax"/>
          <c:max val="100"/>
          <c:min val="-50"/>
        </c:scaling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∆ mortality (%)</a:t>
                </a:r>
              </a:p>
            </c:rich>
          </c:tx>
          <c:layout/>
        </c:title>
        <c:numFmt formatCode="General" sourceLinked="0"/>
        <c:tickLblPos val="nextTo"/>
        <c:crossAx val="203577600"/>
        <c:crosses val="autoZero"/>
        <c:crossBetween val="between"/>
        <c:majorUnit val="50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3828205799507238"/>
          <c:y val="7.108472222222223E-2"/>
          <c:w val="0.48256779970746555"/>
          <c:h val="0.13475509259259275"/>
        </c:manualLayout>
      </c:layout>
    </c:legend>
    <c:plotVisOnly val="1"/>
    <c:dispBlanksAs val="gap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style val="1"/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Cauliflower</a:t>
            </a:r>
          </a:p>
        </c:rich>
      </c:tx>
      <c:layout>
        <c:manualLayout>
          <c:xMode val="edge"/>
          <c:yMode val="edge"/>
          <c:x val="0.49544510113022988"/>
          <c:y val="0"/>
        </c:manualLayout>
      </c:layout>
      <c:overlay val="1"/>
    </c:title>
    <c:plotArea>
      <c:layout>
        <c:manualLayout>
          <c:layoutTarget val="inner"/>
          <c:xMode val="edge"/>
          <c:yMode val="edge"/>
          <c:x val="0.1444779686589294"/>
          <c:y val="5.7904629629629688E-2"/>
          <c:w val="0.83056052780447054"/>
          <c:h val="0.8918541666666665"/>
        </c:manualLayout>
      </c:layout>
      <c:lineChart>
        <c:grouping val="standard"/>
        <c:ser>
          <c:idx val="2"/>
          <c:order val="0"/>
          <c:tx>
            <c:strRef>
              <c:f>'% change'!$L$4</c:f>
              <c:strCache>
                <c:ptCount val="1"/>
                <c:pt idx="0">
                  <c:v>No Shifting to Host Shifting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dLbls>
            <c:dLbl>
              <c:idx val="0"/>
              <c:layout>
                <c:manualLayout>
                  <c:x val="-8.8166196898323539E-3"/>
                  <c:y val="-9.083796296296348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-48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19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2"/>
              <c:layout>
                <c:manualLayout>
                  <c:x val="-4.3817839325314412E-2"/>
                  <c:y val="-5.612083333333338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11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3"/>
              <c:layout>
                <c:manualLayout>
                  <c:x val="-3.0030469972872256E-2"/>
                  <c:y val="7.91106481481483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-33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4"/>
              <c:layout>
                <c:manualLayout>
                  <c:x val="-4.2528086396566064E-2"/>
                  <c:y val="-7.96393518518519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5"/>
              <c:layout>
                <c:manualLayout>
                  <c:x val="-4.2528086396566064E-2"/>
                  <c:y val="-0.11491712962962965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6"/>
              <c:layout>
                <c:manualLayout>
                  <c:x val="-4.2528086396566099E-2"/>
                  <c:y val="-8.551898148148150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7"/>
              <c:layout>
                <c:manualLayout>
                  <c:x val="-4.4883884209755094E-2"/>
                  <c:y val="-0.1207967592592598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8"/>
              <c:layout/>
              <c:tx>
                <c:rich>
                  <a:bodyPr/>
                  <a:lstStyle/>
                  <a:p>
                    <a:r>
                      <a:rPr lang="en-US"/>
                      <a:t>-6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9"/>
              <c:layout>
                <c:manualLayout>
                  <c:x val="-5.5932575953611438E-2"/>
                  <c:y val="7.911064814814841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-11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0"/>
              <c:layout/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1"/>
              <c:layout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2"/>
              <c:layout/>
              <c:tx>
                <c:rich>
                  <a:bodyPr/>
                  <a:lstStyle/>
                  <a:p>
                    <a:r>
                      <a:rPr lang="en-US"/>
                      <a:t>13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3"/>
              <c:layout>
                <c:manualLayout>
                  <c:x val="-5.5932575953611438E-2"/>
                  <c:y val="8.499027777777777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-15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4"/>
              <c:layout>
                <c:manualLayout>
                  <c:x val="-5.0885232764881272E-2"/>
                  <c:y val="-7.96393518518519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5"/>
              <c:layout/>
              <c:tx>
                <c:rich>
                  <a:bodyPr/>
                  <a:lstStyle/>
                  <a:p>
                    <a:r>
                      <a:rPr lang="en-US"/>
                      <a:t>19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6"/>
              <c:layout>
                <c:manualLayout>
                  <c:x val="-5.5932575953611438E-2"/>
                  <c:y val="7.911064814814841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7"/>
              <c:layout>
                <c:manualLayout>
                  <c:x val="-5.0885232764881175E-2"/>
                  <c:y val="-9.139861111111111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50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8"/>
              <c:layout>
                <c:manualLayout>
                  <c:x val="-5.0885232764881175E-2"/>
                  <c:y val="-0.161954166666666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18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9"/>
              <c:layout>
                <c:manualLayout>
                  <c:x val="-1.0153117583062742E-2"/>
                  <c:y val="-7.96393518518519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67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Pos val="t"/>
            <c:showVal val="1"/>
          </c:dLbls>
          <c:cat>
            <c:multiLvlStrRef>
              <c:f>'% change'!$D$25:$E$44</c:f>
              <c:multiLvlStrCache>
                <c:ptCount val="20"/>
                <c:lvl>
                  <c:pt idx="0">
                    <c:v>Cypermethrin</c:v>
                  </c:pt>
                  <c:pt idx="1">
                    <c:v>Chlorpyrifos</c:v>
                  </c:pt>
                  <c:pt idx="2">
                    <c:v>Lufenuron</c:v>
                  </c:pt>
                  <c:pt idx="3">
                    <c:v>Emamectin</c:v>
                  </c:pt>
                  <c:pt idx="4">
                    <c:v>Cypermethrin</c:v>
                  </c:pt>
                  <c:pt idx="5">
                    <c:v>Chlorpyrifos</c:v>
                  </c:pt>
                  <c:pt idx="6">
                    <c:v>Lufenuron</c:v>
                  </c:pt>
                  <c:pt idx="7">
                    <c:v>Emamectin</c:v>
                  </c:pt>
                  <c:pt idx="8">
                    <c:v>Cypermethrin</c:v>
                  </c:pt>
                  <c:pt idx="9">
                    <c:v>Chlorpyrifos</c:v>
                  </c:pt>
                  <c:pt idx="10">
                    <c:v>Lufenuron</c:v>
                  </c:pt>
                  <c:pt idx="11">
                    <c:v>Emamectin</c:v>
                  </c:pt>
                  <c:pt idx="12">
                    <c:v>Cypermethrin</c:v>
                  </c:pt>
                  <c:pt idx="13">
                    <c:v>Chlorpyrifos</c:v>
                  </c:pt>
                  <c:pt idx="14">
                    <c:v>Lufenuron</c:v>
                  </c:pt>
                  <c:pt idx="15">
                    <c:v>Emamectin</c:v>
                  </c:pt>
                  <c:pt idx="16">
                    <c:v>Cypermethrin</c:v>
                  </c:pt>
                  <c:pt idx="17">
                    <c:v>Chlorpyrifos</c:v>
                  </c:pt>
                  <c:pt idx="18">
                    <c:v>Lufenuron</c:v>
                  </c:pt>
                  <c:pt idx="19">
                    <c:v>Emamectin</c:v>
                  </c:pt>
                </c:lvl>
                <c:lvl>
                  <c:pt idx="0">
                    <c:v>Castor</c:v>
                  </c:pt>
                  <c:pt idx="4">
                    <c:v>Cauliflower</c:v>
                  </c:pt>
                  <c:pt idx="8">
                    <c:v>Cotton</c:v>
                  </c:pt>
                  <c:pt idx="12">
                    <c:v>Okra</c:v>
                  </c:pt>
                  <c:pt idx="16">
                    <c:v>Spinach</c:v>
                  </c:pt>
                </c:lvl>
              </c:multiLvlStrCache>
            </c:multiLvlStrRef>
          </c:cat>
          <c:val>
            <c:numRef>
              <c:f>'% change'!$L$25:$L$44</c:f>
              <c:numCache>
                <c:formatCode>0</c:formatCode>
                <c:ptCount val="20"/>
                <c:pt idx="0">
                  <c:v>-47.619042857142851</c:v>
                </c:pt>
                <c:pt idx="1">
                  <c:v>18.743757421484844</c:v>
                </c:pt>
                <c:pt idx="2">
                  <c:v>11.111116666666661</c:v>
                </c:pt>
                <c:pt idx="3">
                  <c:v>-33.333328571428567</c:v>
                </c:pt>
                <c:pt idx="4">
                  <c:v>-5.9999996544804811E-6</c:v>
                </c:pt>
                <c:pt idx="5">
                  <c:v>0</c:v>
                </c:pt>
                <c:pt idx="6">
                  <c:v>4.9949997502580891E-3</c:v>
                </c:pt>
                <c:pt idx="7">
                  <c:v>-5.2578950135707039E-3</c:v>
                </c:pt>
                <c:pt idx="8">
                  <c:v>-6.2499941406246275</c:v>
                </c:pt>
                <c:pt idx="9">
                  <c:v>-11.116666666666669</c:v>
                </c:pt>
                <c:pt idx="10">
                  <c:v>5.5499999999999972</c:v>
                </c:pt>
                <c:pt idx="11">
                  <c:v>-1.0004999499749624E-2</c:v>
                </c:pt>
                <c:pt idx="12">
                  <c:v>12.500007031250446</c:v>
                </c:pt>
                <c:pt idx="13">
                  <c:v>-14.99500425024978</c:v>
                </c:pt>
                <c:pt idx="14">
                  <c:v>9.5714285714285747</c:v>
                </c:pt>
                <c:pt idx="15">
                  <c:v>18.743757421484844</c:v>
                </c:pt>
                <c:pt idx="16">
                  <c:v>-10.00000449999977</c:v>
                </c:pt>
                <c:pt idx="17">
                  <c:v>50</c:v>
                </c:pt>
                <c:pt idx="18">
                  <c:v>17.652934255709745</c:v>
                </c:pt>
                <c:pt idx="19">
                  <c:v>66.66</c:v>
                </c:pt>
              </c:numCache>
            </c:numRef>
          </c:val>
        </c:ser>
        <c:dLbls>
          <c:showVal val="1"/>
        </c:dLbls>
        <c:dropLines>
          <c:spPr>
            <a:ln w="31750" cap="flat" cmpd="sng">
              <a:prstDash val="solid"/>
            </a:ln>
          </c:spPr>
        </c:dropLines>
        <c:marker val="1"/>
        <c:axId val="213240064"/>
        <c:axId val="200425856"/>
      </c:lineChart>
      <c:catAx>
        <c:axId val="213240064"/>
        <c:scaling>
          <c:orientation val="minMax"/>
        </c:scaling>
        <c:axPos val="b"/>
        <c:numFmt formatCode="General" sourceLinked="1"/>
        <c:majorTickMark val="none"/>
        <c:tickLblPos val="none"/>
        <c:crossAx val="200425856"/>
        <c:crosses val="autoZero"/>
        <c:auto val="1"/>
        <c:lblAlgn val="ctr"/>
        <c:lblOffset val="100"/>
      </c:catAx>
      <c:valAx>
        <c:axId val="200425856"/>
        <c:scaling>
          <c:orientation val="minMax"/>
          <c:max val="100"/>
          <c:min val="-50"/>
        </c:scaling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∆ mortality (%)</a:t>
                </a:r>
              </a:p>
            </c:rich>
          </c:tx>
          <c:layout/>
        </c:title>
        <c:numFmt formatCode="General" sourceLinked="0"/>
        <c:tickLblPos val="nextTo"/>
        <c:crossAx val="213240064"/>
        <c:crosses val="autoZero"/>
        <c:crossBetween val="between"/>
        <c:majorUnit val="50"/>
      </c:valAx>
    </c:plotArea>
    <c:legend>
      <c:legendPos val="t"/>
      <c:layout>
        <c:manualLayout>
          <c:xMode val="edge"/>
          <c:yMode val="edge"/>
          <c:x val="0.35243082053538771"/>
          <c:y val="7.055555555555551E-2"/>
          <c:w val="0.48256779970746555"/>
          <c:h val="0.13475509259259275"/>
        </c:manualLayout>
      </c:layout>
    </c:legend>
    <c:plotVisOnly val="1"/>
    <c:dispBlanksAs val="gap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b="0.75000000000000289" l="0.70000000000000062" r="0.70000000000000062" t="0.75000000000000289" header="0.30000000000000032" footer="0.30000000000000032"/>
    <c:pageSetup orientation="portrait"/>
  </c:printSettings>
  <c:userShapes r:id="rId2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style val="1"/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Cotton</a:t>
            </a:r>
          </a:p>
        </c:rich>
      </c:tx>
      <c:layout>
        <c:manualLayout>
          <c:xMode val="edge"/>
          <c:yMode val="edge"/>
          <c:x val="0.50307908606124352"/>
          <c:y val="0"/>
        </c:manualLayout>
      </c:layout>
    </c:title>
    <c:plotArea>
      <c:layout>
        <c:manualLayout>
          <c:layoutTarget val="inner"/>
          <c:xMode val="edge"/>
          <c:yMode val="edge"/>
          <c:x val="0.14683061391855942"/>
          <c:y val="6.1417129629629634E-2"/>
          <c:w val="0.83056052780447054"/>
          <c:h val="0.88704398148148145"/>
        </c:manualLayout>
      </c:layout>
      <c:lineChart>
        <c:grouping val="standard"/>
        <c:ser>
          <c:idx val="2"/>
          <c:order val="0"/>
          <c:tx>
            <c:strRef>
              <c:f>'% change'!$L$4</c:f>
              <c:strCache>
                <c:ptCount val="1"/>
                <c:pt idx="0">
                  <c:v>No Shifting to Host Shifting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dLbls>
            <c:dLbl>
              <c:idx val="0"/>
              <c:layout>
                <c:manualLayout>
                  <c:x val="-4.2471331429844883E-2"/>
                  <c:y val="-7.96393518518519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"/>
              <c:layout>
                <c:manualLayout>
                  <c:x val="-4.8464671010987427E-2"/>
                  <c:y val="-6.78800925925925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13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2"/>
              <c:layout>
                <c:manualLayout>
                  <c:x val="-4.6112017078415113E-2"/>
                  <c:y val="-0.11491712962962961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17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3"/>
              <c:layout>
                <c:manualLayout>
                  <c:x val="-4.3759363145842882E-2"/>
                  <c:y val="-0.12667638888888888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4"/>
              <c:layout>
                <c:manualLayout>
                  <c:x val="-2.4938131685265291E-2"/>
                  <c:y val="-7.96393518518519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41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5"/>
              <c:layout>
                <c:manualLayout>
                  <c:x val="-3.9396539926873336E-2"/>
                  <c:y val="8.499027777777792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-32%</a:t>
                    </a:r>
                  </a:p>
                </c:rich>
              </c:tx>
              <c:dLblPos val="r"/>
              <c:showVal val="1"/>
            </c:dLbl>
            <c:dLbl>
              <c:idx val="6"/>
              <c:layout/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7"/>
              <c:layout>
                <c:manualLayout>
                  <c:x val="-4.8464671010987427E-2"/>
                  <c:y val="-6.78800925925925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11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8"/>
              <c:layout>
                <c:manualLayout>
                  <c:x val="-4.2471331429844883E-2"/>
                  <c:y val="-6.78800925925925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9"/>
              <c:layout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0"/>
              <c:layout>
                <c:manualLayout>
                  <c:x val="-4.2471331429844883E-2"/>
                  <c:y val="-6.78800925925925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1"/>
              <c:layout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2"/>
              <c:layout>
                <c:manualLayout>
                  <c:x val="-4.1406709213270693E-2"/>
                  <c:y val="-6.200046296296297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13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3"/>
              <c:layout>
                <c:manualLayout>
                  <c:x val="-4.408299199782769E-2"/>
                  <c:y val="7.911064814814841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-30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4"/>
              <c:layout>
                <c:manualLayout>
                  <c:x val="-4.846467101098751E-2"/>
                  <c:y val="-7.96393518518519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19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5"/>
              <c:layout>
                <c:manualLayout>
                  <c:x val="-4.5159284859894039E-2"/>
                  <c:y val="7.323101851851851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-6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6"/>
              <c:layout>
                <c:manualLayout>
                  <c:x val="-7.199121033670916E-2"/>
                  <c:y val="-9.139861111111111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35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7"/>
              <c:layout>
                <c:manualLayout>
                  <c:x val="-5.0817324943559616E-2"/>
                  <c:y val="-7.96393518518519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92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8"/>
              <c:layout>
                <c:manualLayout>
                  <c:x val="-4.7500082898632792E-2"/>
                  <c:y val="8.499027777777777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-6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9"/>
              <c:layout>
                <c:manualLayout>
                  <c:x val="-5.4950215434558334E-3"/>
                  <c:y val="-7.96393518518519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53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Pos val="t"/>
            <c:showVal val="1"/>
          </c:dLbls>
          <c:cat>
            <c:multiLvlStrRef>
              <c:f>'% change'!$D$45:$E$64</c:f>
              <c:multiLvlStrCache>
                <c:ptCount val="20"/>
                <c:lvl>
                  <c:pt idx="0">
                    <c:v>Cypermethrin</c:v>
                  </c:pt>
                  <c:pt idx="1">
                    <c:v>Chlorpyrifos</c:v>
                  </c:pt>
                  <c:pt idx="2">
                    <c:v>Lufenuron</c:v>
                  </c:pt>
                  <c:pt idx="3">
                    <c:v>Emamectin</c:v>
                  </c:pt>
                  <c:pt idx="4">
                    <c:v>Cypermethrin</c:v>
                  </c:pt>
                  <c:pt idx="5">
                    <c:v>Chlorpyrifos</c:v>
                  </c:pt>
                  <c:pt idx="6">
                    <c:v>Lufenuron</c:v>
                  </c:pt>
                  <c:pt idx="7">
                    <c:v>Emamectin</c:v>
                  </c:pt>
                  <c:pt idx="8">
                    <c:v>Cypermethrin</c:v>
                  </c:pt>
                  <c:pt idx="9">
                    <c:v>Chlorpyrifos</c:v>
                  </c:pt>
                  <c:pt idx="10">
                    <c:v>Lufenuron</c:v>
                  </c:pt>
                  <c:pt idx="11">
                    <c:v>Emamectin</c:v>
                  </c:pt>
                  <c:pt idx="12">
                    <c:v>Cypermethrin</c:v>
                  </c:pt>
                  <c:pt idx="13">
                    <c:v>Chlorpyrifos</c:v>
                  </c:pt>
                  <c:pt idx="14">
                    <c:v>Lufenuron</c:v>
                  </c:pt>
                  <c:pt idx="15">
                    <c:v>Emamectin</c:v>
                  </c:pt>
                  <c:pt idx="16">
                    <c:v>Cypermethrin</c:v>
                  </c:pt>
                  <c:pt idx="17">
                    <c:v>Chlorpyrifos</c:v>
                  </c:pt>
                  <c:pt idx="18">
                    <c:v>Lufenuron</c:v>
                  </c:pt>
                  <c:pt idx="19">
                    <c:v>Emamectin</c:v>
                  </c:pt>
                </c:lvl>
                <c:lvl>
                  <c:pt idx="0">
                    <c:v>Castor</c:v>
                  </c:pt>
                  <c:pt idx="4">
                    <c:v>Cauliflower</c:v>
                  </c:pt>
                  <c:pt idx="8">
                    <c:v>Cotton</c:v>
                  </c:pt>
                  <c:pt idx="12">
                    <c:v>Okra</c:v>
                  </c:pt>
                  <c:pt idx="16">
                    <c:v>Spinach</c:v>
                  </c:pt>
                </c:lvl>
              </c:multiLvlStrCache>
            </c:multiLvlStrRef>
          </c:cat>
          <c:val>
            <c:numRef>
              <c:f>'% change'!$L$45:$L$64</c:f>
              <c:numCache>
                <c:formatCode>0</c:formatCode>
                <c:ptCount val="20"/>
                <c:pt idx="0">
                  <c:v>0</c:v>
                </c:pt>
                <c:pt idx="1">
                  <c:v>12.500007031250446</c:v>
                </c:pt>
                <c:pt idx="2">
                  <c:v>16.666666666666664</c:v>
                </c:pt>
                <c:pt idx="3">
                  <c:v>23.809528571428565</c:v>
                </c:pt>
                <c:pt idx="4">
                  <c:v>41.1764622837375</c:v>
                </c:pt>
                <c:pt idx="5">
                  <c:v>-31.578949030471005</c:v>
                </c:pt>
                <c:pt idx="6">
                  <c:v>14.999999250000037</c:v>
                </c:pt>
                <c:pt idx="7">
                  <c:v>10.526321606648512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12.500007031250446</c:v>
                </c:pt>
                <c:pt idx="13">
                  <c:v>-29.999998500000064</c:v>
                </c:pt>
                <c:pt idx="14">
                  <c:v>19.047614285714289</c:v>
                </c:pt>
                <c:pt idx="15">
                  <c:v>-6.2499941406246275</c:v>
                </c:pt>
                <c:pt idx="16">
                  <c:v>34.999993250000344</c:v>
                </c:pt>
                <c:pt idx="17">
                  <c:v>91.666674999999984</c:v>
                </c:pt>
                <c:pt idx="18">
                  <c:v>-5.8823643598609321</c:v>
                </c:pt>
                <c:pt idx="19">
                  <c:v>53.333339999999993</c:v>
                </c:pt>
              </c:numCache>
            </c:numRef>
          </c:val>
        </c:ser>
        <c:dLbls>
          <c:showVal val="1"/>
        </c:dLbls>
        <c:dropLines>
          <c:spPr>
            <a:ln w="31750">
              <a:prstDash val="solid"/>
            </a:ln>
          </c:spPr>
        </c:dropLines>
        <c:marker val="1"/>
        <c:axId val="200428928"/>
        <c:axId val="200434816"/>
      </c:lineChart>
      <c:catAx>
        <c:axId val="200428928"/>
        <c:scaling>
          <c:orientation val="minMax"/>
        </c:scaling>
        <c:axPos val="b"/>
        <c:numFmt formatCode="General" sourceLinked="1"/>
        <c:tickLblPos val="none"/>
        <c:crossAx val="200434816"/>
        <c:crosses val="autoZero"/>
        <c:auto val="1"/>
        <c:lblAlgn val="ctr"/>
        <c:lblOffset val="100"/>
      </c:catAx>
      <c:valAx>
        <c:axId val="200434816"/>
        <c:scaling>
          <c:orientation val="minMax"/>
          <c:max val="100"/>
          <c:min val="-50"/>
        </c:scaling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∆ mortality (%)</a:t>
                </a:r>
              </a:p>
            </c:rich>
          </c:tx>
          <c:layout/>
        </c:title>
        <c:numFmt formatCode="General" sourceLinked="0"/>
        <c:tickLblPos val="nextTo"/>
        <c:crossAx val="200428928"/>
        <c:crosses val="autoZero"/>
        <c:crossBetween val="between"/>
        <c:majorUnit val="50"/>
      </c:valAx>
    </c:plotArea>
    <c:legend>
      <c:legendPos val="t"/>
      <c:layout>
        <c:manualLayout>
          <c:xMode val="edge"/>
          <c:yMode val="edge"/>
          <c:x val="0.31569338125371577"/>
          <c:y val="7.6964351851851895E-2"/>
          <c:w val="0.4819164395799424"/>
          <c:h val="0.13475509259259275"/>
        </c:manualLayout>
      </c:layout>
    </c:legend>
    <c:plotVisOnly val="1"/>
    <c:dispBlanksAs val="gap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b="0.75000000000000289" l="0.70000000000000062" r="0.70000000000000062" t="0.75000000000000289" header="0.30000000000000032" footer="0.30000000000000032"/>
    <c:pageSetup orientation="portrait"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style val="1"/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Okra</a:t>
            </a:r>
          </a:p>
        </c:rich>
      </c:tx>
      <c:layout>
        <c:manualLayout>
          <c:xMode val="edge"/>
          <c:yMode val="edge"/>
          <c:x val="0.51442579605357275"/>
          <c:y val="1.7638888888888891E-2"/>
        </c:manualLayout>
      </c:layout>
    </c:title>
    <c:plotArea>
      <c:layout>
        <c:manualLayout>
          <c:layoutTarget val="inner"/>
          <c:xMode val="edge"/>
          <c:yMode val="edge"/>
          <c:x val="0.1444779686589294"/>
          <c:y val="5.3297685185185184E-2"/>
          <c:w val="0.83056052780447054"/>
          <c:h val="0.88340416666666621"/>
        </c:manualLayout>
      </c:layout>
      <c:lineChart>
        <c:grouping val="standard"/>
        <c:ser>
          <c:idx val="2"/>
          <c:order val="0"/>
          <c:tx>
            <c:strRef>
              <c:f>'% change'!$L$4</c:f>
              <c:strCache>
                <c:ptCount val="1"/>
                <c:pt idx="0">
                  <c:v>No Shifting to Host Shifting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dLbls>
            <c:dLbl>
              <c:idx val="0"/>
              <c:layout>
                <c:manualLayout>
                  <c:x val="-5.5987878855398562E-2"/>
                  <c:y val="6.147175925925926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"/>
              <c:layout>
                <c:manualLayout>
                  <c:x val="-5.5932575953611452E-2"/>
                  <c:y val="7.91106481481485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-25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17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3"/>
              <c:layout>
                <c:manualLayout>
                  <c:x val="-4.2528086396566099E-2"/>
                  <c:y val="-6.78800925925925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5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5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6"/>
              <c:layout>
                <c:manualLayout>
                  <c:x val="-3.546069295699928E-2"/>
                  <c:y val="-6.78800925925925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7"/>
              <c:layout/>
              <c:tx>
                <c:rich>
                  <a:bodyPr/>
                  <a:lstStyle/>
                  <a:p>
                    <a:r>
                      <a:rPr lang="en-US"/>
                      <a:t>11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8"/>
              <c:layout>
                <c:manualLayout>
                  <c:x val="-5.0885232764881175E-2"/>
                  <c:y val="-7.37597222222223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50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9"/>
              <c:layout>
                <c:manualLayout>
                  <c:x val="-4.3817839325314412E-2"/>
                  <c:y val="-0.1031578703703703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28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0"/>
              <c:layout>
                <c:manualLayout>
                  <c:x val="-4.3817839325314412E-2"/>
                  <c:y val="-6.200046296296297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22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1"/>
              <c:layout>
                <c:manualLayout>
                  <c:x val="-5.3576778140422283E-2"/>
                  <c:y val="6.735138888888889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-15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2"/>
              <c:layout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3"/>
              <c:layout>
                <c:manualLayout>
                  <c:x val="-4.2528086396566099E-2"/>
                  <c:y val="-6.200046296296297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4"/>
              <c:layout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5"/>
              <c:layout>
                <c:manualLayout>
                  <c:x val="-4.2528086396566099E-2"/>
                  <c:y val="-5.024120370370370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6"/>
              <c:layout>
                <c:manualLayout>
                  <c:x val="-4.2528086396566099E-2"/>
                  <c:y val="-9.139861111111113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5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7"/>
              <c:layout/>
              <c:tx>
                <c:rich>
                  <a:bodyPr/>
                  <a:lstStyle/>
                  <a:p>
                    <a:r>
                      <a:rPr lang="en-US"/>
                      <a:t>8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8"/>
              <c:layout>
                <c:manualLayout>
                  <c:x val="-5.0885232764881175E-2"/>
                  <c:y val="-7.96393518518519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47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9"/>
              <c:layout>
                <c:manualLayout>
                  <c:x val="-7.2992633030697176E-4"/>
                  <c:y val="-9.727824074074069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13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Pos val="t"/>
            <c:showVal val="1"/>
          </c:dLbls>
          <c:cat>
            <c:multiLvlStrRef>
              <c:f>'% change'!$D$65:$E$84</c:f>
              <c:multiLvlStrCache>
                <c:ptCount val="20"/>
                <c:lvl>
                  <c:pt idx="0">
                    <c:v>Cypermethrin</c:v>
                  </c:pt>
                  <c:pt idx="1">
                    <c:v>Chlorpyrifos</c:v>
                  </c:pt>
                  <c:pt idx="2">
                    <c:v>Lufenuron</c:v>
                  </c:pt>
                  <c:pt idx="3">
                    <c:v>Emamectin</c:v>
                  </c:pt>
                  <c:pt idx="4">
                    <c:v>Cypermethrin</c:v>
                  </c:pt>
                  <c:pt idx="5">
                    <c:v>Chlorpyrifos</c:v>
                  </c:pt>
                  <c:pt idx="6">
                    <c:v>Lufenuron</c:v>
                  </c:pt>
                  <c:pt idx="7">
                    <c:v>Emamectin</c:v>
                  </c:pt>
                  <c:pt idx="8">
                    <c:v>Cypermethrin</c:v>
                  </c:pt>
                  <c:pt idx="9">
                    <c:v>Chlorpyrifos</c:v>
                  </c:pt>
                  <c:pt idx="10">
                    <c:v>Lufenuron</c:v>
                  </c:pt>
                  <c:pt idx="11">
                    <c:v>Emamectin</c:v>
                  </c:pt>
                  <c:pt idx="12">
                    <c:v>Cypermethrin</c:v>
                  </c:pt>
                  <c:pt idx="13">
                    <c:v>Chlorpyrifos</c:v>
                  </c:pt>
                  <c:pt idx="14">
                    <c:v>Lufenuron</c:v>
                  </c:pt>
                  <c:pt idx="15">
                    <c:v>Emamectin</c:v>
                  </c:pt>
                  <c:pt idx="16">
                    <c:v>Cypermethrin</c:v>
                  </c:pt>
                  <c:pt idx="17">
                    <c:v>Chlorpyrifos</c:v>
                  </c:pt>
                  <c:pt idx="18">
                    <c:v>Lufenuron</c:v>
                  </c:pt>
                  <c:pt idx="19">
                    <c:v>Emamectin</c:v>
                  </c:pt>
                </c:lvl>
                <c:lvl>
                  <c:pt idx="0">
                    <c:v>Castor</c:v>
                  </c:pt>
                  <c:pt idx="4">
                    <c:v>Cauliflower</c:v>
                  </c:pt>
                  <c:pt idx="8">
                    <c:v>Cotton</c:v>
                  </c:pt>
                  <c:pt idx="12">
                    <c:v>Okra</c:v>
                  </c:pt>
                  <c:pt idx="16">
                    <c:v>Spinach</c:v>
                  </c:pt>
                </c:lvl>
              </c:multiLvlStrCache>
            </c:multiLvlStrRef>
          </c:cat>
          <c:val>
            <c:numRef>
              <c:f>'% change'!$L$65:$L$84</c:f>
              <c:numCache>
                <c:formatCode>0</c:formatCode>
                <c:ptCount val="20"/>
                <c:pt idx="0">
                  <c:v>-9.5238142857142911</c:v>
                </c:pt>
                <c:pt idx="1">
                  <c:v>-24.999995312499699</c:v>
                </c:pt>
                <c:pt idx="2">
                  <c:v>16.666666666666664</c:v>
                </c:pt>
                <c:pt idx="3">
                  <c:v>4.7619000000000051</c:v>
                </c:pt>
                <c:pt idx="4">
                  <c:v>23.529404498270313</c:v>
                </c:pt>
                <c:pt idx="5">
                  <c:v>5.2631686980615102</c:v>
                </c:pt>
                <c:pt idx="6">
                  <c:v>0</c:v>
                </c:pt>
                <c:pt idx="7">
                  <c:v>10.526321606648512</c:v>
                </c:pt>
                <c:pt idx="8">
                  <c:v>50.000009375000602</c:v>
                </c:pt>
                <c:pt idx="9">
                  <c:v>27.777783333333328</c:v>
                </c:pt>
                <c:pt idx="10">
                  <c:v>22.222216666666672</c:v>
                </c:pt>
                <c:pt idx="11">
                  <c:v>-14.999999250000029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4.9999947500002682</c:v>
                </c:pt>
                <c:pt idx="17">
                  <c:v>8.3333249999999914</c:v>
                </c:pt>
                <c:pt idx="18">
                  <c:v>47.058808996540648</c:v>
                </c:pt>
                <c:pt idx="19">
                  <c:v>13.333340000000007</c:v>
                </c:pt>
              </c:numCache>
            </c:numRef>
          </c:val>
        </c:ser>
        <c:dLbls>
          <c:showVal val="1"/>
        </c:dLbls>
        <c:dropLines>
          <c:spPr>
            <a:ln w="31750">
              <a:prstDash val="solid"/>
            </a:ln>
          </c:spPr>
        </c:dropLines>
        <c:marker val="1"/>
        <c:axId val="203609600"/>
        <c:axId val="146863232"/>
      </c:lineChart>
      <c:catAx>
        <c:axId val="203609600"/>
        <c:scaling>
          <c:orientation val="minMax"/>
        </c:scaling>
        <c:axPos val="b"/>
        <c:numFmt formatCode="General" sourceLinked="1"/>
        <c:majorTickMark val="none"/>
        <c:tickLblPos val="none"/>
        <c:crossAx val="146863232"/>
        <c:crosses val="autoZero"/>
        <c:auto val="1"/>
        <c:lblAlgn val="ctr"/>
        <c:lblOffset val="100"/>
      </c:catAx>
      <c:valAx>
        <c:axId val="146863232"/>
        <c:scaling>
          <c:orientation val="minMax"/>
          <c:max val="100"/>
          <c:min val="-50"/>
        </c:scaling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∆ mortality (%)</a:t>
                </a:r>
              </a:p>
            </c:rich>
          </c:tx>
          <c:layout/>
        </c:title>
        <c:numFmt formatCode="General" sourceLinked="0"/>
        <c:tickLblPos val="nextTo"/>
        <c:crossAx val="203609600"/>
        <c:crosses val="autoZero"/>
        <c:crossBetween val="between"/>
        <c:majorUnit val="50"/>
      </c:valAx>
    </c:plotArea>
    <c:legend>
      <c:legendPos val="t"/>
      <c:layout>
        <c:manualLayout>
          <c:xMode val="edge"/>
          <c:yMode val="edge"/>
          <c:x val="0.32252122778579312"/>
          <c:y val="0.11224212962962966"/>
          <c:w val="0.48256779970746555"/>
          <c:h val="0.13475509259259275"/>
        </c:manualLayout>
      </c:layout>
    </c:legend>
    <c:plotVisOnly val="1"/>
    <c:dispBlanksAs val="gap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b="0.75000000000000289" l="0.70000000000000062" r="0.70000000000000062" t="0.75000000000000289" header="0.30000000000000032" footer="0.30000000000000032"/>
    <c:pageSetup orientation="portrait"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style val="1"/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Spinach</a:t>
            </a:r>
          </a:p>
        </c:rich>
      </c:tx>
      <c:layout>
        <c:manualLayout>
          <c:xMode val="edge"/>
          <c:yMode val="edge"/>
          <c:x val="0.48186238381054258"/>
          <c:y val="3.5277777777777825E-3"/>
        </c:manualLayout>
      </c:layout>
    </c:title>
    <c:plotArea>
      <c:layout>
        <c:manualLayout>
          <c:layoutTarget val="inner"/>
          <c:xMode val="edge"/>
          <c:yMode val="edge"/>
          <c:x val="0.1444779686589294"/>
          <c:y val="0.10178774154589372"/>
          <c:w val="0.83767774769420045"/>
          <c:h val="0.589008152173913"/>
        </c:manualLayout>
      </c:layout>
      <c:lineChart>
        <c:grouping val="standard"/>
        <c:ser>
          <c:idx val="2"/>
          <c:order val="0"/>
          <c:tx>
            <c:strRef>
              <c:f>'% change'!$L$4</c:f>
              <c:strCache>
                <c:ptCount val="1"/>
                <c:pt idx="0">
                  <c:v>No Shifting to Host Shifting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dLbls>
            <c:dLbl>
              <c:idx val="0"/>
              <c:layout>
                <c:manualLayout>
                  <c:x val="-4.8911817431530794E-2"/>
                  <c:y val="5.27404320987655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"/>
              <c:layout>
                <c:manualLayout>
                  <c:x val="-5.8344001789886926E-2"/>
                  <c:y val="3.706111111111121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-38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2"/>
              <c:layout>
                <c:manualLayout>
                  <c:x val="-4.4184027858365157E-2"/>
                  <c:y val="5.27404320987654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-17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3"/>
              <c:layout>
                <c:manualLayout>
                  <c:x val="-4.1825981768775868E-2"/>
                  <c:y val="4.882067901234588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-33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4"/>
              <c:layout>
                <c:manualLayout>
                  <c:x val="-3.9131867693190416E-2"/>
                  <c:y val="-4.917314814814815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11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6"/>
              <c:layout>
                <c:manualLayout>
                  <c:x val="-4.7620833615710942E-2"/>
                  <c:y val="4.490092592592612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-5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7"/>
              <c:layout>
                <c:manualLayout>
                  <c:x val="-4.4184027858365157E-2"/>
                  <c:y val="5.274043209876540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-16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8"/>
              <c:layout/>
              <c:tx>
                <c:rich>
                  <a:bodyPr/>
                  <a:lstStyle/>
                  <a:p>
                    <a:r>
                      <a:rPr lang="en-US"/>
                      <a:t>31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9"/>
              <c:layout>
                <c:manualLayout>
                  <c:x val="-5.8344001789886954E-2"/>
                  <c:y val="7.233919753086419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-17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0"/>
              <c:layout>
                <c:manualLayout>
                  <c:x val="-1.8245520872885574E-2"/>
                  <c:y val="1.746265432098766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-39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1"/>
              <c:layout>
                <c:manualLayout>
                  <c:x val="-2.7677705231241616E-2"/>
                  <c:y val="4.490092592592603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2"/>
              <c:layout>
                <c:manualLayout>
                  <c:x val="-5.0933795535123366E-2"/>
                  <c:y val="-5.30929012345680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19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3"/>
              <c:layout>
                <c:manualLayout>
                  <c:x val="-4.8900120037542981E-2"/>
                  <c:y val="5.66601851851850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-20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4"/>
              <c:layout>
                <c:manualLayout>
                  <c:x val="-8.813336514529431E-3"/>
                  <c:y val="5.7033950617284071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-43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5"/>
              <c:layout>
                <c:manualLayout>
                  <c:x val="-2.4040372719820614E-2"/>
                  <c:y val="3.706141975308641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-6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6"/>
              <c:layout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7"/>
              <c:layout>
                <c:manualLayout>
                  <c:x val="-4.2568673450536519E-2"/>
                  <c:y val="-4.525339506172840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8"/>
              <c:layout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9"/>
              <c:layout>
                <c:manualLayout>
                  <c:x val="-9.1869104304548154E-3"/>
                  <c:y val="-4.133364197530883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Pos val="t"/>
            <c:showVal val="1"/>
          </c:dLbls>
          <c:cat>
            <c:multiLvlStrRef>
              <c:f>'% change'!$D$85:$E$104</c:f>
              <c:multiLvlStrCache>
                <c:ptCount val="20"/>
                <c:lvl>
                  <c:pt idx="0">
                    <c:v>Cypermethrin</c:v>
                  </c:pt>
                  <c:pt idx="1">
                    <c:v>Chlorpyrifos</c:v>
                  </c:pt>
                  <c:pt idx="2">
                    <c:v>Lufenuron</c:v>
                  </c:pt>
                  <c:pt idx="3">
                    <c:v>Emamectin</c:v>
                  </c:pt>
                  <c:pt idx="4">
                    <c:v>Cypermethrin</c:v>
                  </c:pt>
                  <c:pt idx="5">
                    <c:v>Chlorpyrifos</c:v>
                  </c:pt>
                  <c:pt idx="6">
                    <c:v>Lufenuron</c:v>
                  </c:pt>
                  <c:pt idx="7">
                    <c:v>Emamectin</c:v>
                  </c:pt>
                  <c:pt idx="8">
                    <c:v>Cypermethrin</c:v>
                  </c:pt>
                  <c:pt idx="9">
                    <c:v>Chlorpyrifos</c:v>
                  </c:pt>
                  <c:pt idx="10">
                    <c:v>Lufenuron</c:v>
                  </c:pt>
                  <c:pt idx="11">
                    <c:v>Emamectin</c:v>
                  </c:pt>
                  <c:pt idx="12">
                    <c:v>Cypermethrin</c:v>
                  </c:pt>
                  <c:pt idx="13">
                    <c:v>Chlorpyrifos</c:v>
                  </c:pt>
                  <c:pt idx="14">
                    <c:v>Lufenuron</c:v>
                  </c:pt>
                  <c:pt idx="15">
                    <c:v>Emamectin</c:v>
                  </c:pt>
                  <c:pt idx="16">
                    <c:v>Cypermethrin</c:v>
                  </c:pt>
                  <c:pt idx="17">
                    <c:v>Chlorpyrifos</c:v>
                  </c:pt>
                  <c:pt idx="18">
                    <c:v>Lufenuron</c:v>
                  </c:pt>
                  <c:pt idx="19">
                    <c:v>Emamectin</c:v>
                  </c:pt>
                </c:lvl>
                <c:lvl>
                  <c:pt idx="0">
                    <c:v>Castor</c:v>
                  </c:pt>
                  <c:pt idx="4">
                    <c:v>Cauliflower</c:v>
                  </c:pt>
                  <c:pt idx="8">
                    <c:v>Cotton</c:v>
                  </c:pt>
                  <c:pt idx="12">
                    <c:v>Okra</c:v>
                  </c:pt>
                  <c:pt idx="16">
                    <c:v>Spinach</c:v>
                  </c:pt>
                </c:lvl>
              </c:multiLvlStrCache>
            </c:multiLvlStrRef>
          </c:cat>
          <c:val>
            <c:numRef>
              <c:f>'% change'!$L$85:$L$104</c:f>
              <c:numCache>
                <c:formatCode>0</c:formatCode>
                <c:ptCount val="20"/>
                <c:pt idx="0">
                  <c:v>-9.5238142857142911</c:v>
                </c:pt>
                <c:pt idx="1">
                  <c:v>-37.500002343750147</c:v>
                </c:pt>
                <c:pt idx="2">
                  <c:v>-16.666666666666664</c:v>
                </c:pt>
                <c:pt idx="3">
                  <c:v>-33.333328571428567</c:v>
                </c:pt>
                <c:pt idx="4">
                  <c:v>23.529404498270313</c:v>
                </c:pt>
                <c:pt idx="5">
                  <c:v>10.526321606648512</c:v>
                </c:pt>
                <c:pt idx="6">
                  <c:v>-5.0000097499995118</c:v>
                </c:pt>
                <c:pt idx="7">
                  <c:v>-15.789474515235502</c:v>
                </c:pt>
                <c:pt idx="8">
                  <c:v>31.250008203125525</c:v>
                </c:pt>
                <c:pt idx="9">
                  <c:v>-16.666666666666664</c:v>
                </c:pt>
                <c:pt idx="10">
                  <c:v>-38.888883333333332</c:v>
                </c:pt>
                <c:pt idx="11">
                  <c:v>-10.00000449999977</c:v>
                </c:pt>
                <c:pt idx="12">
                  <c:v>18.750001171875073</c:v>
                </c:pt>
                <c:pt idx="13">
                  <c:v>-20.000008999999551</c:v>
                </c:pt>
                <c:pt idx="14">
                  <c:v>-42.857142857142854</c:v>
                </c:pt>
                <c:pt idx="15">
                  <c:v>-6.2499941406246275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dLbls>
          <c:showVal val="1"/>
        </c:dLbls>
        <c:dropLines>
          <c:spPr>
            <a:ln w="31750">
              <a:prstDash val="solid"/>
            </a:ln>
          </c:spPr>
        </c:dropLines>
        <c:marker val="1"/>
        <c:axId val="146593664"/>
        <c:axId val="146595200"/>
      </c:lineChart>
      <c:catAx>
        <c:axId val="146593664"/>
        <c:scaling>
          <c:orientation val="minMax"/>
        </c:scaling>
        <c:axPos val="b"/>
        <c:tickLblPos val="low"/>
        <c:crossAx val="146595200"/>
        <c:crosses val="autoZero"/>
        <c:auto val="1"/>
        <c:lblAlgn val="ctr"/>
        <c:lblOffset val="100"/>
      </c:catAx>
      <c:valAx>
        <c:axId val="146595200"/>
        <c:scaling>
          <c:orientation val="minMax"/>
          <c:max val="100"/>
          <c:min val="-50"/>
        </c:scaling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∆ mortality (%)</a:t>
                </a:r>
              </a:p>
            </c:rich>
          </c:tx>
          <c:layout/>
        </c:title>
        <c:numFmt formatCode="General" sourceLinked="0"/>
        <c:tickLblPos val="nextTo"/>
        <c:crossAx val="146593664"/>
        <c:crosses val="autoZero"/>
        <c:crossBetween val="between"/>
        <c:majorUnit val="50"/>
      </c:valAx>
    </c:plotArea>
    <c:legend>
      <c:legendPos val="t"/>
      <c:layout>
        <c:manualLayout>
          <c:xMode val="edge"/>
          <c:yMode val="edge"/>
          <c:x val="0.29877002431852928"/>
          <c:y val="6.7345277777777782E-2"/>
          <c:w val="0.48241963342718258"/>
          <c:h val="8.0853055555555567E-2"/>
        </c:manualLayout>
      </c:layout>
    </c:legend>
    <c:plotVisOnly val="1"/>
    <c:dispBlanksAs val="gap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 orientation="portrait"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style val="1"/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Castor</a:t>
            </a:r>
          </a:p>
        </c:rich>
      </c:tx>
      <c:layout>
        <c:manualLayout>
          <c:xMode val="edge"/>
          <c:yMode val="edge"/>
          <c:x val="0.4557899041582073"/>
          <c:y val="2.3518518518518518E-2"/>
        </c:manualLayout>
      </c:layout>
    </c:title>
    <c:plotArea>
      <c:layout>
        <c:manualLayout>
          <c:layoutTarget val="inner"/>
          <c:xMode val="edge"/>
          <c:yMode val="edge"/>
          <c:x val="0.1444779686589294"/>
          <c:y val="0.10352746913580245"/>
          <c:w val="0.83056052780447054"/>
          <c:h val="0.86297839506172835"/>
        </c:manualLayout>
      </c:layout>
      <c:lineChart>
        <c:grouping val="standard"/>
        <c:ser>
          <c:idx val="2"/>
          <c:order val="0"/>
          <c:tx>
            <c:strRef>
              <c:f>'% change'!$N$4</c:f>
              <c:strCache>
                <c:ptCount val="1"/>
                <c:pt idx="0">
                  <c:v>No Shifting to Host Reversal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bg1">
                  <a:lumMod val="85000"/>
                </a:schemeClr>
              </a:solidFill>
              <a:ln w="15875">
                <a:solidFill>
                  <a:schemeClr val="tx1"/>
                </a:solidFill>
              </a:ln>
            </c:spPr>
          </c:marker>
          <c:dLbls>
            <c:dLbl>
              <c:idx val="0"/>
              <c:layout>
                <c:manualLayout>
                  <c:x val="-4.2764622504517395E-2"/>
                  <c:y val="-6.200046296296297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0%</a:t>
                    </a:r>
                  </a:p>
                </c:rich>
              </c:tx>
              <c:dLblPos val="r"/>
              <c:showVal val="1"/>
            </c:dLbl>
            <c:dLbl>
              <c:idx val="1"/>
              <c:layout>
                <c:manualLayout>
                  <c:x val="-4.5133522982158454E-2"/>
                  <c:y val="-9.727824074074069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2"/>
              <c:layout>
                <c:manualLayout>
                  <c:x val="-4.2764622504517395E-2"/>
                  <c:y val="-6.78800925925925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4"/>
              <c:layout>
                <c:manualLayout>
                  <c:x val="-5.116825031705028E-2"/>
                  <c:y val="-7.37597222222223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29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16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6"/>
              <c:layout>
                <c:manualLayout>
                  <c:x val="-4.0395722026876114E-2"/>
                  <c:y val="-6.200046296296297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7"/>
              <c:layout/>
              <c:tx>
                <c:rich>
                  <a:bodyPr/>
                  <a:lstStyle/>
                  <a:p>
                    <a:r>
                      <a:rPr lang="en-US"/>
                      <a:t>5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8"/>
              <c:layout/>
              <c:tx>
                <c:rich>
                  <a:bodyPr/>
                  <a:lstStyle/>
                  <a:p>
                    <a:r>
                      <a:rPr lang="en-US"/>
                      <a:t>19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9"/>
              <c:layout>
                <c:manualLayout>
                  <c:x val="-3.5657921071593615E-2"/>
                  <c:y val="-6.200046296296297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0"/>
              <c:layout>
                <c:manualLayout>
                  <c:x val="-4.2764622504517395E-2"/>
                  <c:y val="-7.96393518518519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1"/>
              <c:layout/>
              <c:tx>
                <c:rich>
                  <a:bodyPr/>
                  <a:lstStyle/>
                  <a:p>
                    <a:r>
                      <a:rPr lang="en-US"/>
                      <a:t>10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2"/>
              <c:layout>
                <c:manualLayout>
                  <c:x val="-5.116825031705028E-2"/>
                  <c:y val="-6.78800925925925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44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3"/>
              <c:layout>
                <c:manualLayout>
                  <c:x val="-3.6955033978799651E-2"/>
                  <c:y val="-9.727824074074069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4"/>
              <c:layout>
                <c:manualLayout>
                  <c:x val="-5.7315640320327731E-2"/>
                  <c:y val="8.499027777777777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-5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5"/>
              <c:layout>
                <c:manualLayout>
                  <c:x val="-4.3102237454480427E-2"/>
                  <c:y val="6.147175925925926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-6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6"/>
              <c:layout>
                <c:manualLayout>
                  <c:x val="-5.4609124892723439E-2"/>
                  <c:y val="-8.551898148148150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5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7"/>
              <c:layout>
                <c:manualLayout>
                  <c:x val="-4.8799349839409083E-2"/>
                  <c:y val="-8.551898148148150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33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8"/>
              <c:layout>
                <c:manualLayout>
                  <c:x val="-4.8799349839409083E-2"/>
                  <c:y val="-0.11491712962962965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12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9"/>
              <c:layout>
                <c:manualLayout>
                  <c:x val="-2.8484629286660646E-3"/>
                  <c:y val="-8.551898148148150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40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dLblPos val="t"/>
            <c:showVal val="1"/>
          </c:dLbls>
          <c:cat>
            <c:multiLvlStrRef>
              <c:f>'% change'!$D$5:$E$24</c:f>
              <c:multiLvlStrCache>
                <c:ptCount val="20"/>
                <c:lvl>
                  <c:pt idx="0">
                    <c:v>Cypermethrin</c:v>
                  </c:pt>
                  <c:pt idx="1">
                    <c:v>Chlorpyrifos</c:v>
                  </c:pt>
                  <c:pt idx="2">
                    <c:v>Lufenuron</c:v>
                  </c:pt>
                  <c:pt idx="3">
                    <c:v>Emamectin</c:v>
                  </c:pt>
                  <c:pt idx="4">
                    <c:v>Cypermethrin</c:v>
                  </c:pt>
                  <c:pt idx="5">
                    <c:v>Chlorpyrifos</c:v>
                  </c:pt>
                  <c:pt idx="6">
                    <c:v>Lufenuron</c:v>
                  </c:pt>
                  <c:pt idx="7">
                    <c:v>Emamectin</c:v>
                  </c:pt>
                  <c:pt idx="8">
                    <c:v>Cypermethrin</c:v>
                  </c:pt>
                  <c:pt idx="9">
                    <c:v>Chlorpyrifos</c:v>
                  </c:pt>
                  <c:pt idx="10">
                    <c:v>Lufenuron</c:v>
                  </c:pt>
                  <c:pt idx="11">
                    <c:v>Emamectin</c:v>
                  </c:pt>
                  <c:pt idx="12">
                    <c:v>Cypermethrin</c:v>
                  </c:pt>
                  <c:pt idx="13">
                    <c:v>Chlorpyrifos</c:v>
                  </c:pt>
                  <c:pt idx="14">
                    <c:v>Lufenuron</c:v>
                  </c:pt>
                  <c:pt idx="15">
                    <c:v>Emamectin</c:v>
                  </c:pt>
                  <c:pt idx="16">
                    <c:v>Cypermethrin</c:v>
                  </c:pt>
                  <c:pt idx="17">
                    <c:v>Chlorpyrifos</c:v>
                  </c:pt>
                  <c:pt idx="18">
                    <c:v>Lufenuron</c:v>
                  </c:pt>
                  <c:pt idx="19">
                    <c:v>Emamectin</c:v>
                  </c:pt>
                </c:lvl>
                <c:lvl>
                  <c:pt idx="0">
                    <c:v>Castor</c:v>
                  </c:pt>
                  <c:pt idx="4">
                    <c:v>Cauliflower</c:v>
                  </c:pt>
                  <c:pt idx="8">
                    <c:v>Cotton</c:v>
                  </c:pt>
                  <c:pt idx="12">
                    <c:v>Okra</c:v>
                  </c:pt>
                  <c:pt idx="16">
                    <c:v>Spinach</c:v>
                  </c:pt>
                </c:lvl>
              </c:multiLvlStrCache>
            </c:multiLvlStrRef>
          </c:cat>
          <c:val>
            <c:numRef>
              <c:f>'% change'!$N$5:$N$24</c:f>
              <c:numCache>
                <c:formatCode>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29.411751211073454</c:v>
                </c:pt>
                <c:pt idx="5">
                  <c:v>15.789474515235513</c:v>
                </c:pt>
                <c:pt idx="6">
                  <c:v>0</c:v>
                </c:pt>
                <c:pt idx="7">
                  <c:v>5.2631686980615102</c:v>
                </c:pt>
                <c:pt idx="8">
                  <c:v>18.750001171875073</c:v>
                </c:pt>
                <c:pt idx="9">
                  <c:v>0</c:v>
                </c:pt>
                <c:pt idx="10">
                  <c:v>5.5555499999999949</c:v>
                </c:pt>
                <c:pt idx="11">
                  <c:v>9.9999895000005363</c:v>
                </c:pt>
                <c:pt idx="12">
                  <c:v>43.750015234375958</c:v>
                </c:pt>
                <c:pt idx="13">
                  <c:v>9.9999895000005363</c:v>
                </c:pt>
                <c:pt idx="14">
                  <c:v>-4.7619000000000051</c:v>
                </c:pt>
                <c:pt idx="15">
                  <c:v>-6.2499941406246275</c:v>
                </c:pt>
                <c:pt idx="16">
                  <c:v>4.9999947500002682</c:v>
                </c:pt>
                <c:pt idx="17">
                  <c:v>33.333324999999988</c:v>
                </c:pt>
                <c:pt idx="18">
                  <c:v>11.764693425606257</c:v>
                </c:pt>
                <c:pt idx="19">
                  <c:v>40</c:v>
                </c:pt>
              </c:numCache>
            </c:numRef>
          </c:val>
        </c:ser>
        <c:dLbls>
          <c:showVal val="1"/>
        </c:dLbls>
        <c:dropLines>
          <c:spPr>
            <a:ln w="31750">
              <a:prstDash val="solid"/>
            </a:ln>
          </c:spPr>
        </c:dropLines>
        <c:marker val="1"/>
        <c:axId val="147245312"/>
        <c:axId val="147333120"/>
      </c:lineChart>
      <c:catAx>
        <c:axId val="147245312"/>
        <c:scaling>
          <c:orientation val="minMax"/>
        </c:scaling>
        <c:axPos val="b"/>
        <c:majorTickMark val="none"/>
        <c:tickLblPos val="none"/>
        <c:crossAx val="147333120"/>
        <c:crosses val="autoZero"/>
        <c:auto val="1"/>
        <c:lblAlgn val="ctr"/>
        <c:lblOffset val="100"/>
      </c:catAx>
      <c:valAx>
        <c:axId val="147333120"/>
        <c:scaling>
          <c:orientation val="minMax"/>
          <c:max val="100"/>
          <c:min val="-50"/>
        </c:scaling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∆ mortality (%)</a:t>
                </a:r>
              </a:p>
            </c:rich>
          </c:tx>
          <c:layout/>
        </c:title>
        <c:numFmt formatCode="General" sourceLinked="0"/>
        <c:tickLblPos val="nextTo"/>
        <c:crossAx val="147245312"/>
        <c:crosses val="autoZero"/>
        <c:crossBetween val="between"/>
        <c:majorUnit val="50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3347727814151328"/>
          <c:y val="0.12988101851851813"/>
          <c:w val="0.51367225287541862"/>
          <c:h val="0.13475509259259319"/>
        </c:manualLayout>
      </c:layout>
    </c:legend>
    <c:plotVisOnly val="1"/>
    <c:dispBlanksAs val="gap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b="0.750000000000003" l="0.70000000000000062" r="0.70000000000000062" t="0.750000000000003" header="0.30000000000000032" footer="0.30000000000000032"/>
    <c:pageSetup orientation="portrait"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style val="1"/>
  <c:chart>
    <c:title>
      <c:tx>
        <c:rich>
          <a:bodyPr/>
          <a:lstStyle/>
          <a:p>
            <a:pPr>
              <a:defRPr sz="1400"/>
            </a:pPr>
            <a:r>
              <a:rPr lang="en-AU" sz="1400"/>
              <a:t>Cauliflower</a:t>
            </a:r>
          </a:p>
        </c:rich>
      </c:tx>
      <c:layout>
        <c:manualLayout>
          <c:xMode val="edge"/>
          <c:yMode val="edge"/>
          <c:x val="0.41984534051851524"/>
          <c:y val="3.9197530864197531E-3"/>
        </c:manualLayout>
      </c:layout>
    </c:title>
    <c:plotArea>
      <c:layout>
        <c:manualLayout>
          <c:layoutTarget val="inner"/>
          <c:xMode val="edge"/>
          <c:yMode val="edge"/>
          <c:x val="0.1444779686589294"/>
          <c:y val="9.2290432098765446E-2"/>
          <c:w val="0.83056052780447054"/>
          <c:h val="0.87421543209876784"/>
        </c:manualLayout>
      </c:layout>
      <c:lineChart>
        <c:grouping val="standard"/>
        <c:ser>
          <c:idx val="2"/>
          <c:order val="0"/>
          <c:tx>
            <c:strRef>
              <c:f>'% change'!$N$4</c:f>
              <c:strCache>
                <c:ptCount val="1"/>
                <c:pt idx="0">
                  <c:v>No Shifting to Host Reversal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bg1">
                  <a:lumMod val="85000"/>
                </a:schemeClr>
              </a:solidFill>
              <a:ln w="15875">
                <a:solidFill>
                  <a:sysClr val="windowText" lastClr="000000"/>
                </a:solidFill>
              </a:ln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50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/>
                      <a:t>33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4"/>
              <c:layout>
                <c:manualLayout>
                  <c:x val="-4.0395722026876114E-2"/>
                  <c:y val="-7.37597222222223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6"/>
              <c:layout>
                <c:manualLayout>
                  <c:x val="-4.2764622504517395E-2"/>
                  <c:y val="-6.200046296296297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7"/>
              <c:layout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8"/>
              <c:layout>
                <c:manualLayout>
                  <c:x val="-4.2764622504517395E-2"/>
                  <c:y val="-6.78800925925925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9"/>
              <c:layout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0"/>
              <c:layout>
                <c:manualLayout>
                  <c:x val="-4.2764622504517395E-2"/>
                  <c:y val="-6.200046296296297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1"/>
              <c:layout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2"/>
              <c:layout>
                <c:manualLayout>
                  <c:x val="-5.116825031705028E-2"/>
                  <c:y val="-6.78800925925925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31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3"/>
              <c:layout>
                <c:manualLayout>
                  <c:x val="-3.4574195734971808E-2"/>
                  <c:y val="-9.727824074074069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4"/>
              <c:layout>
                <c:manualLayout>
                  <c:x val="-5.116825031705028E-2"/>
                  <c:y val="-6.200092592592611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5"/>
              <c:layout>
                <c:manualLayout>
                  <c:x val="-4.8799349839409083E-2"/>
                  <c:y val="-8.551898148148150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38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6"/>
              <c:layout>
                <c:manualLayout>
                  <c:x val="-4.4387412595499803E-2"/>
                  <c:y val="7.3231018518518418E-2"/>
                </c:manualLayout>
              </c:layout>
              <c:dLblPos val="r"/>
              <c:showVal val="1"/>
            </c:dLbl>
            <c:dLbl>
              <c:idx val="17"/>
              <c:layout>
                <c:manualLayout>
                  <c:x val="-1.6931856059638137E-2"/>
                  <c:y val="-1.060277777777780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100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8"/>
              <c:layout>
                <c:manualLayout>
                  <c:x val="-3.6954847451203088E-2"/>
                  <c:y val="-0.1325560185185182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47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9"/>
              <c:layout>
                <c:manualLayout>
                  <c:x val="-4.79562451024848E-4"/>
                  <c:y val="-8.551898148148150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33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dLblPos val="t"/>
            <c:showVal val="1"/>
          </c:dLbls>
          <c:cat>
            <c:multiLvlStrRef>
              <c:f>'% change'!$D$25:$E$44</c:f>
              <c:multiLvlStrCache>
                <c:ptCount val="20"/>
                <c:lvl>
                  <c:pt idx="0">
                    <c:v>Cypermethrin</c:v>
                  </c:pt>
                  <c:pt idx="1">
                    <c:v>Chlorpyrifos</c:v>
                  </c:pt>
                  <c:pt idx="2">
                    <c:v>Lufenuron</c:v>
                  </c:pt>
                  <c:pt idx="3">
                    <c:v>Emamectin</c:v>
                  </c:pt>
                  <c:pt idx="4">
                    <c:v>Cypermethrin</c:v>
                  </c:pt>
                  <c:pt idx="5">
                    <c:v>Chlorpyrifos</c:v>
                  </c:pt>
                  <c:pt idx="6">
                    <c:v>Lufenuron</c:v>
                  </c:pt>
                  <c:pt idx="7">
                    <c:v>Emamectin</c:v>
                  </c:pt>
                  <c:pt idx="8">
                    <c:v>Cypermethrin</c:v>
                  </c:pt>
                  <c:pt idx="9">
                    <c:v>Chlorpyrifos</c:v>
                  </c:pt>
                  <c:pt idx="10">
                    <c:v>Lufenuron</c:v>
                  </c:pt>
                  <c:pt idx="11">
                    <c:v>Emamectin</c:v>
                  </c:pt>
                  <c:pt idx="12">
                    <c:v>Cypermethrin</c:v>
                  </c:pt>
                  <c:pt idx="13">
                    <c:v>Chlorpyrifos</c:v>
                  </c:pt>
                  <c:pt idx="14">
                    <c:v>Lufenuron</c:v>
                  </c:pt>
                  <c:pt idx="15">
                    <c:v>Emamectin</c:v>
                  </c:pt>
                  <c:pt idx="16">
                    <c:v>Cypermethrin</c:v>
                  </c:pt>
                  <c:pt idx="17">
                    <c:v>Chlorpyrifos</c:v>
                  </c:pt>
                  <c:pt idx="18">
                    <c:v>Lufenuron</c:v>
                  </c:pt>
                  <c:pt idx="19">
                    <c:v>Emamectin</c:v>
                  </c:pt>
                </c:lvl>
                <c:lvl>
                  <c:pt idx="0">
                    <c:v>Castor</c:v>
                  </c:pt>
                  <c:pt idx="4">
                    <c:v>Cauliflower</c:v>
                  </c:pt>
                  <c:pt idx="8">
                    <c:v>Cotton</c:v>
                  </c:pt>
                  <c:pt idx="12">
                    <c:v>Okra</c:v>
                  </c:pt>
                  <c:pt idx="16">
                    <c:v>Spinach</c:v>
                  </c:pt>
                </c:lvl>
              </c:multiLvlStrCache>
            </c:multiLvlStrRef>
          </c:cat>
          <c:val>
            <c:numRef>
              <c:f>'% change'!$N$25:$N$44</c:f>
              <c:numCache>
                <c:formatCode>0</c:formatCode>
                <c:ptCount val="20"/>
                <c:pt idx="0">
                  <c:v>0</c:v>
                </c:pt>
                <c:pt idx="1">
                  <c:v>50.000009375000602</c:v>
                </c:pt>
                <c:pt idx="2">
                  <c:v>33.333333333333329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31.250008203125525</c:v>
                </c:pt>
                <c:pt idx="13">
                  <c:v>19.999994000000306</c:v>
                </c:pt>
                <c:pt idx="14">
                  <c:v>14.285714285714285</c:v>
                </c:pt>
                <c:pt idx="15">
                  <c:v>37.500002343750161</c:v>
                </c:pt>
                <c:pt idx="16">
                  <c:v>-14.999999250000029</c:v>
                </c:pt>
                <c:pt idx="17">
                  <c:v>100</c:v>
                </c:pt>
                <c:pt idx="18">
                  <c:v>47.058808996540648</c:v>
                </c:pt>
                <c:pt idx="19">
                  <c:v>33.333339999999993</c:v>
                </c:pt>
              </c:numCache>
            </c:numRef>
          </c:val>
        </c:ser>
        <c:dLbls>
          <c:showVal val="1"/>
        </c:dLbls>
        <c:dropLines>
          <c:spPr>
            <a:ln w="31750">
              <a:prstDash val="solid"/>
            </a:ln>
          </c:spPr>
        </c:dropLines>
        <c:marker val="1"/>
        <c:axId val="147415808"/>
        <c:axId val="147417728"/>
      </c:lineChart>
      <c:catAx>
        <c:axId val="147415808"/>
        <c:scaling>
          <c:orientation val="minMax"/>
        </c:scaling>
        <c:axPos val="b"/>
        <c:numFmt formatCode="General" sourceLinked="1"/>
        <c:majorTickMark val="none"/>
        <c:tickLblPos val="none"/>
        <c:txPr>
          <a:bodyPr/>
          <a:lstStyle/>
          <a:p>
            <a:pPr>
              <a:defRPr sz="1400"/>
            </a:pPr>
            <a:endParaRPr lang="en-US"/>
          </a:p>
        </c:txPr>
        <c:crossAx val="147417728"/>
        <c:crosses val="autoZero"/>
        <c:auto val="1"/>
        <c:lblAlgn val="ctr"/>
        <c:lblOffset val="100"/>
      </c:catAx>
      <c:valAx>
        <c:axId val="147417728"/>
        <c:scaling>
          <c:orientation val="minMax"/>
          <c:max val="100"/>
          <c:min val="-50"/>
        </c:scaling>
        <c:axPos val="l"/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en-US" sz="1400" b="0"/>
                  <a:t>∆ mortality (%)</a:t>
                </a:r>
              </a:p>
            </c:rich>
          </c:tx>
          <c:layout/>
        </c:title>
        <c:numFmt formatCode="General" sourceLinked="0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47415808"/>
        <c:crosses val="autoZero"/>
        <c:crossBetween val="between"/>
        <c:majorUnit val="50"/>
      </c:valAx>
    </c:plotArea>
    <c:legend>
      <c:legendPos val="t"/>
      <c:layout>
        <c:manualLayout>
          <c:xMode val="edge"/>
          <c:yMode val="edge"/>
          <c:x val="0.24055166072523748"/>
          <c:y val="0.10048287037037039"/>
          <c:w val="0.51367225287541862"/>
          <c:h val="0.13475509259259319"/>
        </c:manualLayout>
      </c:layout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 orientation="portrait"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style val="1"/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Cotton</a:t>
            </a:r>
          </a:p>
        </c:rich>
      </c:tx>
      <c:layout>
        <c:manualLayout>
          <c:xMode val="edge"/>
          <c:yMode val="edge"/>
          <c:x val="0.45402149604434489"/>
          <c:y val="0"/>
        </c:manualLayout>
      </c:layout>
    </c:title>
    <c:plotArea>
      <c:layout>
        <c:manualLayout>
          <c:layoutTarget val="inner"/>
          <c:xMode val="edge"/>
          <c:yMode val="edge"/>
          <c:x val="0.1444779686589294"/>
          <c:y val="0.17900952380952381"/>
          <c:w val="0.83056052780447054"/>
          <c:h val="0.76357195767195762"/>
        </c:manualLayout>
      </c:layout>
      <c:lineChart>
        <c:grouping val="standard"/>
        <c:ser>
          <c:idx val="2"/>
          <c:order val="0"/>
          <c:tx>
            <c:strRef>
              <c:f>'% change'!$N$4</c:f>
              <c:strCache>
                <c:ptCount val="1"/>
                <c:pt idx="0">
                  <c:v>No Shifting to Host Reversal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bg1">
                  <a:lumMod val="85000"/>
                </a:schemeClr>
              </a:solidFill>
              <a:ln w="15875">
                <a:solidFill>
                  <a:sysClr val="windowText" lastClr="000000"/>
                </a:solidFill>
              </a:ln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"/>
              <c:layout>
                <c:manualLayout>
                  <c:x val="-5.1099585514407506E-2"/>
                  <c:y val="-6.78800925925925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50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2"/>
              <c:layout>
                <c:manualLayout>
                  <c:x val="-4.1636699308035881E-2"/>
                  <c:y val="-7.96398148148148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33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24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5"/>
              <c:layout>
                <c:manualLayout>
                  <c:x val="-4.873386396281458E-2"/>
                  <c:y val="-5.612083333333338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21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6"/>
              <c:layout>
                <c:manualLayout>
                  <c:x val="-2.9808091550071081E-2"/>
                  <c:y val="-5.612083333333331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7"/>
              <c:layout>
                <c:manualLayout>
                  <c:x val="-5.6168190508017281E-2"/>
                  <c:y val="7.323101851851841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-16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8"/>
              <c:layout>
                <c:manualLayout>
                  <c:x val="-4.2707234879453645E-2"/>
                  <c:y val="-7.37597222222223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9"/>
              <c:layout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0"/>
              <c:layout>
                <c:manualLayout>
                  <c:x val="-4.743867798263951E-2"/>
                  <c:y val="-6.200046296296297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1"/>
              <c:layout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2"/>
              <c:layout/>
              <c:tx>
                <c:rich>
                  <a:bodyPr/>
                  <a:lstStyle/>
                  <a:p>
                    <a:r>
                      <a:rPr lang="en-US"/>
                      <a:t>31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3"/>
              <c:layout/>
              <c:tx>
                <c:rich>
                  <a:bodyPr/>
                  <a:lstStyle/>
                  <a:p>
                    <a:r>
                      <a:rPr lang="en-US"/>
                      <a:t>20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4"/>
              <c:layout>
                <c:manualLayout>
                  <c:x val="-5.1099585514407506E-2"/>
                  <c:y val="-6.78800925925925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14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5"/>
              <c:layout/>
              <c:tx>
                <c:rich>
                  <a:bodyPr/>
                  <a:lstStyle/>
                  <a:p>
                    <a:r>
                      <a:rPr lang="en-US"/>
                      <a:t>38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6"/>
              <c:layout>
                <c:manualLayout>
                  <c:x val="-6.0899633611203347E-2"/>
                  <c:y val="6.735138888888900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-15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7"/>
              <c:layout/>
              <c:tx>
                <c:rich>
                  <a:bodyPr/>
                  <a:lstStyle/>
                  <a:p>
                    <a:r>
                      <a:rPr lang="en-US"/>
                      <a:t>100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8"/>
              <c:layout>
                <c:manualLayout>
                  <c:x val="-2.9808091550071081E-2"/>
                  <c:y val="-9.727824074074069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47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9"/>
              <c:layout>
                <c:manualLayout>
                  <c:x val="-5.4020413382831103E-4"/>
                  <c:y val="-6.788009259259267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33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dLblPos val="t"/>
            <c:showVal val="1"/>
          </c:dLbls>
          <c:cat>
            <c:multiLvlStrRef>
              <c:f>'% change'!$D$45:$E$64</c:f>
              <c:multiLvlStrCache>
                <c:ptCount val="20"/>
                <c:lvl>
                  <c:pt idx="0">
                    <c:v>Cypermethrin</c:v>
                  </c:pt>
                  <c:pt idx="1">
                    <c:v>Chlorpyrifos</c:v>
                  </c:pt>
                  <c:pt idx="2">
                    <c:v>Lufenuron</c:v>
                  </c:pt>
                  <c:pt idx="3">
                    <c:v>Emamectin</c:v>
                  </c:pt>
                  <c:pt idx="4">
                    <c:v>Cypermethrin</c:v>
                  </c:pt>
                  <c:pt idx="5">
                    <c:v>Chlorpyrifos</c:v>
                  </c:pt>
                  <c:pt idx="6">
                    <c:v>Lufenuron</c:v>
                  </c:pt>
                  <c:pt idx="7">
                    <c:v>Emamectin</c:v>
                  </c:pt>
                  <c:pt idx="8">
                    <c:v>Cypermethrin</c:v>
                  </c:pt>
                  <c:pt idx="9">
                    <c:v>Chlorpyrifos</c:v>
                  </c:pt>
                  <c:pt idx="10">
                    <c:v>Lufenuron</c:v>
                  </c:pt>
                  <c:pt idx="11">
                    <c:v>Emamectin</c:v>
                  </c:pt>
                  <c:pt idx="12">
                    <c:v>Cypermethrin</c:v>
                  </c:pt>
                  <c:pt idx="13">
                    <c:v>Chlorpyrifos</c:v>
                  </c:pt>
                  <c:pt idx="14">
                    <c:v>Lufenuron</c:v>
                  </c:pt>
                  <c:pt idx="15">
                    <c:v>Emamectin</c:v>
                  </c:pt>
                  <c:pt idx="16">
                    <c:v>Cypermethrin</c:v>
                  </c:pt>
                  <c:pt idx="17">
                    <c:v>Chlorpyrifos</c:v>
                  </c:pt>
                  <c:pt idx="18">
                    <c:v>Lufenuron</c:v>
                  </c:pt>
                  <c:pt idx="19">
                    <c:v>Emamectin</c:v>
                  </c:pt>
                </c:lvl>
                <c:lvl>
                  <c:pt idx="0">
                    <c:v>Castor</c:v>
                  </c:pt>
                  <c:pt idx="4">
                    <c:v>Cauliflower</c:v>
                  </c:pt>
                  <c:pt idx="8">
                    <c:v>Cotton</c:v>
                  </c:pt>
                  <c:pt idx="12">
                    <c:v>Okra</c:v>
                  </c:pt>
                  <c:pt idx="16">
                    <c:v>Spinach</c:v>
                  </c:pt>
                </c:lvl>
              </c:multiLvlStrCache>
            </c:multiLvlStrRef>
          </c:cat>
          <c:val>
            <c:numRef>
              <c:f>'% change'!$N$45:$N$64</c:f>
              <c:numCache>
                <c:formatCode>0</c:formatCode>
                <c:ptCount val="20"/>
                <c:pt idx="0">
                  <c:v>0</c:v>
                </c:pt>
                <c:pt idx="1">
                  <c:v>50.000009375000602</c:v>
                </c:pt>
                <c:pt idx="2">
                  <c:v>33.333333333333329</c:v>
                </c:pt>
                <c:pt idx="3">
                  <c:v>0</c:v>
                </c:pt>
                <c:pt idx="4">
                  <c:v>23.529404498270313</c:v>
                </c:pt>
                <c:pt idx="5">
                  <c:v>21.052643213297014</c:v>
                </c:pt>
                <c:pt idx="6">
                  <c:v>19.999994000000306</c:v>
                </c:pt>
                <c:pt idx="7">
                  <c:v>-15.789474515235502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31.250008203125525</c:v>
                </c:pt>
                <c:pt idx="13">
                  <c:v>19.999994000000306</c:v>
                </c:pt>
                <c:pt idx="14">
                  <c:v>14.285714285714285</c:v>
                </c:pt>
                <c:pt idx="15">
                  <c:v>37.500002343750161</c:v>
                </c:pt>
                <c:pt idx="16">
                  <c:v>-14.999999250000029</c:v>
                </c:pt>
                <c:pt idx="17">
                  <c:v>100</c:v>
                </c:pt>
                <c:pt idx="18">
                  <c:v>47.058808996540648</c:v>
                </c:pt>
                <c:pt idx="19">
                  <c:v>33.333339999999993</c:v>
                </c:pt>
              </c:numCache>
            </c:numRef>
          </c:val>
        </c:ser>
        <c:dLbls>
          <c:showVal val="1"/>
        </c:dLbls>
        <c:dropLines>
          <c:spPr>
            <a:ln w="31750">
              <a:prstDash val="solid"/>
            </a:ln>
          </c:spPr>
        </c:dropLines>
        <c:marker val="1"/>
        <c:axId val="213286272"/>
        <c:axId val="203854976"/>
      </c:lineChart>
      <c:catAx>
        <c:axId val="213286272"/>
        <c:scaling>
          <c:orientation val="minMax"/>
        </c:scaling>
        <c:axPos val="b"/>
        <c:numFmt formatCode="General" sourceLinked="1"/>
        <c:tickLblPos val="none"/>
        <c:txPr>
          <a:bodyPr/>
          <a:lstStyle/>
          <a:p>
            <a:pPr>
              <a:defRPr sz="1400"/>
            </a:pPr>
            <a:endParaRPr lang="en-US"/>
          </a:p>
        </c:txPr>
        <c:crossAx val="203854976"/>
        <c:crosses val="autoZero"/>
        <c:auto val="1"/>
        <c:lblAlgn val="ctr"/>
        <c:lblOffset val="100"/>
      </c:catAx>
      <c:valAx>
        <c:axId val="203854976"/>
        <c:scaling>
          <c:orientation val="minMax"/>
          <c:max val="100"/>
          <c:min val="-50"/>
        </c:scaling>
        <c:axPos val="l"/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en-US" sz="1400" b="0"/>
                  <a:t>∆ mortality (%)</a:t>
                </a:r>
              </a:p>
            </c:rich>
          </c:tx>
          <c:layout/>
        </c:title>
        <c:numFmt formatCode="General" sourceLinked="0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213286272"/>
        <c:crosses val="autoZero"/>
        <c:crossBetween val="between"/>
        <c:majorUnit val="50"/>
      </c:valAx>
    </c:plotArea>
    <c:legend>
      <c:legendPos val="t"/>
      <c:layout>
        <c:manualLayout>
          <c:xMode val="edge"/>
          <c:yMode val="edge"/>
          <c:x val="0.23618828916081774"/>
          <c:y val="9.4603240740740766E-2"/>
          <c:w val="0.51298674233196728"/>
          <c:h val="0.13475509259259319"/>
        </c:manualLayout>
      </c:layout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 orientation="portrait"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style val="1"/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Okra</a:t>
            </a:r>
          </a:p>
        </c:rich>
      </c:tx>
      <c:layout>
        <c:manualLayout>
          <c:xMode val="edge"/>
          <c:yMode val="edge"/>
          <c:x val="0.46192357021548475"/>
          <c:y val="0"/>
        </c:manualLayout>
      </c:layout>
    </c:title>
    <c:plotArea>
      <c:layout>
        <c:manualLayout>
          <c:layoutTarget val="inner"/>
          <c:xMode val="edge"/>
          <c:yMode val="edge"/>
          <c:x val="0.1444779686589294"/>
          <c:y val="9.4454938271605227E-2"/>
          <c:w val="0.83056052780447054"/>
          <c:h val="0.84224675925925918"/>
        </c:manualLayout>
      </c:layout>
      <c:lineChart>
        <c:grouping val="standard"/>
        <c:ser>
          <c:idx val="2"/>
          <c:order val="0"/>
          <c:tx>
            <c:strRef>
              <c:f>'% change'!$N$4</c:f>
              <c:strCache>
                <c:ptCount val="1"/>
                <c:pt idx="0">
                  <c:v>No Shifting to Host Reversal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bg1">
                  <a:lumMod val="85000"/>
                </a:schemeClr>
              </a:solidFill>
              <a:ln w="15875">
                <a:solidFill>
                  <a:sysClr val="windowText" lastClr="000000"/>
                </a:solidFill>
              </a:ln>
            </c:spPr>
          </c:marker>
          <c:dLbls>
            <c:dLbl>
              <c:idx val="0"/>
              <c:layout>
                <c:manualLayout>
                  <c:x val="-3.4585946973561842E-2"/>
                  <c:y val="-0.1443152777777779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29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"/>
              <c:layout>
                <c:manualLayout>
                  <c:x val="-3.9323747928844292E-2"/>
                  <c:y val="-7.96393518518519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2"/>
              <c:layout>
                <c:manualLayout>
                  <c:x val="-4.4061548884126743E-2"/>
                  <c:y val="-4.436203703703736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17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3"/>
              <c:layout>
                <c:manualLayout>
                  <c:x val="-3.5983598255370085E-2"/>
                  <c:y val="7.3231018518518515E-2"/>
                </c:manualLayout>
              </c:layout>
              <c:dLblPos val="r"/>
              <c:showVal val="1"/>
            </c:dLbl>
            <c:dLbl>
              <c:idx val="4"/>
              <c:layout>
                <c:manualLayout>
                  <c:x val="-5.5906051272332724E-2"/>
                  <c:y val="-8.551898148148150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47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5"/>
              <c:layout>
                <c:manualLayout>
                  <c:x val="-4.4061548884126743E-2"/>
                  <c:y val="-0.11491712962962961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21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6"/>
              <c:layout>
                <c:manualLayout>
                  <c:x val="-5.1168250317050315E-2"/>
                  <c:y val="-7.96393518518519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15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7"/>
              <c:layout>
                <c:manualLayout>
                  <c:x val="-4.6430449361767746E-2"/>
                  <c:y val="-0.12667638888888888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16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8"/>
              <c:layout>
                <c:manualLayout>
                  <c:x val="-4.4061548884126743E-2"/>
                  <c:y val="-8.551944444444446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13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9"/>
              <c:layout>
                <c:manualLayout>
                  <c:x val="-4.2764622504517395E-2"/>
                  <c:y val="-6.78800925925925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0"/>
              <c:layout>
                <c:manualLayout>
                  <c:x val="-3.6954847451203088E-2"/>
                  <c:y val="-6.200046296296297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11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1"/>
              <c:layout>
                <c:manualLayout>
                  <c:x val="-4.9136964789372121E-2"/>
                  <c:y val="8.499027777777777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-15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2"/>
              <c:layout>
                <c:manualLayout>
                  <c:x val="-4.3088853622653446E-2"/>
                  <c:y val="-6.200046296296297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3"/>
              <c:layout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4"/>
              <c:layout>
                <c:manualLayout>
                  <c:x val="-4.3088853622653453E-2"/>
                  <c:y val="-6.200046296296297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5"/>
              <c:layout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6"/>
              <c:layout>
                <c:manualLayout>
                  <c:x val="-5.6243666222295763E-2"/>
                  <c:y val="6.735138888888889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-20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7"/>
              <c:layout/>
              <c:tx>
                <c:rich>
                  <a:bodyPr/>
                  <a:lstStyle/>
                  <a:p>
                    <a:r>
                      <a:rPr lang="en-US"/>
                      <a:t>67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8"/>
              <c:layout>
                <c:manualLayout>
                  <c:x val="-4.6407879522571416E-2"/>
                  <c:y val="7.323101851851862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-18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9"/>
              <c:layout/>
              <c:tx>
                <c:rich>
                  <a:bodyPr/>
                  <a:lstStyle/>
                  <a:p>
                    <a:r>
                      <a:rPr lang="en-US"/>
                      <a:t>47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dLblPos val="t"/>
            <c:showVal val="1"/>
          </c:dLbls>
          <c:cat>
            <c:multiLvlStrRef>
              <c:f>'% change'!$D$65:$E$84</c:f>
              <c:multiLvlStrCache>
                <c:ptCount val="20"/>
                <c:lvl>
                  <c:pt idx="0">
                    <c:v>Cypermethrin</c:v>
                  </c:pt>
                  <c:pt idx="1">
                    <c:v>Chlorpyrifos</c:v>
                  </c:pt>
                  <c:pt idx="2">
                    <c:v>Lufenuron</c:v>
                  </c:pt>
                  <c:pt idx="3">
                    <c:v>Emamectin</c:v>
                  </c:pt>
                  <c:pt idx="4">
                    <c:v>Cypermethrin</c:v>
                  </c:pt>
                  <c:pt idx="5">
                    <c:v>Chlorpyrifos</c:v>
                  </c:pt>
                  <c:pt idx="6">
                    <c:v>Lufenuron</c:v>
                  </c:pt>
                  <c:pt idx="7">
                    <c:v>Emamectin</c:v>
                  </c:pt>
                  <c:pt idx="8">
                    <c:v>Cypermethrin</c:v>
                  </c:pt>
                  <c:pt idx="9">
                    <c:v>Chlorpyrifos</c:v>
                  </c:pt>
                  <c:pt idx="10">
                    <c:v>Lufenuron</c:v>
                  </c:pt>
                  <c:pt idx="11">
                    <c:v>Emamectin</c:v>
                  </c:pt>
                  <c:pt idx="12">
                    <c:v>Cypermethrin</c:v>
                  </c:pt>
                  <c:pt idx="13">
                    <c:v>Chlorpyrifos</c:v>
                  </c:pt>
                  <c:pt idx="14">
                    <c:v>Lufenuron</c:v>
                  </c:pt>
                  <c:pt idx="15">
                    <c:v>Emamectin</c:v>
                  </c:pt>
                  <c:pt idx="16">
                    <c:v>Cypermethrin</c:v>
                  </c:pt>
                  <c:pt idx="17">
                    <c:v>Chlorpyrifos</c:v>
                  </c:pt>
                  <c:pt idx="18">
                    <c:v>Lufenuron</c:v>
                  </c:pt>
                  <c:pt idx="19">
                    <c:v>Emamectin</c:v>
                  </c:pt>
                </c:lvl>
                <c:lvl>
                  <c:pt idx="0">
                    <c:v>Castor</c:v>
                  </c:pt>
                  <c:pt idx="4">
                    <c:v>Cauliflower</c:v>
                  </c:pt>
                  <c:pt idx="8">
                    <c:v>Cotton</c:v>
                  </c:pt>
                  <c:pt idx="12">
                    <c:v>Okra</c:v>
                  </c:pt>
                  <c:pt idx="16">
                    <c:v>Spinach</c:v>
                  </c:pt>
                </c:lvl>
              </c:multiLvlStrCache>
            </c:multiLvlStrRef>
          </c:cat>
          <c:val>
            <c:numRef>
              <c:f>'% change'!$N$65:$N$84</c:f>
              <c:numCache>
                <c:formatCode>0</c:formatCode>
                <c:ptCount val="20"/>
                <c:pt idx="0">
                  <c:v>28.571428571428569</c:v>
                </c:pt>
                <c:pt idx="1">
                  <c:v>25.000014062500881</c:v>
                </c:pt>
                <c:pt idx="2">
                  <c:v>16.666666666666664</c:v>
                </c:pt>
                <c:pt idx="3">
                  <c:v>-4.7619000000000051</c:v>
                </c:pt>
                <c:pt idx="4">
                  <c:v>47.058808996540648</c:v>
                </c:pt>
                <c:pt idx="5">
                  <c:v>21.052643213297014</c:v>
                </c:pt>
                <c:pt idx="6">
                  <c:v>14.999999250000037</c:v>
                </c:pt>
                <c:pt idx="7">
                  <c:v>15.789474515235513</c:v>
                </c:pt>
                <c:pt idx="8">
                  <c:v>12.500007031250446</c:v>
                </c:pt>
                <c:pt idx="9">
                  <c:v>5.5555499999999949</c:v>
                </c:pt>
                <c:pt idx="10">
                  <c:v>11.111116666666661</c:v>
                </c:pt>
                <c:pt idx="11">
                  <c:v>-14.999999250000029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-20.000008999999551</c:v>
                </c:pt>
                <c:pt idx="17">
                  <c:v>66.666674999999984</c:v>
                </c:pt>
                <c:pt idx="18">
                  <c:v>-17.647057785467187</c:v>
                </c:pt>
                <c:pt idx="19">
                  <c:v>46.666660000000007</c:v>
                </c:pt>
              </c:numCache>
            </c:numRef>
          </c:val>
        </c:ser>
        <c:dLbls>
          <c:showVal val="1"/>
        </c:dLbls>
        <c:dropLines>
          <c:spPr>
            <a:ln w="31750">
              <a:prstDash val="solid"/>
            </a:ln>
          </c:spPr>
        </c:dropLines>
        <c:marker val="1"/>
        <c:axId val="203872128"/>
        <c:axId val="203873664"/>
      </c:lineChart>
      <c:catAx>
        <c:axId val="203872128"/>
        <c:scaling>
          <c:orientation val="minMax"/>
        </c:scaling>
        <c:axPos val="b"/>
        <c:numFmt formatCode="General" sourceLinked="1"/>
        <c:majorTickMark val="none"/>
        <c:tickLblPos val="none"/>
        <c:txPr>
          <a:bodyPr/>
          <a:lstStyle/>
          <a:p>
            <a:pPr>
              <a:defRPr sz="1400"/>
            </a:pPr>
            <a:endParaRPr lang="en-US"/>
          </a:p>
        </c:txPr>
        <c:crossAx val="203873664"/>
        <c:crosses val="autoZero"/>
        <c:auto val="1"/>
        <c:lblAlgn val="ctr"/>
        <c:lblOffset val="100"/>
      </c:catAx>
      <c:valAx>
        <c:axId val="203873664"/>
        <c:scaling>
          <c:orientation val="minMax"/>
          <c:max val="100"/>
          <c:min val="-50"/>
        </c:scaling>
        <c:axPos val="l"/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en-US" sz="1400" b="0"/>
                  <a:t>∆ mortality (%)</a:t>
                </a:r>
              </a:p>
            </c:rich>
          </c:tx>
          <c:layout/>
        </c:title>
        <c:numFmt formatCode="General" sourceLinked="0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203872128"/>
        <c:crosses val="autoZero"/>
        <c:crossBetween val="between"/>
        <c:majorUnit val="50"/>
      </c:valAx>
    </c:plotArea>
    <c:legend>
      <c:legendPos val="t"/>
      <c:layout>
        <c:manualLayout>
          <c:xMode val="edge"/>
          <c:yMode val="edge"/>
          <c:x val="0.23819353319733008"/>
          <c:y val="8.8723611111111128E-2"/>
          <c:w val="0.51367225287541862"/>
          <c:h val="0.13475509259259319"/>
        </c:manualLayout>
      </c:layout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 orientation="portrait"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style val="1"/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Spinach</a:t>
            </a:r>
          </a:p>
        </c:rich>
      </c:tx>
      <c:layout>
        <c:manualLayout>
          <c:xMode val="edge"/>
          <c:yMode val="edge"/>
          <c:x val="0.43518135460603824"/>
          <c:y val="0"/>
        </c:manualLayout>
      </c:layout>
    </c:title>
    <c:plotArea>
      <c:layout>
        <c:manualLayout>
          <c:layoutTarget val="inner"/>
          <c:xMode val="edge"/>
          <c:yMode val="edge"/>
          <c:x val="0.1444779686589294"/>
          <c:y val="0.10178774154589372"/>
          <c:w val="0.83767774769420078"/>
          <c:h val="0.589008152173913"/>
        </c:manualLayout>
      </c:layout>
      <c:lineChart>
        <c:grouping val="standard"/>
        <c:ser>
          <c:idx val="2"/>
          <c:order val="0"/>
          <c:tx>
            <c:strRef>
              <c:f>'% change'!$N$4</c:f>
              <c:strCache>
                <c:ptCount val="1"/>
                <c:pt idx="0">
                  <c:v>No Shifting to Host Reversal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bg1">
                  <a:lumMod val="85000"/>
                </a:schemeClr>
              </a:solidFill>
              <a:ln w="15875">
                <a:solidFill>
                  <a:sysClr val="windowText" lastClr="000000"/>
                </a:solidFill>
              </a:ln>
            </c:spPr>
          </c:marker>
          <c:dLbls>
            <c:dLbl>
              <c:idx val="0"/>
              <c:layout>
                <c:manualLayout>
                  <c:x val="-3.7269151612421419E-2"/>
                  <c:y val="5.666018518518508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-14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2"/>
              <c:layout>
                <c:manualLayout>
                  <c:x val="-4.4048107201255772E-2"/>
                  <c:y val="-4.917314814814815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17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3"/>
              <c:layout>
                <c:manualLayout>
                  <c:x val="-4.4373685031978936E-2"/>
                  <c:y val="4.882067901234581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-19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41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5"/>
              <c:layout>
                <c:manualLayout>
                  <c:x val="-3.3278865243783394E-2"/>
                  <c:y val="-6.48521604938271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5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6"/>
              <c:layout/>
              <c:tx>
                <c:rich>
                  <a:bodyPr/>
                  <a:lstStyle/>
                  <a:p>
                    <a:r>
                      <a:rPr lang="en-US"/>
                      <a:t>20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7"/>
              <c:layout>
                <c:manualLayout>
                  <c:x val="-4.7825444038000493E-2"/>
                  <c:y val="4.098117283950636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-5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8"/>
              <c:layout/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9"/>
              <c:layout>
                <c:manualLayout>
                  <c:x val="-4.5457266231481434E-2"/>
                  <c:y val="5.274043209876540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-6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0"/>
              <c:layout/>
              <c:tx>
                <c:rich>
                  <a:bodyPr/>
                  <a:lstStyle/>
                  <a:p>
                    <a:r>
                      <a:rPr lang="en-US"/>
                      <a:t>6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1"/>
              <c:layout>
                <c:manualLayout>
                  <c:x val="-4.5457266231481434E-2"/>
                  <c:y val="5.27404320987654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-5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2"/>
              <c:layout/>
              <c:tx>
                <c:rich>
                  <a:bodyPr/>
                  <a:lstStyle/>
                  <a:p>
                    <a:r>
                      <a:rPr lang="en-US"/>
                      <a:t>13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3"/>
              <c:layout>
                <c:manualLayout>
                  <c:x val="-4.7825444038000493E-2"/>
                  <c:y val="5.27404320987654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-5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4"/>
              <c:layout/>
              <c:tx>
                <c:rich>
                  <a:bodyPr/>
                  <a:lstStyle/>
                  <a:p>
                    <a:r>
                      <a:rPr lang="en-US"/>
                      <a:t>5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5"/>
              <c:layout>
                <c:manualLayout>
                  <c:x val="-4.7825444038000493E-2"/>
                  <c:y val="5.27404320987654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-6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6"/>
              <c:layout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7"/>
              <c:layout>
                <c:manualLayout>
                  <c:x val="-4.2751576469859866E-2"/>
                  <c:y val="-4.133364197530883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dLbl>
              <c:idx val="18"/>
              <c:layout/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t"/>
              <c:showVal val="1"/>
            </c:dLbl>
            <c:dLbl>
              <c:idx val="19"/>
              <c:layout>
                <c:manualLayout>
                  <c:x val="-1.1427669975962083E-2"/>
                  <c:y val="-4.133364197530883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</a:t>
                    </a:r>
                    <a:r>
                      <a:rPr lang="en-US" sz="1400" b="0" i="0" u="none" strike="noStrike" baseline="0"/>
                      <a:t>%</a:t>
                    </a:r>
                    <a:endParaRPr lang="en-US"/>
                  </a:p>
                </c:rich>
              </c:tx>
              <c:dLblPos val="r"/>
              <c:showVal val="1"/>
            </c:dLbl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dLblPos val="t"/>
            <c:showVal val="1"/>
          </c:dLbls>
          <c:cat>
            <c:multiLvlStrRef>
              <c:f>'% change'!$D$85:$E$104</c:f>
              <c:multiLvlStrCache>
                <c:ptCount val="20"/>
                <c:lvl>
                  <c:pt idx="0">
                    <c:v>Cypermethrin</c:v>
                  </c:pt>
                  <c:pt idx="1">
                    <c:v>Chlorpyrifos</c:v>
                  </c:pt>
                  <c:pt idx="2">
                    <c:v>Lufenuron</c:v>
                  </c:pt>
                  <c:pt idx="3">
                    <c:v>Emamectin</c:v>
                  </c:pt>
                  <c:pt idx="4">
                    <c:v>Cypermethrin</c:v>
                  </c:pt>
                  <c:pt idx="5">
                    <c:v>Chlorpyrifos</c:v>
                  </c:pt>
                  <c:pt idx="6">
                    <c:v>Lufenuron</c:v>
                  </c:pt>
                  <c:pt idx="7">
                    <c:v>Emamectin</c:v>
                  </c:pt>
                  <c:pt idx="8">
                    <c:v>Cypermethrin</c:v>
                  </c:pt>
                  <c:pt idx="9">
                    <c:v>Chlorpyrifos</c:v>
                  </c:pt>
                  <c:pt idx="10">
                    <c:v>Lufenuron</c:v>
                  </c:pt>
                  <c:pt idx="11">
                    <c:v>Emamectin</c:v>
                  </c:pt>
                  <c:pt idx="12">
                    <c:v>Cypermethrin</c:v>
                  </c:pt>
                  <c:pt idx="13">
                    <c:v>Chlorpyrifos</c:v>
                  </c:pt>
                  <c:pt idx="14">
                    <c:v>Lufenuron</c:v>
                  </c:pt>
                  <c:pt idx="15">
                    <c:v>Emamectin</c:v>
                  </c:pt>
                  <c:pt idx="16">
                    <c:v>Cypermethrin</c:v>
                  </c:pt>
                  <c:pt idx="17">
                    <c:v>Chlorpyrifos</c:v>
                  </c:pt>
                  <c:pt idx="18">
                    <c:v>Lufenuron</c:v>
                  </c:pt>
                  <c:pt idx="19">
                    <c:v>Emamectin</c:v>
                  </c:pt>
                </c:lvl>
                <c:lvl>
                  <c:pt idx="0">
                    <c:v>Castor</c:v>
                  </c:pt>
                  <c:pt idx="4">
                    <c:v>Cauliflower</c:v>
                  </c:pt>
                  <c:pt idx="8">
                    <c:v>Cotton</c:v>
                  </c:pt>
                  <c:pt idx="12">
                    <c:v>Okra</c:v>
                  </c:pt>
                  <c:pt idx="16">
                    <c:v>Spinach</c:v>
                  </c:pt>
                </c:lvl>
              </c:multiLvlStrCache>
            </c:multiLvlStrRef>
          </c:cat>
          <c:val>
            <c:numRef>
              <c:f>'% change'!$N$85:$N$104</c:f>
              <c:numCache>
                <c:formatCode>0</c:formatCode>
                <c:ptCount val="20"/>
                <c:pt idx="0">
                  <c:v>-14.285714285714285</c:v>
                </c:pt>
                <c:pt idx="1">
                  <c:v>25.000014062500881</c:v>
                </c:pt>
                <c:pt idx="2">
                  <c:v>16.666666666666664</c:v>
                </c:pt>
                <c:pt idx="3">
                  <c:v>-19.047614285714282</c:v>
                </c:pt>
                <c:pt idx="4">
                  <c:v>41.1764622837375</c:v>
                </c:pt>
                <c:pt idx="5">
                  <c:v>5.2631686980615102</c:v>
                </c:pt>
                <c:pt idx="6">
                  <c:v>19.999994000000306</c:v>
                </c:pt>
                <c:pt idx="7">
                  <c:v>-5.2631529085869895</c:v>
                </c:pt>
                <c:pt idx="8">
                  <c:v>6.2500128906258192</c:v>
                </c:pt>
                <c:pt idx="9">
                  <c:v>-5.5555499999999949</c:v>
                </c:pt>
                <c:pt idx="10">
                  <c:v>5.5555499999999949</c:v>
                </c:pt>
                <c:pt idx="11">
                  <c:v>-5.0000097499995118</c:v>
                </c:pt>
                <c:pt idx="12">
                  <c:v>12.500007031250446</c:v>
                </c:pt>
                <c:pt idx="13">
                  <c:v>-5.0000097499995118</c:v>
                </c:pt>
                <c:pt idx="14">
                  <c:v>4.7619000000000051</c:v>
                </c:pt>
                <c:pt idx="15">
                  <c:v>-6.2499941406246275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dLbls>
          <c:showVal val="1"/>
        </c:dLbls>
        <c:dropLines>
          <c:spPr>
            <a:ln w="31750">
              <a:prstDash val="solid"/>
            </a:ln>
          </c:spPr>
        </c:dropLines>
        <c:marker val="1"/>
        <c:axId val="213456768"/>
        <c:axId val="213485440"/>
      </c:lineChart>
      <c:catAx>
        <c:axId val="213456768"/>
        <c:scaling>
          <c:orientation val="minMax"/>
        </c:scaling>
        <c:axPos val="b"/>
        <c:tickLblPos val="low"/>
        <c:txPr>
          <a:bodyPr/>
          <a:lstStyle/>
          <a:p>
            <a:pPr>
              <a:defRPr sz="1400"/>
            </a:pPr>
            <a:endParaRPr lang="en-US"/>
          </a:p>
        </c:txPr>
        <c:crossAx val="213485440"/>
        <c:crosses val="autoZero"/>
        <c:auto val="1"/>
        <c:lblAlgn val="ctr"/>
        <c:lblOffset val="100"/>
      </c:catAx>
      <c:valAx>
        <c:axId val="213485440"/>
        <c:scaling>
          <c:orientation val="minMax"/>
          <c:max val="100"/>
          <c:min val="-50"/>
        </c:scaling>
        <c:axPos val="l"/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en-US" sz="1400" b="0"/>
                  <a:t>∆ mortality (%)</a:t>
                </a:r>
              </a:p>
            </c:rich>
          </c:tx>
          <c:layout/>
        </c:title>
        <c:numFmt formatCode="General" sourceLinked="0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213456768"/>
        <c:crosses val="autoZero"/>
        <c:crossBetween val="between"/>
        <c:majorUnit val="50"/>
      </c:valAx>
    </c:plotArea>
    <c:legend>
      <c:legendPos val="t"/>
      <c:layout>
        <c:manualLayout>
          <c:xMode val="edge"/>
          <c:yMode val="edge"/>
          <c:x val="0.24298786118744925"/>
          <c:y val="6.6988580246913593E-2"/>
          <c:w val="0.51351641539289739"/>
          <c:h val="8.983672839506214E-2"/>
        </c:manualLayout>
      </c:layout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</c:chart>
  <c:spPr>
    <a:ln>
      <a:noFill/>
    </a:ln>
  </c:spPr>
  <c:printSettings>
    <c:headerFooter/>
    <c:pageMargins b="0.75000000000000322" l="0.70000000000000062" r="0.70000000000000062" t="0.75000000000000322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502227</xdr:colOff>
      <xdr:row>60</xdr:row>
      <xdr:rowOff>188817</xdr:rowOff>
    </xdr:from>
    <xdr:to>
      <xdr:col>21</xdr:col>
      <xdr:colOff>3401</xdr:colOff>
      <xdr:row>87</xdr:row>
      <xdr:rowOff>13606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488962</xdr:colOff>
      <xdr:row>7</xdr:row>
      <xdr:rowOff>160202</xdr:rowOff>
    </xdr:from>
    <xdr:to>
      <xdr:col>21</xdr:col>
      <xdr:colOff>6404</xdr:colOff>
      <xdr:row>21</xdr:row>
      <xdr:rowOff>86844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473437</xdr:colOff>
      <xdr:row>21</xdr:row>
      <xdr:rowOff>85362</xdr:rowOff>
    </xdr:from>
    <xdr:to>
      <xdr:col>20</xdr:col>
      <xdr:colOff>601037</xdr:colOff>
      <xdr:row>35</xdr:row>
      <xdr:rowOff>12004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516176</xdr:colOff>
      <xdr:row>33</xdr:row>
      <xdr:rowOff>150677</xdr:rowOff>
    </xdr:from>
    <xdr:to>
      <xdr:col>21</xdr:col>
      <xdr:colOff>33618</xdr:colOff>
      <xdr:row>47</xdr:row>
      <xdr:rowOff>77319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529784</xdr:colOff>
      <xdr:row>47</xdr:row>
      <xdr:rowOff>85362</xdr:rowOff>
    </xdr:from>
    <xdr:to>
      <xdr:col>21</xdr:col>
      <xdr:colOff>47226</xdr:colOff>
      <xdr:row>61</xdr:row>
      <xdr:rowOff>12004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21411</xdr:colOff>
      <xdr:row>60</xdr:row>
      <xdr:rowOff>188818</xdr:rowOff>
    </xdr:from>
    <xdr:to>
      <xdr:col>30</xdr:col>
      <xdr:colOff>146183</xdr:colOff>
      <xdr:row>87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10405</xdr:colOff>
      <xdr:row>7</xdr:row>
      <xdr:rowOff>84562</xdr:rowOff>
    </xdr:from>
    <xdr:to>
      <xdr:col>30</xdr:col>
      <xdr:colOff>135177</xdr:colOff>
      <xdr:row>21</xdr:row>
      <xdr:rowOff>11204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24013</xdr:colOff>
      <xdr:row>20</xdr:row>
      <xdr:rowOff>180612</xdr:rowOff>
    </xdr:from>
    <xdr:to>
      <xdr:col>30</xdr:col>
      <xdr:colOff>148785</xdr:colOff>
      <xdr:row>33</xdr:row>
      <xdr:rowOff>107254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37619</xdr:colOff>
      <xdr:row>33</xdr:row>
      <xdr:rowOff>112577</xdr:rowOff>
    </xdr:from>
    <xdr:to>
      <xdr:col>30</xdr:col>
      <xdr:colOff>162391</xdr:colOff>
      <xdr:row>47</xdr:row>
      <xdr:rowOff>99391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51227</xdr:colOff>
      <xdr:row>47</xdr:row>
      <xdr:rowOff>85362</xdr:rowOff>
    </xdr:from>
    <xdr:to>
      <xdr:col>30</xdr:col>
      <xdr:colOff>175999</xdr:colOff>
      <xdr:row>61</xdr:row>
      <xdr:rowOff>12004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0.1353</cdr:x>
      <cdr:y>0.02766</cdr:y>
    </cdr:from>
    <cdr:to>
      <cdr:x>0.18394</cdr:x>
      <cdr:y>0.13274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52158" y="55942"/>
          <a:ext cx="234462" cy="2124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0.1353</cdr:x>
      <cdr:y>0.02766</cdr:y>
    </cdr:from>
    <cdr:to>
      <cdr:x>0.18394</cdr:x>
      <cdr:y>0.13274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52158" y="55942"/>
          <a:ext cx="234462" cy="2124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600073</xdr:colOff>
      <xdr:row>3</xdr:row>
      <xdr:rowOff>189139</xdr:rowOff>
    </xdr:from>
    <xdr:to>
      <xdr:col>24</xdr:col>
      <xdr:colOff>474810</xdr:colOff>
      <xdr:row>15</xdr:row>
      <xdr:rowOff>63139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602952</xdr:colOff>
      <xdr:row>15</xdr:row>
      <xdr:rowOff>80170</xdr:rowOff>
    </xdr:from>
    <xdr:to>
      <xdr:col>24</xdr:col>
      <xdr:colOff>477689</xdr:colOff>
      <xdr:row>26</xdr:row>
      <xdr:rowOff>144670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600806</xdr:colOff>
      <xdr:row>26</xdr:row>
      <xdr:rowOff>149085</xdr:rowOff>
    </xdr:from>
    <xdr:to>
      <xdr:col>24</xdr:col>
      <xdr:colOff>482747</xdr:colOff>
      <xdr:row>38</xdr:row>
      <xdr:rowOff>23085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604312</xdr:colOff>
      <xdr:row>38</xdr:row>
      <xdr:rowOff>21852</xdr:rowOff>
    </xdr:from>
    <xdr:to>
      <xdr:col>24</xdr:col>
      <xdr:colOff>479049</xdr:colOff>
      <xdr:row>49</xdr:row>
      <xdr:rowOff>86352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421</xdr:colOff>
      <xdr:row>49</xdr:row>
      <xdr:rowOff>90603</xdr:rowOff>
    </xdr:from>
    <xdr:to>
      <xdr:col>24</xdr:col>
      <xdr:colOff>482931</xdr:colOff>
      <xdr:row>68</xdr:row>
      <xdr:rowOff>71103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422993</xdr:colOff>
      <xdr:row>4</xdr:row>
      <xdr:rowOff>8164</xdr:rowOff>
    </xdr:from>
    <xdr:to>
      <xdr:col>33</xdr:col>
      <xdr:colOff>297730</xdr:colOff>
      <xdr:row>15</xdr:row>
      <xdr:rowOff>72664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425872</xdr:colOff>
      <xdr:row>15</xdr:row>
      <xdr:rowOff>89695</xdr:rowOff>
    </xdr:from>
    <xdr:to>
      <xdr:col>33</xdr:col>
      <xdr:colOff>300609</xdr:colOff>
      <xdr:row>26</xdr:row>
      <xdr:rowOff>154195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423726</xdr:colOff>
      <xdr:row>26</xdr:row>
      <xdr:rowOff>158610</xdr:rowOff>
    </xdr:from>
    <xdr:to>
      <xdr:col>33</xdr:col>
      <xdr:colOff>305667</xdr:colOff>
      <xdr:row>38</xdr:row>
      <xdr:rowOff>32610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427232</xdr:colOff>
      <xdr:row>38</xdr:row>
      <xdr:rowOff>31377</xdr:rowOff>
    </xdr:from>
    <xdr:to>
      <xdr:col>33</xdr:col>
      <xdr:colOff>301969</xdr:colOff>
      <xdr:row>49</xdr:row>
      <xdr:rowOff>95877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429478</xdr:colOff>
      <xdr:row>49</xdr:row>
      <xdr:rowOff>100128</xdr:rowOff>
    </xdr:from>
    <xdr:to>
      <xdr:col>33</xdr:col>
      <xdr:colOff>305851</xdr:colOff>
      <xdr:row>68</xdr:row>
      <xdr:rowOff>80628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4.62963E-7</cdr:y>
    </cdr:from>
    <cdr:to>
      <cdr:x>0.0907</cdr:x>
      <cdr:y>0.13922</cdr:y>
    </cdr:to>
    <cdr:sp macro="" textlink="">
      <cdr:nvSpPr>
        <cdr:cNvPr id="4" name="TextBox 21"/>
        <cdr:cNvSpPr txBox="1"/>
      </cdr:nvSpPr>
      <cdr:spPr>
        <a:xfrm xmlns:a="http://schemas.openxmlformats.org/drawingml/2006/main">
          <a:off x="0" y="1"/>
          <a:ext cx="488498" cy="3007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AU" sz="1400" b="1"/>
            <a:t>(a)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0.08259</cdr:x>
      <cdr:y>0.13927</cdr:y>
    </cdr:to>
    <cdr:sp macro="" textlink="">
      <cdr:nvSpPr>
        <cdr:cNvPr id="3" name="TextBox 21"/>
        <cdr:cNvSpPr txBox="1"/>
      </cdr:nvSpPr>
      <cdr:spPr>
        <a:xfrm xmlns:a="http://schemas.openxmlformats.org/drawingml/2006/main">
          <a:off x="0" y="0"/>
          <a:ext cx="444798" cy="3008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AU" sz="1400" b="1"/>
            <a:t>(c)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0.1353</cdr:x>
      <cdr:y>0.02766</cdr:y>
    </cdr:from>
    <cdr:to>
      <cdr:x>0.18394</cdr:x>
      <cdr:y>0.13274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52158" y="55942"/>
          <a:ext cx="234462" cy="2124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</cdr:y>
    </cdr:from>
    <cdr:to>
      <cdr:x>0.08035</cdr:x>
      <cdr:y>0.11997</cdr:y>
    </cdr:to>
    <cdr:sp macro="" textlink="">
      <cdr:nvSpPr>
        <cdr:cNvPr id="3" name="TextBox 21"/>
        <cdr:cNvSpPr txBox="1"/>
      </cdr:nvSpPr>
      <cdr:spPr>
        <a:xfrm xmlns:a="http://schemas.openxmlformats.org/drawingml/2006/main">
          <a:off x="0" y="0"/>
          <a:ext cx="433336" cy="2591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AU" sz="1400" b="1"/>
            <a:t>(e)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0.08234</cdr:x>
      <cdr:y>0.15997</cdr:y>
    </cdr:to>
    <cdr:sp macro="" textlink="">
      <cdr:nvSpPr>
        <cdr:cNvPr id="3" name="TextBox 21"/>
        <cdr:cNvSpPr txBox="1"/>
      </cdr:nvSpPr>
      <cdr:spPr>
        <a:xfrm xmlns:a="http://schemas.openxmlformats.org/drawingml/2006/main">
          <a:off x="0" y="0"/>
          <a:ext cx="443438" cy="3455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AU" sz="1400" b="1"/>
            <a:t>(g)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0.1353</cdr:x>
      <cdr:y>0.02766</cdr:y>
    </cdr:from>
    <cdr:to>
      <cdr:x>0.18394</cdr:x>
      <cdr:y>0.13274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52158" y="55942"/>
          <a:ext cx="234462" cy="2124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</cdr:y>
    </cdr:from>
    <cdr:to>
      <cdr:x>0.08084</cdr:x>
      <cdr:y>0.09201</cdr:y>
    </cdr:to>
    <cdr:sp macro="" textlink="">
      <cdr:nvSpPr>
        <cdr:cNvPr id="3" name="TextBox 21"/>
        <cdr:cNvSpPr txBox="1"/>
      </cdr:nvSpPr>
      <cdr:spPr>
        <a:xfrm xmlns:a="http://schemas.openxmlformats.org/drawingml/2006/main">
          <a:off x="0" y="0"/>
          <a:ext cx="435007" cy="3312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AU" sz="1400" b="1"/>
            <a:t>(i)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0.1353</cdr:x>
      <cdr:y>0.02766</cdr:y>
    </cdr:from>
    <cdr:to>
      <cdr:x>0.18394</cdr:x>
      <cdr:y>0.13274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52158" y="55942"/>
          <a:ext cx="234462" cy="2124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</cdr:y>
    </cdr:from>
    <cdr:to>
      <cdr:x>0.08316</cdr:x>
      <cdr:y>0.16001</cdr:y>
    </cdr:to>
    <cdr:sp macro="" textlink="">
      <cdr:nvSpPr>
        <cdr:cNvPr id="4" name="TextBox 21"/>
        <cdr:cNvSpPr txBox="1"/>
      </cdr:nvSpPr>
      <cdr:spPr>
        <a:xfrm xmlns:a="http://schemas.openxmlformats.org/drawingml/2006/main">
          <a:off x="0" y="0"/>
          <a:ext cx="447864" cy="3456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AU" sz="1400" b="1"/>
            <a:t>(b)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0.08515</cdr:x>
      <cdr:y>0.16636</cdr:y>
    </cdr:to>
    <cdr:sp macro="" textlink="">
      <cdr:nvSpPr>
        <cdr:cNvPr id="3" name="TextBox 21"/>
        <cdr:cNvSpPr txBox="1"/>
      </cdr:nvSpPr>
      <cdr:spPr>
        <a:xfrm xmlns:a="http://schemas.openxmlformats.org/drawingml/2006/main">
          <a:off x="0" y="0"/>
          <a:ext cx="458592" cy="359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AU" sz="1400" b="1"/>
            <a:t>(d)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0.1353</cdr:x>
      <cdr:y>0.02766</cdr:y>
    </cdr:from>
    <cdr:to>
      <cdr:x>0.18394</cdr:x>
      <cdr:y>0.13274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52158" y="55942"/>
          <a:ext cx="234462" cy="2124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</cdr:y>
    </cdr:from>
    <cdr:to>
      <cdr:x>0.08796</cdr:x>
      <cdr:y>0.15336</cdr:y>
    </cdr:to>
    <cdr:sp macro="" textlink="">
      <cdr:nvSpPr>
        <cdr:cNvPr id="3" name="TextBox 21"/>
        <cdr:cNvSpPr txBox="1"/>
      </cdr:nvSpPr>
      <cdr:spPr>
        <a:xfrm xmlns:a="http://schemas.openxmlformats.org/drawingml/2006/main">
          <a:off x="0" y="0"/>
          <a:ext cx="474344" cy="3312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AU" sz="1400" b="1"/>
            <a:t>(f)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0.1353</cdr:x>
      <cdr:y>0.02766</cdr:y>
    </cdr:from>
    <cdr:to>
      <cdr:x>0.18394</cdr:x>
      <cdr:y>0.13274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52158" y="55942"/>
          <a:ext cx="234462" cy="2124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</cdr:y>
    </cdr:from>
    <cdr:to>
      <cdr:x>0.08237</cdr:x>
      <cdr:y>0.18076</cdr:y>
    </cdr:to>
    <cdr:sp macro="" textlink="">
      <cdr:nvSpPr>
        <cdr:cNvPr id="3" name="TextBox 21"/>
        <cdr:cNvSpPr txBox="1"/>
      </cdr:nvSpPr>
      <cdr:spPr>
        <a:xfrm xmlns:a="http://schemas.openxmlformats.org/drawingml/2006/main">
          <a:off x="0" y="0"/>
          <a:ext cx="443624" cy="3904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AU" sz="1400" b="1"/>
            <a:t>(h)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0.1353</cdr:x>
      <cdr:y>0.02766</cdr:y>
    </cdr:from>
    <cdr:to>
      <cdr:x>0.18394</cdr:x>
      <cdr:y>0.13274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52158" y="55942"/>
          <a:ext cx="234462" cy="2124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</cdr:y>
    </cdr:from>
    <cdr:to>
      <cdr:x>0.0794</cdr:x>
      <cdr:y>0.11582</cdr:y>
    </cdr:to>
    <cdr:sp macro="" textlink="">
      <cdr:nvSpPr>
        <cdr:cNvPr id="3" name="TextBox 21"/>
        <cdr:cNvSpPr txBox="1"/>
      </cdr:nvSpPr>
      <cdr:spPr>
        <a:xfrm xmlns:a="http://schemas.openxmlformats.org/drawingml/2006/main">
          <a:off x="0" y="0"/>
          <a:ext cx="427772" cy="41694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AU" sz="1400" b="1"/>
            <a:t>(j)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30"/>
  <sheetViews>
    <sheetView tabSelected="1" zoomScale="55" zoomScaleNormal="55" workbookViewId="0"/>
  </sheetViews>
  <sheetFormatPr defaultRowHeight="15"/>
  <cols>
    <col min="1" max="2" width="9.140625" style="35"/>
    <col min="3" max="3" width="18" style="36" customWidth="1"/>
    <col min="4" max="4" width="13.42578125" style="7" bestFit="1" customWidth="1"/>
    <col min="5" max="5" width="13.42578125" style="32" bestFit="1" customWidth="1"/>
    <col min="6" max="6" width="7.85546875" style="7" bestFit="1" customWidth="1"/>
    <col min="7" max="7" width="6.7109375" style="7" bestFit="1" customWidth="1"/>
    <col min="8" max="8" width="9.140625" style="32"/>
    <col min="9" max="9" width="7.140625" style="32" bestFit="1" customWidth="1"/>
    <col min="10" max="31" width="9.140625" style="35" customWidth="1"/>
    <col min="32" max="16384" width="9.140625" style="35"/>
  </cols>
  <sheetData>
    <row r="1" spans="3:9" customFormat="1">
      <c r="C1" s="1"/>
      <c r="D1" s="7"/>
      <c r="E1" s="32"/>
      <c r="F1" s="7"/>
      <c r="G1" s="7"/>
      <c r="H1" s="32"/>
      <c r="I1" s="32"/>
    </row>
    <row r="2" spans="3:9" customFormat="1">
      <c r="C2" s="1"/>
      <c r="D2" s="7"/>
      <c r="E2" s="32"/>
      <c r="F2" s="7"/>
      <c r="G2" s="7"/>
      <c r="H2" s="32"/>
      <c r="I2" s="32"/>
    </row>
    <row r="3" spans="3:9" customFormat="1">
      <c r="C3" s="29"/>
      <c r="D3" s="6"/>
      <c r="E3" s="10"/>
      <c r="F3" s="28" t="s">
        <v>8</v>
      </c>
      <c r="G3" s="28"/>
      <c r="H3" s="28" t="s">
        <v>25</v>
      </c>
      <c r="I3" s="28"/>
    </row>
    <row r="4" spans="3:9" customFormat="1">
      <c r="C4" s="6" t="s">
        <v>29</v>
      </c>
      <c r="D4" s="6" t="s">
        <v>30</v>
      </c>
      <c r="E4" s="10" t="s">
        <v>5</v>
      </c>
      <c r="F4" s="6" t="s">
        <v>28</v>
      </c>
      <c r="G4" s="6" t="s">
        <v>26</v>
      </c>
      <c r="H4" s="10" t="s">
        <v>28</v>
      </c>
      <c r="I4" s="6" t="s">
        <v>27</v>
      </c>
    </row>
    <row r="5" spans="3:9" customFormat="1">
      <c r="C5" s="6"/>
      <c r="D5" s="6"/>
      <c r="E5" s="10"/>
      <c r="F5" s="6"/>
      <c r="G5" s="6"/>
      <c r="H5" s="6"/>
      <c r="I5" s="6"/>
    </row>
    <row r="6" spans="3:9" customFormat="1">
      <c r="C6" s="25" t="s">
        <v>13</v>
      </c>
      <c r="D6" s="26" t="s">
        <v>13</v>
      </c>
      <c r="E6" s="10" t="s">
        <v>14</v>
      </c>
      <c r="F6" s="12">
        <v>70</v>
      </c>
      <c r="G6" s="12">
        <v>20.976177</v>
      </c>
      <c r="H6" s="12">
        <v>70</v>
      </c>
      <c r="I6" s="12">
        <v>20.976179999999999</v>
      </c>
    </row>
    <row r="7" spans="3:9" customFormat="1">
      <c r="C7" s="25" t="s">
        <v>13</v>
      </c>
      <c r="D7" s="26"/>
      <c r="E7" s="10" t="s">
        <v>15</v>
      </c>
      <c r="F7" s="12">
        <v>53.333329999999997</v>
      </c>
      <c r="G7" s="12">
        <v>20.655911</v>
      </c>
      <c r="H7" s="12">
        <v>53.333329999999997</v>
      </c>
      <c r="I7" s="12">
        <v>20.655909999999999</v>
      </c>
    </row>
    <row r="8" spans="3:9" customFormat="1">
      <c r="C8" s="25" t="s">
        <v>13</v>
      </c>
      <c r="D8" s="26"/>
      <c r="E8" s="10" t="s">
        <v>16</v>
      </c>
      <c r="F8" s="12">
        <v>60</v>
      </c>
      <c r="G8" s="12">
        <v>17.888544</v>
      </c>
      <c r="H8" s="12">
        <v>60</v>
      </c>
      <c r="I8" s="12">
        <v>17.888539999999999</v>
      </c>
    </row>
    <row r="9" spans="3:9" customFormat="1">
      <c r="C9" s="25" t="s">
        <v>13</v>
      </c>
      <c r="D9" s="26"/>
      <c r="E9" s="10" t="s">
        <v>17</v>
      </c>
      <c r="F9" s="12">
        <v>70</v>
      </c>
      <c r="G9" s="12">
        <v>10.954451000000001</v>
      </c>
      <c r="H9" s="12">
        <v>70</v>
      </c>
      <c r="I9" s="12">
        <v>10.95445</v>
      </c>
    </row>
    <row r="10" spans="3:9" customFormat="1">
      <c r="C10" s="25"/>
      <c r="D10" s="27"/>
      <c r="E10" s="10"/>
      <c r="F10" s="12"/>
      <c r="G10" s="12"/>
      <c r="H10" s="12"/>
      <c r="I10" s="12"/>
    </row>
    <row r="11" spans="3:9" customFormat="1">
      <c r="C11" s="25" t="s">
        <v>13</v>
      </c>
      <c r="D11" s="28" t="s">
        <v>18</v>
      </c>
      <c r="E11" s="10" t="s">
        <v>14</v>
      </c>
      <c r="F11" s="12">
        <v>56.666670000000003</v>
      </c>
      <c r="G11" s="12">
        <v>19.663841999999999</v>
      </c>
      <c r="H11" s="12">
        <v>73.333330000000004</v>
      </c>
      <c r="I11" s="12">
        <v>20.655909999999999</v>
      </c>
    </row>
    <row r="12" spans="3:9" customFormat="1">
      <c r="C12" s="25" t="s">
        <v>13</v>
      </c>
      <c r="D12" s="28"/>
      <c r="E12" s="10" t="s">
        <v>15</v>
      </c>
      <c r="F12" s="12">
        <v>60</v>
      </c>
      <c r="G12" s="12">
        <v>21.908902000000001</v>
      </c>
      <c r="H12" s="12">
        <v>73.333330000000004</v>
      </c>
      <c r="I12" s="12">
        <v>16.329930000000001</v>
      </c>
    </row>
    <row r="13" spans="3:9" customFormat="1">
      <c r="C13" s="25" t="s">
        <v>13</v>
      </c>
      <c r="D13" s="28"/>
      <c r="E13" s="10" t="s">
        <v>16</v>
      </c>
      <c r="F13" s="12">
        <v>66.666669999999996</v>
      </c>
      <c r="G13" s="12">
        <v>20.655911</v>
      </c>
      <c r="H13" s="12">
        <v>66.666669999999996</v>
      </c>
      <c r="I13" s="12">
        <v>10.327959999999999</v>
      </c>
    </row>
    <row r="14" spans="3:9" customFormat="1">
      <c r="C14" s="25" t="s">
        <v>13</v>
      </c>
      <c r="D14" s="28"/>
      <c r="E14" s="10" t="s">
        <v>17</v>
      </c>
      <c r="F14" s="12">
        <v>66.666669999999996</v>
      </c>
      <c r="G14" s="12">
        <v>10.327956</v>
      </c>
      <c r="H14" s="12">
        <v>66.666669999999996</v>
      </c>
      <c r="I14" s="12">
        <v>16.329930000000001</v>
      </c>
    </row>
    <row r="15" spans="3:9" customFormat="1">
      <c r="C15" s="25"/>
      <c r="D15" s="6"/>
      <c r="E15" s="10"/>
      <c r="F15" s="12"/>
      <c r="G15" s="12"/>
      <c r="H15" s="12"/>
      <c r="I15" s="12"/>
    </row>
    <row r="16" spans="3:9" customFormat="1">
      <c r="C16" s="25" t="s">
        <v>13</v>
      </c>
      <c r="D16" s="28" t="s">
        <v>19</v>
      </c>
      <c r="E16" s="10" t="s">
        <v>14</v>
      </c>
      <c r="F16" s="12">
        <v>56.666670000000003</v>
      </c>
      <c r="G16" s="12">
        <v>8.1649659999999997</v>
      </c>
      <c r="H16" s="12">
        <v>63.333329999999997</v>
      </c>
      <c r="I16" s="12">
        <v>23.3809</v>
      </c>
    </row>
    <row r="17" spans="1:10" customFormat="1">
      <c r="C17" s="25" t="s">
        <v>13</v>
      </c>
      <c r="D17" s="28"/>
      <c r="E17" s="10" t="s">
        <v>15</v>
      </c>
      <c r="F17" s="12">
        <v>66.666669999999996</v>
      </c>
      <c r="G17" s="12">
        <v>20.655911</v>
      </c>
      <c r="H17" s="12">
        <v>60</v>
      </c>
      <c r="I17" s="12">
        <v>12.64911</v>
      </c>
    </row>
    <row r="18" spans="1:10" customFormat="1">
      <c r="C18" s="25" t="s">
        <v>13</v>
      </c>
      <c r="D18" s="28"/>
      <c r="E18" s="10" t="s">
        <v>16</v>
      </c>
      <c r="F18" s="12">
        <v>66.666669999999996</v>
      </c>
      <c r="G18" s="12">
        <v>16.329931999999999</v>
      </c>
      <c r="H18" s="12">
        <v>63.333329999999997</v>
      </c>
      <c r="I18" s="12">
        <v>19.66384</v>
      </c>
    </row>
    <row r="19" spans="1:10" customFormat="1">
      <c r="C19" s="25" t="s">
        <v>13</v>
      </c>
      <c r="D19" s="28"/>
      <c r="E19" s="10" t="s">
        <v>17</v>
      </c>
      <c r="F19" s="12">
        <v>60</v>
      </c>
      <c r="G19" s="12">
        <v>17.888544</v>
      </c>
      <c r="H19" s="12">
        <v>73.333330000000004</v>
      </c>
      <c r="I19" s="12">
        <v>20.655909999999999</v>
      </c>
    </row>
    <row r="20" spans="1:10" customFormat="1">
      <c r="C20" s="25"/>
      <c r="D20" s="6"/>
      <c r="E20" s="10"/>
      <c r="F20" s="12"/>
      <c r="G20" s="12"/>
      <c r="H20" s="12"/>
      <c r="I20" s="12"/>
    </row>
    <row r="21" spans="1:10" customFormat="1">
      <c r="C21" s="25" t="s">
        <v>13</v>
      </c>
      <c r="D21" s="28" t="s">
        <v>20</v>
      </c>
      <c r="E21" s="10" t="s">
        <v>14</v>
      </c>
      <c r="F21" s="12">
        <v>63.333329999999997</v>
      </c>
      <c r="G21" s="12">
        <v>8.1649659999999997</v>
      </c>
      <c r="H21" s="12">
        <v>76.666669999999996</v>
      </c>
      <c r="I21" s="12">
        <v>19.66384</v>
      </c>
    </row>
    <row r="22" spans="1:10" customFormat="1">
      <c r="C22" s="25" t="s">
        <v>13</v>
      </c>
      <c r="D22" s="28"/>
      <c r="E22" s="10" t="s">
        <v>15</v>
      </c>
      <c r="F22" s="12">
        <v>80</v>
      </c>
      <c r="G22" s="12">
        <v>12.649111</v>
      </c>
      <c r="H22" s="12">
        <v>73.333330000000004</v>
      </c>
      <c r="I22" s="12">
        <v>16.329930000000001</v>
      </c>
    </row>
    <row r="23" spans="1:10" customFormat="1">
      <c r="C23" s="25" t="s">
        <v>13</v>
      </c>
      <c r="D23" s="28"/>
      <c r="E23" s="10" t="s">
        <v>16</v>
      </c>
      <c r="F23" s="12">
        <v>73.333330000000004</v>
      </c>
      <c r="G23" s="12">
        <v>16.329931999999999</v>
      </c>
      <c r="H23" s="12">
        <v>66.666669999999996</v>
      </c>
      <c r="I23" s="12">
        <v>10.327959999999999</v>
      </c>
    </row>
    <row r="24" spans="1:10" customFormat="1">
      <c r="A24" t="s">
        <v>21</v>
      </c>
      <c r="C24" s="25" t="s">
        <v>13</v>
      </c>
      <c r="D24" s="28"/>
      <c r="E24" s="10" t="s">
        <v>17</v>
      </c>
      <c r="F24" s="12">
        <v>80</v>
      </c>
      <c r="G24" s="12">
        <v>1</v>
      </c>
      <c r="H24" s="12">
        <v>50</v>
      </c>
      <c r="I24" s="12">
        <v>27.568100000000001</v>
      </c>
    </row>
    <row r="25" spans="1:10" customFormat="1">
      <c r="C25" s="25"/>
      <c r="D25" s="6"/>
      <c r="E25" s="10"/>
      <c r="F25" s="12"/>
      <c r="G25" s="12"/>
      <c r="H25" s="12"/>
      <c r="I25" s="12"/>
    </row>
    <row r="26" spans="1:10" customFormat="1">
      <c r="C26" s="25" t="s">
        <v>13</v>
      </c>
      <c r="D26" s="28" t="s">
        <v>22</v>
      </c>
      <c r="E26" s="10" t="s">
        <v>14</v>
      </c>
      <c r="F26" s="12">
        <v>73.333330000000004</v>
      </c>
      <c r="G26" s="12">
        <v>10.327956</v>
      </c>
      <c r="H26" s="12">
        <v>70</v>
      </c>
      <c r="I26" s="12">
        <v>10.95445</v>
      </c>
    </row>
    <row r="27" spans="1:10" customFormat="1">
      <c r="C27" s="25" t="s">
        <v>13</v>
      </c>
      <c r="D27" s="28"/>
      <c r="E27" s="10" t="s">
        <v>15</v>
      </c>
      <c r="F27" s="12">
        <v>60</v>
      </c>
      <c r="G27" s="12">
        <v>17.888544</v>
      </c>
      <c r="H27" s="12">
        <v>53.333329999999997</v>
      </c>
      <c r="I27" s="12">
        <v>16.329930000000001</v>
      </c>
    </row>
    <row r="28" spans="1:10" customFormat="1">
      <c r="C28" s="25" t="s">
        <v>13</v>
      </c>
      <c r="D28" s="28"/>
      <c r="E28" s="10" t="s">
        <v>16</v>
      </c>
      <c r="F28" s="12">
        <v>70</v>
      </c>
      <c r="G28" s="12">
        <v>10.954451000000001</v>
      </c>
      <c r="H28" s="12">
        <v>63.333329999999997</v>
      </c>
      <c r="I28" s="12">
        <v>19.66384</v>
      </c>
    </row>
    <row r="29" spans="1:10" customFormat="1">
      <c r="C29" s="25" t="s">
        <v>13</v>
      </c>
      <c r="D29" s="28"/>
      <c r="E29" s="10" t="s">
        <v>17</v>
      </c>
      <c r="F29" s="12">
        <v>53.333329999999997</v>
      </c>
      <c r="G29" s="12">
        <v>10.327956</v>
      </c>
      <c r="H29" s="12">
        <v>70</v>
      </c>
      <c r="I29" s="12">
        <v>16.7332</v>
      </c>
    </row>
    <row r="30" spans="1:10" customFormat="1">
      <c r="C30" s="25"/>
      <c r="D30" s="6"/>
      <c r="E30" s="10"/>
      <c r="F30" s="12"/>
      <c r="G30" s="12"/>
      <c r="H30" s="12"/>
      <c r="I30" s="12"/>
    </row>
    <row r="31" spans="1:10" customFormat="1">
      <c r="C31" s="25" t="s">
        <v>18</v>
      </c>
      <c r="D31" s="26" t="s">
        <v>13</v>
      </c>
      <c r="E31" s="10" t="s">
        <v>14</v>
      </c>
      <c r="F31" s="12">
        <v>36.666670000000003</v>
      </c>
      <c r="G31" s="12">
        <v>15.055453</v>
      </c>
      <c r="H31" s="30">
        <v>70</v>
      </c>
      <c r="I31" s="30">
        <v>16.733201000000001</v>
      </c>
      <c r="J31" s="24"/>
    </row>
    <row r="32" spans="1:10" customFormat="1">
      <c r="C32" s="25" t="s">
        <v>18</v>
      </c>
      <c r="D32" s="26"/>
      <c r="E32" s="10" t="s">
        <v>15</v>
      </c>
      <c r="F32" s="12">
        <v>63.33</v>
      </c>
      <c r="G32" s="12">
        <v>15.05</v>
      </c>
      <c r="H32" s="30">
        <v>80</v>
      </c>
      <c r="I32" s="30">
        <v>12.649111</v>
      </c>
      <c r="J32" s="24"/>
    </row>
    <row r="33" spans="3:10" customFormat="1">
      <c r="C33" s="25" t="s">
        <v>18</v>
      </c>
      <c r="D33" s="26"/>
      <c r="E33" s="10" t="s">
        <v>16</v>
      </c>
      <c r="F33" s="12">
        <v>66.666669999999996</v>
      </c>
      <c r="G33" s="12">
        <v>16.329931999999999</v>
      </c>
      <c r="H33" s="30">
        <v>80</v>
      </c>
      <c r="I33" s="30">
        <v>0</v>
      </c>
      <c r="J33" s="24"/>
    </row>
    <row r="34" spans="3:10" customFormat="1">
      <c r="C34" s="25" t="s">
        <v>18</v>
      </c>
      <c r="D34" s="26"/>
      <c r="E34" s="10" t="s">
        <v>17</v>
      </c>
      <c r="F34" s="12">
        <v>46.666670000000003</v>
      </c>
      <c r="G34" s="12">
        <v>20.655911</v>
      </c>
      <c r="H34" s="30">
        <v>70</v>
      </c>
      <c r="I34" s="30">
        <v>10.954451000000001</v>
      </c>
      <c r="J34" s="24"/>
    </row>
    <row r="35" spans="3:10" customFormat="1">
      <c r="C35" s="25"/>
      <c r="D35" s="27"/>
      <c r="E35" s="10"/>
      <c r="F35" s="12"/>
      <c r="G35" s="12"/>
      <c r="H35" s="30"/>
      <c r="I35" s="30"/>
      <c r="J35" s="24"/>
    </row>
    <row r="36" spans="3:10" customFormat="1">
      <c r="C36" s="25" t="s">
        <v>18</v>
      </c>
      <c r="D36" s="28" t="s">
        <v>18</v>
      </c>
      <c r="E36" s="10" t="s">
        <v>14</v>
      </c>
      <c r="F36" s="12">
        <v>56.666666599999999</v>
      </c>
      <c r="G36" s="12">
        <v>19.66</v>
      </c>
      <c r="H36" s="30">
        <v>56.666670000000003</v>
      </c>
      <c r="I36" s="30">
        <v>19.663841999999999</v>
      </c>
      <c r="J36" s="24"/>
    </row>
    <row r="37" spans="3:10" customFormat="1">
      <c r="C37" s="25" t="s">
        <v>18</v>
      </c>
      <c r="D37" s="28"/>
      <c r="E37" s="10" t="s">
        <v>15</v>
      </c>
      <c r="F37" s="12">
        <v>63.333329999999997</v>
      </c>
      <c r="G37" s="12">
        <v>15.05</v>
      </c>
      <c r="H37" s="30">
        <v>63.333329999999997</v>
      </c>
      <c r="I37" s="30">
        <v>15.055453</v>
      </c>
      <c r="J37" s="24"/>
    </row>
    <row r="38" spans="3:10" customFormat="1">
      <c r="C38" s="25" t="s">
        <v>18</v>
      </c>
      <c r="D38" s="28"/>
      <c r="E38" s="10" t="s">
        <v>16</v>
      </c>
      <c r="F38" s="12">
        <v>66.67</v>
      </c>
      <c r="G38" s="12">
        <v>10.32</v>
      </c>
      <c r="H38" s="30">
        <v>66.666669999999996</v>
      </c>
      <c r="I38" s="30">
        <v>10.327956</v>
      </c>
      <c r="J38" s="24"/>
    </row>
    <row r="39" spans="3:10" customFormat="1">
      <c r="C39" s="25" t="s">
        <v>18</v>
      </c>
      <c r="D39" s="28"/>
      <c r="E39" s="10" t="s">
        <v>17</v>
      </c>
      <c r="F39" s="12">
        <v>63.33</v>
      </c>
      <c r="G39" s="12">
        <v>15.05</v>
      </c>
      <c r="H39" s="30">
        <v>63.333329999999997</v>
      </c>
      <c r="I39" s="30">
        <v>15.055453</v>
      </c>
      <c r="J39" s="24"/>
    </row>
    <row r="40" spans="3:10" customFormat="1">
      <c r="C40" s="25"/>
      <c r="D40" s="6"/>
      <c r="E40" s="10"/>
      <c r="F40" s="12"/>
      <c r="G40" s="12"/>
      <c r="H40" s="30"/>
      <c r="I40" s="30"/>
      <c r="J40" s="24"/>
    </row>
    <row r="41" spans="3:10" customFormat="1">
      <c r="C41" s="25" t="s">
        <v>18</v>
      </c>
      <c r="D41" s="28" t="s">
        <v>19</v>
      </c>
      <c r="E41" s="10" t="s">
        <v>14</v>
      </c>
      <c r="F41" s="12">
        <v>50</v>
      </c>
      <c r="G41" s="12">
        <v>20.97</v>
      </c>
      <c r="H41" s="30">
        <v>53.333329999999997</v>
      </c>
      <c r="I41" s="30">
        <v>20.655911</v>
      </c>
      <c r="J41" s="24"/>
    </row>
    <row r="42" spans="3:10" customFormat="1">
      <c r="C42" s="25" t="s">
        <v>18</v>
      </c>
      <c r="D42" s="28"/>
      <c r="E42" s="10" t="s">
        <v>15</v>
      </c>
      <c r="F42" s="12">
        <v>53.33</v>
      </c>
      <c r="G42" s="12">
        <v>30.11</v>
      </c>
      <c r="H42" s="30">
        <v>60</v>
      </c>
      <c r="I42" s="30">
        <v>0</v>
      </c>
      <c r="J42" s="24"/>
    </row>
    <row r="43" spans="3:10" customFormat="1">
      <c r="C43" s="25" t="s">
        <v>18</v>
      </c>
      <c r="D43" s="28"/>
      <c r="E43" s="10" t="s">
        <v>16</v>
      </c>
      <c r="F43" s="12">
        <v>63.33</v>
      </c>
      <c r="G43" s="12">
        <v>23.38</v>
      </c>
      <c r="H43" s="30">
        <v>60</v>
      </c>
      <c r="I43" s="30">
        <v>17.888544</v>
      </c>
      <c r="J43" s="24"/>
    </row>
    <row r="44" spans="3:10" customFormat="1">
      <c r="C44" s="25" t="s">
        <v>18</v>
      </c>
      <c r="D44" s="28"/>
      <c r="E44" s="10" t="s">
        <v>17</v>
      </c>
      <c r="F44" s="12">
        <v>66.66</v>
      </c>
      <c r="G44" s="12">
        <v>10.32</v>
      </c>
      <c r="H44" s="30">
        <v>66.666669999999996</v>
      </c>
      <c r="I44" s="30">
        <v>20.655911</v>
      </c>
      <c r="J44" s="24"/>
    </row>
    <row r="45" spans="3:10" customFormat="1">
      <c r="C45" s="25"/>
      <c r="D45" s="6"/>
      <c r="E45" s="10"/>
      <c r="F45" s="12"/>
      <c r="G45" s="12"/>
      <c r="H45" s="30"/>
      <c r="I45" s="30"/>
      <c r="J45" s="24"/>
    </row>
    <row r="46" spans="3:10" customFormat="1">
      <c r="C46" s="25" t="s">
        <v>18</v>
      </c>
      <c r="D46" s="28" t="s">
        <v>20</v>
      </c>
      <c r="E46" s="10" t="s">
        <v>14</v>
      </c>
      <c r="F46" s="12">
        <v>60</v>
      </c>
      <c r="G46" s="12">
        <v>0</v>
      </c>
      <c r="H46" s="30">
        <v>70</v>
      </c>
      <c r="I46" s="30">
        <v>16.733201000000001</v>
      </c>
      <c r="J46" s="24"/>
    </row>
    <row r="47" spans="3:10" customFormat="1">
      <c r="C47" s="25" t="s">
        <v>18</v>
      </c>
      <c r="D47" s="28"/>
      <c r="E47" s="10" t="s">
        <v>15</v>
      </c>
      <c r="F47" s="12">
        <v>56.67</v>
      </c>
      <c r="G47" s="12">
        <v>15.055453</v>
      </c>
      <c r="H47" s="30">
        <v>80</v>
      </c>
      <c r="I47" s="30">
        <v>12.649111</v>
      </c>
      <c r="J47" s="24"/>
    </row>
    <row r="48" spans="3:10" customFormat="1">
      <c r="C48" s="25" t="s">
        <v>18</v>
      </c>
      <c r="D48" s="28"/>
      <c r="E48" s="10" t="s">
        <v>16</v>
      </c>
      <c r="F48" s="12">
        <v>76.7</v>
      </c>
      <c r="G48" s="12">
        <v>8.16</v>
      </c>
      <c r="H48" s="30">
        <v>80</v>
      </c>
      <c r="I48" s="30">
        <v>0</v>
      </c>
      <c r="J48" s="24"/>
    </row>
    <row r="49" spans="3:10" customFormat="1">
      <c r="C49" s="25" t="s">
        <v>18</v>
      </c>
      <c r="D49" s="28"/>
      <c r="E49" s="10" t="s">
        <v>17</v>
      </c>
      <c r="F49" s="12">
        <v>63.33</v>
      </c>
      <c r="G49" s="12">
        <v>15.05</v>
      </c>
      <c r="H49" s="30">
        <v>73.333330000000004</v>
      </c>
      <c r="I49" s="30">
        <v>10.327956</v>
      </c>
      <c r="J49" s="24"/>
    </row>
    <row r="50" spans="3:10" customFormat="1">
      <c r="C50" s="25"/>
      <c r="D50" s="6"/>
      <c r="E50" s="10"/>
      <c r="F50" s="12"/>
      <c r="G50" s="12"/>
      <c r="H50" s="30"/>
      <c r="I50" s="30"/>
      <c r="J50" s="24"/>
    </row>
    <row r="51" spans="3:10" customFormat="1">
      <c r="C51" s="25" t="s">
        <v>18</v>
      </c>
      <c r="D51" s="28" t="s">
        <v>22</v>
      </c>
      <c r="E51" s="10" t="s">
        <v>14</v>
      </c>
      <c r="F51" s="12">
        <v>60</v>
      </c>
      <c r="G51" s="12">
        <v>12.648999999999999</v>
      </c>
      <c r="H51" s="30">
        <v>56.666670000000003</v>
      </c>
      <c r="I51" s="30">
        <v>19.663841999999999</v>
      </c>
      <c r="J51" s="24"/>
    </row>
    <row r="52" spans="3:10" customFormat="1">
      <c r="C52" s="25" t="s">
        <v>18</v>
      </c>
      <c r="D52" s="28"/>
      <c r="E52" s="10" t="s">
        <v>15</v>
      </c>
      <c r="F52" s="12">
        <v>60</v>
      </c>
      <c r="G52" s="12">
        <v>0</v>
      </c>
      <c r="H52" s="30">
        <v>80</v>
      </c>
      <c r="I52" s="30">
        <v>12.649111</v>
      </c>
      <c r="J52" s="24"/>
    </row>
    <row r="53" spans="3:10" customFormat="1">
      <c r="C53" s="25" t="s">
        <v>18</v>
      </c>
      <c r="D53" s="28"/>
      <c r="E53" s="10" t="s">
        <v>16</v>
      </c>
      <c r="F53" s="12">
        <v>66.67</v>
      </c>
      <c r="G53" s="12">
        <v>10.32</v>
      </c>
      <c r="H53" s="30">
        <v>83.333330000000004</v>
      </c>
      <c r="I53" s="30">
        <v>8.1649659999999997</v>
      </c>
      <c r="J53" s="24"/>
    </row>
    <row r="54" spans="3:10" customFormat="1">
      <c r="C54" s="25" t="s">
        <v>18</v>
      </c>
      <c r="D54" s="28"/>
      <c r="E54" s="10" t="s">
        <v>17</v>
      </c>
      <c r="F54" s="12">
        <v>83.33</v>
      </c>
      <c r="G54" s="12">
        <v>8.16</v>
      </c>
      <c r="H54" s="30">
        <v>66.666669999999996</v>
      </c>
      <c r="I54" s="30">
        <v>20.655911</v>
      </c>
      <c r="J54" s="24"/>
    </row>
    <row r="55" spans="3:10" customFormat="1">
      <c r="C55" s="25"/>
      <c r="D55" s="6"/>
      <c r="E55" s="10"/>
      <c r="F55" s="12"/>
      <c r="G55" s="12"/>
      <c r="H55" s="30"/>
      <c r="I55" s="30"/>
      <c r="J55" s="24"/>
    </row>
    <row r="56" spans="3:10" customFormat="1">
      <c r="C56" s="25" t="s">
        <v>19</v>
      </c>
      <c r="D56" s="26" t="s">
        <v>13</v>
      </c>
      <c r="E56" s="10" t="s">
        <v>14</v>
      </c>
      <c r="F56" s="12">
        <v>70</v>
      </c>
      <c r="G56" s="12">
        <v>16.733201000000001</v>
      </c>
      <c r="H56" s="12">
        <v>70</v>
      </c>
      <c r="I56" s="12">
        <v>16.733201000000001</v>
      </c>
    </row>
    <row r="57" spans="3:10" customFormat="1">
      <c r="C57" s="25" t="s">
        <v>19</v>
      </c>
      <c r="D57" s="26"/>
      <c r="E57" s="10" t="s">
        <v>15</v>
      </c>
      <c r="F57" s="12">
        <v>60</v>
      </c>
      <c r="G57" s="12">
        <v>21.908902000000001</v>
      </c>
      <c r="H57" s="12">
        <v>80</v>
      </c>
      <c r="I57" s="12">
        <v>12.649111</v>
      </c>
    </row>
    <row r="58" spans="3:10" customFormat="1">
      <c r="C58" s="25" t="s">
        <v>19</v>
      </c>
      <c r="D58" s="26"/>
      <c r="E58" s="10" t="s">
        <v>16</v>
      </c>
      <c r="F58" s="12">
        <v>70</v>
      </c>
      <c r="G58" s="12">
        <v>10.954451000000001</v>
      </c>
      <c r="H58" s="12">
        <v>80</v>
      </c>
      <c r="I58" s="12">
        <v>0</v>
      </c>
    </row>
    <row r="59" spans="3:10" customFormat="1">
      <c r="C59" s="25" t="s">
        <v>19</v>
      </c>
      <c r="D59" s="26"/>
      <c r="E59" s="10" t="s">
        <v>17</v>
      </c>
      <c r="F59" s="12">
        <v>86.666669999999996</v>
      </c>
      <c r="G59" s="12">
        <v>10.327956</v>
      </c>
      <c r="H59" s="12">
        <v>70</v>
      </c>
      <c r="I59" s="12">
        <v>10.954451000000001</v>
      </c>
    </row>
    <row r="60" spans="3:10" customFormat="1">
      <c r="C60" s="25"/>
      <c r="D60" s="27"/>
      <c r="E60" s="10"/>
      <c r="F60" s="12"/>
      <c r="G60" s="12"/>
      <c r="H60" s="12"/>
      <c r="I60" s="12"/>
    </row>
    <row r="61" spans="3:10" customFormat="1">
      <c r="C61" s="25" t="s">
        <v>19</v>
      </c>
      <c r="D61" s="28" t="s">
        <v>18</v>
      </c>
      <c r="E61" s="10" t="s">
        <v>14</v>
      </c>
      <c r="F61" s="12">
        <v>80</v>
      </c>
      <c r="G61" s="12">
        <v>12.649111</v>
      </c>
      <c r="H61" s="12">
        <v>70</v>
      </c>
      <c r="I61" s="12">
        <v>10.954451000000001</v>
      </c>
    </row>
    <row r="62" spans="3:10" customFormat="1">
      <c r="C62" s="25" t="s">
        <v>19</v>
      </c>
      <c r="D62" s="28"/>
      <c r="E62" s="10" t="s">
        <v>15</v>
      </c>
      <c r="F62" s="12">
        <v>43.333329999999997</v>
      </c>
      <c r="G62" s="12">
        <v>19.663841999999999</v>
      </c>
      <c r="H62" s="12">
        <v>76.666669999999996</v>
      </c>
      <c r="I62" s="12">
        <v>8.1649659999999997</v>
      </c>
    </row>
    <row r="63" spans="3:10" customFormat="1">
      <c r="C63" s="25" t="s">
        <v>19</v>
      </c>
      <c r="D63" s="28"/>
      <c r="E63" s="10" t="s">
        <v>16</v>
      </c>
      <c r="F63" s="12">
        <v>76.666669999999996</v>
      </c>
      <c r="G63" s="12">
        <v>8.1649659999999997</v>
      </c>
      <c r="H63" s="12">
        <v>80</v>
      </c>
      <c r="I63" s="12">
        <v>12.649111</v>
      </c>
    </row>
    <row r="64" spans="3:10" customFormat="1">
      <c r="C64" s="25" t="s">
        <v>19</v>
      </c>
      <c r="D64" s="28"/>
      <c r="E64" s="10" t="s">
        <v>17</v>
      </c>
      <c r="F64" s="12">
        <v>70</v>
      </c>
      <c r="G64" s="12">
        <v>10.954451000000001</v>
      </c>
      <c r="H64" s="12">
        <v>53.333329999999997</v>
      </c>
      <c r="I64" s="12">
        <v>10.327956</v>
      </c>
    </row>
    <row r="65" spans="3:9" customFormat="1">
      <c r="C65" s="25"/>
      <c r="D65" s="6"/>
      <c r="E65" s="10"/>
      <c r="F65" s="12"/>
      <c r="G65" s="12"/>
      <c r="H65" s="12"/>
      <c r="I65" s="12"/>
    </row>
    <row r="66" spans="3:9" customFormat="1">
      <c r="C66" s="25" t="s">
        <v>19</v>
      </c>
      <c r="D66" s="28" t="s">
        <v>19</v>
      </c>
      <c r="E66" s="10" t="s">
        <v>14</v>
      </c>
      <c r="F66" s="12">
        <v>53.333329999999997</v>
      </c>
      <c r="G66" s="12">
        <v>20.655911</v>
      </c>
      <c r="H66" s="12">
        <v>53.333329999999997</v>
      </c>
      <c r="I66" s="12">
        <v>20.655911</v>
      </c>
    </row>
    <row r="67" spans="3:9" customFormat="1">
      <c r="C67" s="25" t="s">
        <v>19</v>
      </c>
      <c r="D67" s="28"/>
      <c r="E67" s="10" t="s">
        <v>15</v>
      </c>
      <c r="F67" s="12">
        <v>60</v>
      </c>
      <c r="G67" s="12">
        <v>0</v>
      </c>
      <c r="H67" s="12">
        <v>60</v>
      </c>
      <c r="I67" s="12">
        <v>0</v>
      </c>
    </row>
    <row r="68" spans="3:9" customFormat="1">
      <c r="C68" s="25" t="s">
        <v>19</v>
      </c>
      <c r="D68" s="28"/>
      <c r="E68" s="10" t="s">
        <v>16</v>
      </c>
      <c r="F68" s="12">
        <v>60</v>
      </c>
      <c r="G68" s="12">
        <v>17.888544</v>
      </c>
      <c r="H68" s="12">
        <v>60</v>
      </c>
      <c r="I68" s="12">
        <v>17.888544</v>
      </c>
    </row>
    <row r="69" spans="3:9" customFormat="1">
      <c r="C69" s="25" t="s">
        <v>19</v>
      </c>
      <c r="D69" s="28"/>
      <c r="E69" s="10" t="s">
        <v>17</v>
      </c>
      <c r="F69" s="12">
        <v>66.666669999999996</v>
      </c>
      <c r="G69" s="12">
        <v>20.655911</v>
      </c>
      <c r="H69" s="12">
        <v>66.666669999999996</v>
      </c>
      <c r="I69" s="12">
        <v>20.655911</v>
      </c>
    </row>
    <row r="70" spans="3:9" customFormat="1">
      <c r="C70" s="25"/>
      <c r="D70" s="6"/>
      <c r="E70" s="10"/>
      <c r="F70" s="12"/>
      <c r="G70" s="12"/>
      <c r="H70" s="12"/>
      <c r="I70" s="12"/>
    </row>
    <row r="71" spans="3:9" customFormat="1">
      <c r="C71" s="25" t="s">
        <v>19</v>
      </c>
      <c r="D71" s="28" t="s">
        <v>20</v>
      </c>
      <c r="E71" s="10" t="s">
        <v>14</v>
      </c>
      <c r="F71" s="12">
        <v>60</v>
      </c>
      <c r="G71" s="12">
        <v>12.649111</v>
      </c>
      <c r="H71" s="12">
        <v>70</v>
      </c>
      <c r="I71" s="12">
        <v>16.733201000000001</v>
      </c>
    </row>
    <row r="72" spans="3:9" customFormat="1">
      <c r="C72" s="25" t="s">
        <v>19</v>
      </c>
      <c r="D72" s="28"/>
      <c r="E72" s="10" t="s">
        <v>15</v>
      </c>
      <c r="F72" s="12">
        <v>46.666670000000003</v>
      </c>
      <c r="G72" s="12">
        <v>16.329931999999999</v>
      </c>
      <c r="H72" s="12">
        <v>80</v>
      </c>
      <c r="I72" s="12">
        <v>12.649111</v>
      </c>
    </row>
    <row r="73" spans="3:9" customFormat="1">
      <c r="C73" s="25" t="s">
        <v>19</v>
      </c>
      <c r="D73" s="28"/>
      <c r="E73" s="10" t="s">
        <v>16</v>
      </c>
      <c r="F73" s="12">
        <v>83.333330000000004</v>
      </c>
      <c r="G73" s="12">
        <v>8.1649659999999997</v>
      </c>
      <c r="H73" s="12">
        <v>80</v>
      </c>
      <c r="I73" s="12">
        <v>0</v>
      </c>
    </row>
    <row r="74" spans="3:9" customFormat="1">
      <c r="C74" s="25" t="s">
        <v>19</v>
      </c>
      <c r="D74" s="28"/>
      <c r="E74" s="10" t="s">
        <v>17</v>
      </c>
      <c r="F74" s="12">
        <v>50</v>
      </c>
      <c r="G74" s="12">
        <v>16.733201000000001</v>
      </c>
      <c r="H74" s="12">
        <v>73.333330000000004</v>
      </c>
      <c r="I74" s="12">
        <v>10.327956</v>
      </c>
    </row>
    <row r="75" spans="3:9" customFormat="1">
      <c r="C75" s="25"/>
      <c r="D75" s="6"/>
      <c r="E75" s="10"/>
      <c r="F75" s="12"/>
      <c r="G75" s="12"/>
      <c r="H75" s="12"/>
      <c r="I75" s="12"/>
    </row>
    <row r="76" spans="3:9" customFormat="1">
      <c r="C76" s="25" t="s">
        <v>19</v>
      </c>
      <c r="D76" s="28" t="s">
        <v>22</v>
      </c>
      <c r="E76" s="10" t="s">
        <v>14</v>
      </c>
      <c r="F76" s="12">
        <v>90</v>
      </c>
      <c r="G76" s="12">
        <v>10.954451000000001</v>
      </c>
      <c r="H76" s="12">
        <v>56.666670000000003</v>
      </c>
      <c r="I76" s="12">
        <v>19.663841999999999</v>
      </c>
    </row>
    <row r="77" spans="3:9" customFormat="1">
      <c r="C77" s="25" t="s">
        <v>19</v>
      </c>
      <c r="D77" s="28"/>
      <c r="E77" s="10" t="s">
        <v>15</v>
      </c>
      <c r="F77" s="12">
        <v>76.666669999999996</v>
      </c>
      <c r="G77" s="12">
        <v>8.1649659999999997</v>
      </c>
      <c r="H77" s="12">
        <v>80</v>
      </c>
      <c r="I77" s="12">
        <v>12.649111</v>
      </c>
    </row>
    <row r="78" spans="3:9" customFormat="1">
      <c r="C78" s="25" t="s">
        <v>19</v>
      </c>
      <c r="D78" s="28"/>
      <c r="E78" s="10" t="s">
        <v>16</v>
      </c>
      <c r="F78" s="12">
        <v>53.333329999999997</v>
      </c>
      <c r="G78" s="12">
        <v>10.327956</v>
      </c>
      <c r="H78" s="12">
        <v>83.333330000000004</v>
      </c>
      <c r="I78" s="12">
        <v>8.1649659999999997</v>
      </c>
    </row>
    <row r="79" spans="3:9" customFormat="1">
      <c r="C79" s="25" t="s">
        <v>19</v>
      </c>
      <c r="D79" s="28"/>
      <c r="E79" s="10" t="s">
        <v>17</v>
      </c>
      <c r="F79" s="12">
        <v>76.666669999999996</v>
      </c>
      <c r="G79" s="12">
        <v>15.055453</v>
      </c>
      <c r="H79" s="12">
        <v>66.666669999999996</v>
      </c>
      <c r="I79" s="12">
        <v>20.655911</v>
      </c>
    </row>
    <row r="80" spans="3:9" customFormat="1">
      <c r="C80" s="25"/>
      <c r="D80" s="6"/>
      <c r="E80" s="10"/>
      <c r="F80" s="12"/>
      <c r="G80" s="12"/>
      <c r="H80" s="12"/>
      <c r="I80" s="12"/>
    </row>
    <row r="81" spans="3:26" customFormat="1">
      <c r="C81" s="25" t="s">
        <v>20</v>
      </c>
      <c r="D81" s="26" t="s">
        <v>13</v>
      </c>
      <c r="E81" s="10" t="s">
        <v>14</v>
      </c>
      <c r="F81" s="12">
        <v>63.333329999999997</v>
      </c>
      <c r="G81" s="12">
        <v>15.055453</v>
      </c>
      <c r="H81" s="12">
        <v>90</v>
      </c>
      <c r="I81" s="12">
        <v>10.954451000000001</v>
      </c>
    </row>
    <row r="82" spans="3:26" customFormat="1">
      <c r="C82" s="25" t="s">
        <v>20</v>
      </c>
      <c r="D82" s="26"/>
      <c r="E82" s="10" t="s">
        <v>15</v>
      </c>
      <c r="F82" s="12">
        <v>40</v>
      </c>
      <c r="G82" s="12">
        <v>0</v>
      </c>
      <c r="H82" s="12">
        <v>66.666669999999996</v>
      </c>
      <c r="I82" s="12">
        <v>10.327956</v>
      </c>
    </row>
    <row r="83" spans="3:26" customFormat="1">
      <c r="C83" s="25" t="s">
        <v>20</v>
      </c>
      <c r="D83" s="26"/>
      <c r="E83" s="10" t="s">
        <v>16</v>
      </c>
      <c r="F83" s="12">
        <v>70</v>
      </c>
      <c r="G83" s="12">
        <v>16.733201000000001</v>
      </c>
      <c r="H83" s="12">
        <v>70</v>
      </c>
      <c r="I83" s="12">
        <v>16.733201000000001</v>
      </c>
    </row>
    <row r="84" spans="3:26" customFormat="1">
      <c r="C84" s="25" t="s">
        <v>20</v>
      </c>
      <c r="D84" s="26"/>
      <c r="E84" s="10" t="s">
        <v>17</v>
      </c>
      <c r="F84" s="12">
        <v>73.333330000000004</v>
      </c>
      <c r="G84" s="12">
        <v>16.329931999999999</v>
      </c>
      <c r="H84" s="12">
        <v>66.666669999999996</v>
      </c>
      <c r="I84" s="12">
        <v>16.329931999999999</v>
      </c>
    </row>
    <row r="85" spans="3:26" customFormat="1">
      <c r="C85" s="25"/>
      <c r="D85" s="27"/>
      <c r="E85" s="10"/>
      <c r="F85" s="12"/>
      <c r="G85" s="12"/>
      <c r="H85" s="12"/>
      <c r="I85" s="12"/>
    </row>
    <row r="86" spans="3:26" customFormat="1">
      <c r="C86" s="25" t="s">
        <v>20</v>
      </c>
      <c r="D86" s="28" t="s">
        <v>18</v>
      </c>
      <c r="E86" s="10" t="s">
        <v>14</v>
      </c>
      <c r="F86" s="12">
        <v>70</v>
      </c>
      <c r="G86" s="12">
        <v>16.733201000000001</v>
      </c>
      <c r="H86" s="12">
        <v>83.333330000000004</v>
      </c>
      <c r="I86" s="12">
        <v>8.1649659999999997</v>
      </c>
    </row>
    <row r="87" spans="3:26" customFormat="1">
      <c r="C87" s="25" t="s">
        <v>20</v>
      </c>
      <c r="D87" s="28"/>
      <c r="E87" s="10" t="s">
        <v>15</v>
      </c>
      <c r="F87" s="12">
        <v>66.666669999999996</v>
      </c>
      <c r="G87" s="12">
        <v>10.327956</v>
      </c>
      <c r="H87" s="12">
        <v>76.666669999999996</v>
      </c>
      <c r="I87" s="12">
        <v>15.055453</v>
      </c>
    </row>
    <row r="88" spans="3:26" customFormat="1">
      <c r="C88" s="25" t="s">
        <v>20</v>
      </c>
      <c r="D88" s="28"/>
      <c r="E88" s="10" t="s">
        <v>16</v>
      </c>
      <c r="F88" s="12">
        <v>66.666669999999996</v>
      </c>
      <c r="G88" s="12">
        <v>10.327956</v>
      </c>
      <c r="H88" s="12">
        <v>76.666669999999996</v>
      </c>
      <c r="I88" s="12">
        <v>15.055453</v>
      </c>
    </row>
    <row r="89" spans="3:26" customFormat="1">
      <c r="C89" s="25" t="s">
        <v>20</v>
      </c>
      <c r="D89" s="28"/>
      <c r="E89" s="10" t="s">
        <v>17</v>
      </c>
      <c r="F89" s="12">
        <v>70</v>
      </c>
      <c r="G89" s="12">
        <v>16.733201000000001</v>
      </c>
      <c r="H89" s="12">
        <v>73.333330000000004</v>
      </c>
      <c r="I89" s="12">
        <v>10.327956</v>
      </c>
    </row>
    <row r="90" spans="3:26" customFormat="1">
      <c r="C90" s="25"/>
      <c r="D90" s="6"/>
      <c r="E90" s="10"/>
      <c r="F90" s="12"/>
      <c r="G90" s="12"/>
      <c r="H90" s="12"/>
      <c r="I90" s="12"/>
    </row>
    <row r="91" spans="3:26" customFormat="1">
      <c r="C91" s="25" t="s">
        <v>20</v>
      </c>
      <c r="D91" s="28" t="s">
        <v>19</v>
      </c>
      <c r="E91" s="10" t="s">
        <v>14</v>
      </c>
      <c r="F91" s="12">
        <v>80</v>
      </c>
      <c r="G91" s="12">
        <v>0</v>
      </c>
      <c r="H91" s="12">
        <v>60</v>
      </c>
      <c r="I91" s="12">
        <v>21.908902000000001</v>
      </c>
    </row>
    <row r="92" spans="3:26" customFormat="1">
      <c r="C92" s="25" t="s">
        <v>20</v>
      </c>
      <c r="D92" s="28"/>
      <c r="E92" s="10" t="s">
        <v>15</v>
      </c>
      <c r="F92" s="12">
        <v>76.666669999999996</v>
      </c>
      <c r="G92" s="12">
        <v>15.055453</v>
      </c>
      <c r="H92" s="12">
        <v>63.333329999999997</v>
      </c>
      <c r="I92" s="12">
        <v>19.663841999999999</v>
      </c>
      <c r="Q92" t="s">
        <v>24</v>
      </c>
      <c r="Z92" t="s">
        <v>23</v>
      </c>
    </row>
    <row r="93" spans="3:26" customFormat="1">
      <c r="C93" s="25" t="s">
        <v>20</v>
      </c>
      <c r="D93" s="28"/>
      <c r="E93" s="10" t="s">
        <v>16</v>
      </c>
      <c r="F93" s="12">
        <v>73.333330000000004</v>
      </c>
      <c r="G93" s="12">
        <v>16.329931999999999</v>
      </c>
      <c r="H93" s="12">
        <v>66.666669999999996</v>
      </c>
      <c r="I93" s="12">
        <v>10.327956</v>
      </c>
    </row>
    <row r="94" spans="3:26" customFormat="1">
      <c r="C94" s="25" t="s">
        <v>20</v>
      </c>
      <c r="D94" s="28"/>
      <c r="E94" s="10" t="s">
        <v>17</v>
      </c>
      <c r="F94" s="12">
        <v>56.666670000000003</v>
      </c>
      <c r="G94" s="12">
        <v>8.1649659999999997</v>
      </c>
      <c r="H94" s="12">
        <v>56.666670000000003</v>
      </c>
      <c r="I94" s="12">
        <v>26.583203000000001</v>
      </c>
    </row>
    <row r="95" spans="3:26" customFormat="1">
      <c r="C95" s="25"/>
      <c r="D95" s="6"/>
      <c r="E95" s="10"/>
      <c r="F95" s="12"/>
      <c r="G95" s="12"/>
      <c r="H95" s="12"/>
      <c r="I95" s="12"/>
    </row>
    <row r="96" spans="3:26" customFormat="1">
      <c r="C96" s="25" t="s">
        <v>20</v>
      </c>
      <c r="D96" s="28" t="s">
        <v>20</v>
      </c>
      <c r="E96" s="10" t="s">
        <v>14</v>
      </c>
      <c r="F96" s="12">
        <v>53.333329999999997</v>
      </c>
      <c r="G96" s="12">
        <v>16.329931999999999</v>
      </c>
      <c r="H96" s="12">
        <v>53.333329999999997</v>
      </c>
      <c r="I96" s="12">
        <v>16.329931999999999</v>
      </c>
    </row>
    <row r="97" spans="3:9" customFormat="1">
      <c r="C97" s="25" t="s">
        <v>20</v>
      </c>
      <c r="D97" s="28"/>
      <c r="E97" s="10" t="s">
        <v>15</v>
      </c>
      <c r="F97" s="12">
        <v>66.666669999999996</v>
      </c>
      <c r="G97" s="12">
        <v>24.221202999999999</v>
      </c>
      <c r="H97" s="12">
        <v>66.666669999999996</v>
      </c>
      <c r="I97" s="12">
        <v>24.221202999999999</v>
      </c>
    </row>
    <row r="98" spans="3:9" customFormat="1">
      <c r="C98" s="25" t="s">
        <v>20</v>
      </c>
      <c r="D98" s="28"/>
      <c r="E98" s="10" t="s">
        <v>16</v>
      </c>
      <c r="F98" s="12">
        <v>70</v>
      </c>
      <c r="G98" s="12">
        <v>10.954451000000001</v>
      </c>
      <c r="H98" s="12">
        <v>70</v>
      </c>
      <c r="I98" s="12">
        <v>10.954451000000001</v>
      </c>
    </row>
    <row r="99" spans="3:9" customFormat="1">
      <c r="C99" s="25" t="s">
        <v>20</v>
      </c>
      <c r="D99" s="28"/>
      <c r="E99" s="10" t="s">
        <v>17</v>
      </c>
      <c r="F99" s="12">
        <v>53.333329999999997</v>
      </c>
      <c r="G99" s="12">
        <v>16.329931999999999</v>
      </c>
      <c r="H99" s="12">
        <v>53.333329999999997</v>
      </c>
      <c r="I99" s="12">
        <v>16.329931999999999</v>
      </c>
    </row>
    <row r="100" spans="3:9" customFormat="1">
      <c r="C100" s="25"/>
      <c r="D100" s="6"/>
      <c r="E100" s="10"/>
      <c r="F100" s="12"/>
      <c r="G100" s="12"/>
      <c r="H100" s="12"/>
      <c r="I100" s="12"/>
    </row>
    <row r="101" spans="3:9" customFormat="1">
      <c r="C101" s="25" t="s">
        <v>20</v>
      </c>
      <c r="D101" s="28" t="s">
        <v>22</v>
      </c>
      <c r="E101" s="10" t="s">
        <v>14</v>
      </c>
      <c r="F101" s="12">
        <v>70</v>
      </c>
      <c r="G101" s="12">
        <v>16.733201000000001</v>
      </c>
      <c r="H101" s="12">
        <v>53.333329999999997</v>
      </c>
      <c r="I101" s="12">
        <v>20.655911</v>
      </c>
    </row>
    <row r="102" spans="3:9" customFormat="1">
      <c r="C102" s="25" t="s">
        <v>20</v>
      </c>
      <c r="D102" s="28"/>
      <c r="E102" s="10" t="s">
        <v>15</v>
      </c>
      <c r="F102" s="12">
        <v>43.333329999999997</v>
      </c>
      <c r="G102" s="12">
        <v>8.1649659999999997</v>
      </c>
      <c r="H102" s="12">
        <v>66.666669999999996</v>
      </c>
      <c r="I102" s="12">
        <v>16.329931999999999</v>
      </c>
    </row>
    <row r="103" spans="3:9" customFormat="1">
      <c r="C103" s="25" t="s">
        <v>20</v>
      </c>
      <c r="D103" s="28"/>
      <c r="E103" s="10" t="s">
        <v>16</v>
      </c>
      <c r="F103" s="12">
        <v>83.333330000000004</v>
      </c>
      <c r="G103" s="12">
        <v>8.1649659999999997</v>
      </c>
      <c r="H103" s="12">
        <v>46.666670000000003</v>
      </c>
      <c r="I103" s="12">
        <v>16.329931999999999</v>
      </c>
    </row>
    <row r="104" spans="3:9" customFormat="1">
      <c r="C104" s="25" t="s">
        <v>20</v>
      </c>
      <c r="D104" s="28"/>
      <c r="E104" s="10" t="s">
        <v>17</v>
      </c>
      <c r="F104" s="12">
        <v>56.666670000000003</v>
      </c>
      <c r="G104" s="12">
        <v>19.663841999999999</v>
      </c>
      <c r="H104" s="12">
        <v>73.333330000000004</v>
      </c>
      <c r="I104" s="12">
        <v>16.329931999999999</v>
      </c>
    </row>
    <row r="105" spans="3:9" customFormat="1">
      <c r="C105" s="25"/>
      <c r="D105" s="6"/>
      <c r="E105" s="10"/>
      <c r="F105" s="12"/>
      <c r="G105" s="12"/>
      <c r="H105" s="12"/>
      <c r="I105" s="12"/>
    </row>
    <row r="106" spans="3:9" customFormat="1">
      <c r="C106" s="25" t="s">
        <v>22</v>
      </c>
      <c r="D106" s="26" t="s">
        <v>13</v>
      </c>
      <c r="E106" s="10" t="s">
        <v>14</v>
      </c>
      <c r="F106" s="12">
        <v>63.333329999999997</v>
      </c>
      <c r="G106" s="12">
        <v>15.055453</v>
      </c>
      <c r="H106" s="12">
        <v>60</v>
      </c>
      <c r="I106" s="12">
        <v>17.888539999999999</v>
      </c>
    </row>
    <row r="107" spans="3:9" customFormat="1">
      <c r="C107" s="25" t="s">
        <v>22</v>
      </c>
      <c r="D107" s="26"/>
      <c r="E107" s="10" t="s">
        <v>15</v>
      </c>
      <c r="F107" s="12">
        <v>33.333329999999997</v>
      </c>
      <c r="G107" s="12">
        <v>16.329931999999999</v>
      </c>
      <c r="H107" s="12">
        <v>66.666669999999996</v>
      </c>
      <c r="I107" s="12">
        <v>20.655909999999999</v>
      </c>
    </row>
    <row r="108" spans="3:9" customFormat="1">
      <c r="C108" s="25" t="s">
        <v>22</v>
      </c>
      <c r="D108" s="26"/>
      <c r="E108" s="10" t="s">
        <v>16</v>
      </c>
      <c r="F108" s="12">
        <v>50</v>
      </c>
      <c r="G108" s="12">
        <v>20.976177</v>
      </c>
      <c r="H108" s="12">
        <v>70</v>
      </c>
      <c r="I108" s="12">
        <v>16.7332</v>
      </c>
    </row>
    <row r="109" spans="3:9" customFormat="1">
      <c r="C109" s="25" t="s">
        <v>22</v>
      </c>
      <c r="D109" s="26"/>
      <c r="E109" s="10" t="s">
        <v>17</v>
      </c>
      <c r="F109" s="12">
        <v>46.666670000000003</v>
      </c>
      <c r="G109" s="12">
        <v>16.329931999999999</v>
      </c>
      <c r="H109" s="12">
        <v>56.666670000000003</v>
      </c>
      <c r="I109" s="12">
        <v>15.05545</v>
      </c>
    </row>
    <row r="110" spans="3:9" customFormat="1">
      <c r="C110" s="25"/>
      <c r="D110" s="27"/>
      <c r="E110" s="10"/>
      <c r="F110" s="12"/>
      <c r="G110" s="12"/>
      <c r="H110" s="12"/>
      <c r="I110" s="12"/>
    </row>
    <row r="111" spans="3:9" customFormat="1">
      <c r="C111" s="25" t="s">
        <v>22</v>
      </c>
      <c r="D111" s="28" t="s">
        <v>18</v>
      </c>
      <c r="E111" s="10" t="s">
        <v>14</v>
      </c>
      <c r="F111" s="12">
        <v>70</v>
      </c>
      <c r="G111" s="12">
        <v>10.954451000000001</v>
      </c>
      <c r="H111" s="12">
        <v>80</v>
      </c>
      <c r="I111" s="12">
        <v>12.64911</v>
      </c>
    </row>
    <row r="112" spans="3:9" customFormat="1">
      <c r="C112" s="25" t="s">
        <v>22</v>
      </c>
      <c r="D112" s="28"/>
      <c r="E112" s="10" t="s">
        <v>15</v>
      </c>
      <c r="F112" s="12">
        <v>70</v>
      </c>
      <c r="G112" s="12">
        <v>16.733201000000001</v>
      </c>
      <c r="H112" s="12">
        <v>66.666669999999996</v>
      </c>
      <c r="I112" s="12">
        <v>27.325199999999999</v>
      </c>
    </row>
    <row r="113" spans="3:9" customFormat="1">
      <c r="C113" s="25" t="s">
        <v>22</v>
      </c>
      <c r="D113" s="28"/>
      <c r="E113" s="10" t="s">
        <v>16</v>
      </c>
      <c r="F113" s="12">
        <v>63.333329999999997</v>
      </c>
      <c r="G113" s="12">
        <v>19.663841999999999</v>
      </c>
      <c r="H113" s="12">
        <v>80</v>
      </c>
      <c r="I113" s="12">
        <v>12.64911</v>
      </c>
    </row>
    <row r="114" spans="3:9" customFormat="1">
      <c r="C114" s="25" t="s">
        <v>22</v>
      </c>
      <c r="D114" s="28"/>
      <c r="E114" s="10" t="s">
        <v>17</v>
      </c>
      <c r="F114" s="12">
        <v>53.333329999999997</v>
      </c>
      <c r="G114" s="12">
        <v>10.327956</v>
      </c>
      <c r="H114" s="12">
        <v>60</v>
      </c>
      <c r="I114" s="12">
        <v>12.64911</v>
      </c>
    </row>
    <row r="115" spans="3:9" customFormat="1">
      <c r="C115" s="25"/>
      <c r="D115" s="6"/>
      <c r="E115" s="10"/>
      <c r="F115" s="12"/>
      <c r="G115" s="12"/>
      <c r="H115" s="12"/>
      <c r="I115" s="12"/>
    </row>
    <row r="116" spans="3:9" customFormat="1">
      <c r="C116" s="25" t="s">
        <v>22</v>
      </c>
      <c r="D116" s="28" t="s">
        <v>19</v>
      </c>
      <c r="E116" s="10" t="s">
        <v>14</v>
      </c>
      <c r="F116" s="12">
        <v>70</v>
      </c>
      <c r="G116" s="12">
        <v>24.494897000000002</v>
      </c>
      <c r="H116" s="12">
        <v>56.666670000000003</v>
      </c>
      <c r="I116" s="12">
        <v>15.05545</v>
      </c>
    </row>
    <row r="117" spans="3:9" customFormat="1">
      <c r="C117" s="25" t="s">
        <v>22</v>
      </c>
      <c r="D117" s="28"/>
      <c r="E117" s="10" t="s">
        <v>15</v>
      </c>
      <c r="F117" s="12">
        <v>50</v>
      </c>
      <c r="G117" s="12">
        <v>16.733201000000001</v>
      </c>
      <c r="H117" s="12">
        <v>56.666670000000003</v>
      </c>
      <c r="I117" s="12">
        <v>23.3809</v>
      </c>
    </row>
    <row r="118" spans="3:9" customFormat="1">
      <c r="C118" s="25" t="s">
        <v>22</v>
      </c>
      <c r="D118" s="28"/>
      <c r="E118" s="10" t="s">
        <v>16</v>
      </c>
      <c r="F118" s="12">
        <v>36.666670000000003</v>
      </c>
      <c r="G118" s="12">
        <v>15.055453</v>
      </c>
      <c r="H118" s="12">
        <v>63.333329999999997</v>
      </c>
      <c r="I118" s="12">
        <v>23.3809</v>
      </c>
    </row>
    <row r="119" spans="3:9" customFormat="1">
      <c r="C119" s="25" t="s">
        <v>22</v>
      </c>
      <c r="D119" s="28"/>
      <c r="E119" s="10" t="s">
        <v>17</v>
      </c>
      <c r="F119" s="12">
        <v>60</v>
      </c>
      <c r="G119" s="12">
        <v>21.908902000000001</v>
      </c>
      <c r="H119" s="12">
        <v>63.333329999999997</v>
      </c>
      <c r="I119" s="12">
        <v>23.3809</v>
      </c>
    </row>
    <row r="120" spans="3:9" customFormat="1">
      <c r="C120" s="25"/>
      <c r="D120" s="6"/>
      <c r="E120" s="10"/>
      <c r="F120" s="12"/>
      <c r="G120" s="12"/>
      <c r="H120" s="12"/>
      <c r="I120" s="12"/>
    </row>
    <row r="121" spans="3:9" customFormat="1">
      <c r="C121" s="25" t="s">
        <v>22</v>
      </c>
      <c r="D121" s="28" t="s">
        <v>20</v>
      </c>
      <c r="E121" s="10" t="s">
        <v>14</v>
      </c>
      <c r="F121" s="12">
        <v>63.333329999999997</v>
      </c>
      <c r="G121" s="12">
        <v>8.1649659999999997</v>
      </c>
      <c r="H121" s="12">
        <v>60</v>
      </c>
      <c r="I121" s="12">
        <v>17.888539999999999</v>
      </c>
    </row>
    <row r="122" spans="3:9" customFormat="1">
      <c r="C122" s="25" t="s">
        <v>22</v>
      </c>
      <c r="D122" s="28"/>
      <c r="E122" s="10" t="s">
        <v>15</v>
      </c>
      <c r="F122" s="12">
        <v>53.333329999999997</v>
      </c>
      <c r="G122" s="12">
        <v>10.327956</v>
      </c>
      <c r="H122" s="12">
        <v>63.333329999999997</v>
      </c>
      <c r="I122" s="12">
        <v>15.05545</v>
      </c>
    </row>
    <row r="123" spans="3:9" customFormat="1">
      <c r="C123" s="25" t="s">
        <v>22</v>
      </c>
      <c r="D123" s="28"/>
      <c r="E123" s="10" t="s">
        <v>16</v>
      </c>
      <c r="F123" s="12">
        <v>40</v>
      </c>
      <c r="G123" s="12">
        <v>21.908902000000001</v>
      </c>
      <c r="H123" s="12">
        <v>73.333330000000004</v>
      </c>
      <c r="I123" s="12">
        <v>16.329930000000001</v>
      </c>
    </row>
    <row r="124" spans="3:9" customFormat="1">
      <c r="C124" s="25" t="s">
        <v>22</v>
      </c>
      <c r="D124" s="28"/>
      <c r="E124" s="10" t="s">
        <v>17</v>
      </c>
      <c r="F124" s="12">
        <v>50</v>
      </c>
      <c r="G124" s="12">
        <v>20.976177</v>
      </c>
      <c r="H124" s="12">
        <v>50</v>
      </c>
      <c r="I124" s="12">
        <v>16.7332</v>
      </c>
    </row>
    <row r="125" spans="3:9" customFormat="1">
      <c r="C125" s="25"/>
      <c r="D125" s="6"/>
      <c r="E125" s="10"/>
      <c r="F125" s="12"/>
      <c r="G125" s="12"/>
      <c r="H125" s="12"/>
      <c r="I125" s="12"/>
    </row>
    <row r="126" spans="3:9" customFormat="1">
      <c r="C126" s="25" t="s">
        <v>22</v>
      </c>
      <c r="D126" s="28" t="s">
        <v>22</v>
      </c>
      <c r="E126" s="10" t="s">
        <v>14</v>
      </c>
      <c r="F126" s="12">
        <v>66.666669999999996</v>
      </c>
      <c r="G126" s="12">
        <v>10.327956</v>
      </c>
      <c r="H126" s="12">
        <v>66.666669999999996</v>
      </c>
      <c r="I126" s="12">
        <v>10.327959999999999</v>
      </c>
    </row>
    <row r="127" spans="3:9" customFormat="1">
      <c r="C127" s="25" t="s">
        <v>22</v>
      </c>
      <c r="D127" s="31"/>
      <c r="E127" s="10" t="s">
        <v>15</v>
      </c>
      <c r="F127" s="12">
        <v>40</v>
      </c>
      <c r="G127" s="12">
        <v>12.649111</v>
      </c>
      <c r="H127" s="12">
        <v>40</v>
      </c>
      <c r="I127" s="12">
        <v>12.64911</v>
      </c>
    </row>
    <row r="128" spans="3:9" customFormat="1">
      <c r="C128" s="25" t="s">
        <v>22</v>
      </c>
      <c r="D128" s="31"/>
      <c r="E128" s="10" t="s">
        <v>16</v>
      </c>
      <c r="F128" s="12">
        <v>56.666670000000003</v>
      </c>
      <c r="G128" s="12">
        <v>19.663841999999999</v>
      </c>
      <c r="H128" s="12">
        <v>56.666670000000003</v>
      </c>
      <c r="I128" s="12">
        <v>19.66384</v>
      </c>
    </row>
    <row r="129" spans="3:9" customFormat="1">
      <c r="C129" s="25" t="s">
        <v>22</v>
      </c>
      <c r="D129" s="31"/>
      <c r="E129" s="10" t="s">
        <v>17</v>
      </c>
      <c r="F129" s="12">
        <v>50</v>
      </c>
      <c r="G129" s="12">
        <v>10.954451000000001</v>
      </c>
      <c r="H129" s="12">
        <v>50</v>
      </c>
      <c r="I129" s="12">
        <v>10.95445</v>
      </c>
    </row>
    <row r="130" spans="3:9" customFormat="1">
      <c r="C130" s="1"/>
      <c r="D130" s="33"/>
      <c r="E130" s="34"/>
      <c r="F130" s="33"/>
      <c r="G130" s="33"/>
      <c r="H130" s="34"/>
      <c r="I130" s="34"/>
    </row>
  </sheetData>
  <dataConsolidate/>
  <mergeCells count="27">
    <mergeCell ref="F3:G3"/>
    <mergeCell ref="H3:I3"/>
    <mergeCell ref="D6:D9"/>
    <mergeCell ref="D11:D14"/>
    <mergeCell ref="D16:D19"/>
    <mergeCell ref="D21:D24"/>
    <mergeCell ref="D26:D29"/>
    <mergeCell ref="D31:D34"/>
    <mergeCell ref="D36:D39"/>
    <mergeCell ref="D41:D44"/>
    <mergeCell ref="D46:D49"/>
    <mergeCell ref="D51:D54"/>
    <mergeCell ref="D56:D59"/>
    <mergeCell ref="D61:D64"/>
    <mergeCell ref="D66:D69"/>
    <mergeCell ref="D71:D74"/>
    <mergeCell ref="D76:D79"/>
    <mergeCell ref="D81:D84"/>
    <mergeCell ref="D86:D89"/>
    <mergeCell ref="D91:D94"/>
    <mergeCell ref="D126:D129"/>
    <mergeCell ref="D96:D99"/>
    <mergeCell ref="D101:D104"/>
    <mergeCell ref="D106:D109"/>
    <mergeCell ref="D111:D114"/>
    <mergeCell ref="D116:D119"/>
    <mergeCell ref="D121:D124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O104"/>
  <sheetViews>
    <sheetView zoomScale="25" zoomScaleNormal="25" workbookViewId="0">
      <selection activeCell="AK38" sqref="AK38"/>
    </sheetView>
  </sheetViews>
  <sheetFormatPr defaultRowHeight="15"/>
  <cols>
    <col min="3" max="3" width="18" style="1" customWidth="1"/>
    <col min="4" max="4" width="15.85546875" style="1" customWidth="1"/>
    <col min="8" max="9" width="9.5703125" style="1" bestFit="1" customWidth="1"/>
    <col min="10" max="11" width="9.140625" style="2"/>
    <col min="12" max="35" width="9.140625" customWidth="1"/>
  </cols>
  <sheetData>
    <row r="2" spans="3:15">
      <c r="L2" s="3" t="s">
        <v>0</v>
      </c>
      <c r="M2" s="3"/>
      <c r="N2" s="3"/>
      <c r="O2" s="3"/>
    </row>
    <row r="3" spans="3:15">
      <c r="L3" s="3" t="s">
        <v>1</v>
      </c>
      <c r="M3" s="3"/>
      <c r="N3" s="3"/>
      <c r="O3" s="4" t="s">
        <v>2</v>
      </c>
    </row>
    <row r="4" spans="3:15">
      <c r="C4" s="5" t="s">
        <v>3</v>
      </c>
      <c r="D4" s="5" t="s">
        <v>4</v>
      </c>
      <c r="E4" s="2" t="s">
        <v>5</v>
      </c>
      <c r="F4" s="2" t="s">
        <v>6</v>
      </c>
      <c r="G4" s="2" t="s">
        <v>7</v>
      </c>
      <c r="H4" s="5" t="s">
        <v>8</v>
      </c>
      <c r="I4" s="5" t="s">
        <v>7</v>
      </c>
      <c r="J4" s="6" t="s">
        <v>9</v>
      </c>
      <c r="K4" s="6" t="s">
        <v>7</v>
      </c>
      <c r="L4" s="7" t="s">
        <v>10</v>
      </c>
      <c r="M4" s="7" t="s">
        <v>11</v>
      </c>
      <c r="N4" s="7" t="s">
        <v>12</v>
      </c>
      <c r="O4" s="7"/>
    </row>
    <row r="5" spans="3:15">
      <c r="C5" s="8" t="s">
        <v>13</v>
      </c>
      <c r="D5" s="9" t="s">
        <v>13</v>
      </c>
      <c r="E5" s="10" t="s">
        <v>14</v>
      </c>
      <c r="F5" s="11">
        <v>70</v>
      </c>
      <c r="G5" s="11">
        <v>20.976179999999999</v>
      </c>
      <c r="H5" s="12">
        <v>70</v>
      </c>
      <c r="I5" s="13">
        <v>20.976177</v>
      </c>
      <c r="J5" s="14">
        <v>70</v>
      </c>
      <c r="K5" s="14">
        <v>20.976179999999999</v>
      </c>
      <c r="L5" s="15">
        <f>((H5-F5)/F5)*100</f>
        <v>0</v>
      </c>
      <c r="M5" s="15">
        <f>((J5-H5)/H5)*100</f>
        <v>0</v>
      </c>
      <c r="N5" s="15">
        <f>((J5-F5)/F5)*100</f>
        <v>0</v>
      </c>
    </row>
    <row r="6" spans="3:15">
      <c r="C6" s="8" t="s">
        <v>13</v>
      </c>
      <c r="D6" s="16"/>
      <c r="E6" s="10" t="s">
        <v>15</v>
      </c>
      <c r="F6" s="11">
        <v>53.333329999999997</v>
      </c>
      <c r="G6" s="11">
        <v>20.655909999999999</v>
      </c>
      <c r="H6" s="12">
        <v>53.333329999999997</v>
      </c>
      <c r="I6" s="13">
        <v>20.655911</v>
      </c>
      <c r="J6" s="14">
        <v>53.333329999999997</v>
      </c>
      <c r="K6" s="14">
        <v>20.655909999999999</v>
      </c>
      <c r="L6" s="15">
        <f t="shared" ref="L6:L69" si="0">((H6-F6)/F6)*100</f>
        <v>0</v>
      </c>
      <c r="M6" s="15">
        <f t="shared" ref="M6:M69" si="1">((J6-H6)/H6)*100</f>
        <v>0</v>
      </c>
      <c r="N6" s="15">
        <f t="shared" ref="N6:N69" si="2">((J6-F6)/F6)*100</f>
        <v>0</v>
      </c>
    </row>
    <row r="7" spans="3:15">
      <c r="C7" s="8" t="s">
        <v>13</v>
      </c>
      <c r="D7" s="16"/>
      <c r="E7" s="10" t="s">
        <v>16</v>
      </c>
      <c r="F7" s="11">
        <v>60</v>
      </c>
      <c r="G7" s="11">
        <v>17.888539999999999</v>
      </c>
      <c r="H7" s="12">
        <v>60</v>
      </c>
      <c r="I7" s="13">
        <v>17.888544</v>
      </c>
      <c r="J7" s="14">
        <v>60</v>
      </c>
      <c r="K7" s="14">
        <v>17.888539999999999</v>
      </c>
      <c r="L7" s="15">
        <f t="shared" si="0"/>
        <v>0</v>
      </c>
      <c r="M7" s="15">
        <f t="shared" si="1"/>
        <v>0</v>
      </c>
      <c r="N7" s="15">
        <f t="shared" si="2"/>
        <v>0</v>
      </c>
    </row>
    <row r="8" spans="3:15">
      <c r="C8" s="8" t="s">
        <v>13</v>
      </c>
      <c r="D8" s="17"/>
      <c r="E8" s="10" t="s">
        <v>17</v>
      </c>
      <c r="F8" s="11">
        <v>70</v>
      </c>
      <c r="G8" s="11">
        <v>10.95445</v>
      </c>
      <c r="H8" s="12">
        <v>70</v>
      </c>
      <c r="I8" s="13">
        <v>10.954451000000001</v>
      </c>
      <c r="J8" s="14">
        <v>70</v>
      </c>
      <c r="K8" s="14">
        <v>10.95445</v>
      </c>
      <c r="L8" s="15">
        <f t="shared" si="0"/>
        <v>0</v>
      </c>
      <c r="M8" s="15">
        <f t="shared" si="1"/>
        <v>0</v>
      </c>
      <c r="N8" s="15">
        <f t="shared" si="2"/>
        <v>0</v>
      </c>
    </row>
    <row r="9" spans="3:15">
      <c r="C9" s="8" t="s">
        <v>13</v>
      </c>
      <c r="D9" s="18" t="s">
        <v>18</v>
      </c>
      <c r="E9" s="10" t="s">
        <v>14</v>
      </c>
      <c r="F9" s="11">
        <v>56.666670000000003</v>
      </c>
      <c r="G9" s="11">
        <v>19.66384</v>
      </c>
      <c r="H9" s="12">
        <v>56.666670000000003</v>
      </c>
      <c r="I9" s="13">
        <v>19.663841999999999</v>
      </c>
      <c r="J9" s="14">
        <v>73.333330000000004</v>
      </c>
      <c r="K9" s="14">
        <v>20.655909999999999</v>
      </c>
      <c r="L9" s="15">
        <f t="shared" si="0"/>
        <v>0</v>
      </c>
      <c r="M9" s="15">
        <f t="shared" si="1"/>
        <v>29.411751211073454</v>
      </c>
      <c r="N9" s="15">
        <f t="shared" si="2"/>
        <v>29.411751211073454</v>
      </c>
    </row>
    <row r="10" spans="3:15">
      <c r="C10" s="8" t="s">
        <v>13</v>
      </c>
      <c r="D10" s="19"/>
      <c r="E10" s="10" t="s">
        <v>15</v>
      </c>
      <c r="F10" s="11">
        <v>63.333329999999997</v>
      </c>
      <c r="G10" s="11">
        <v>15.05545</v>
      </c>
      <c r="H10" s="12">
        <v>60</v>
      </c>
      <c r="I10" s="13">
        <v>21.908902000000001</v>
      </c>
      <c r="J10" s="14">
        <v>73.333330000000004</v>
      </c>
      <c r="K10" s="14">
        <v>16.329930000000001</v>
      </c>
      <c r="L10" s="15">
        <f t="shared" si="0"/>
        <v>-5.2631529085869895</v>
      </c>
      <c r="M10" s="15">
        <f t="shared" si="1"/>
        <v>22.222216666666672</v>
      </c>
      <c r="N10" s="15">
        <f t="shared" si="2"/>
        <v>15.789474515235513</v>
      </c>
    </row>
    <row r="11" spans="3:15">
      <c r="C11" s="8" t="s">
        <v>13</v>
      </c>
      <c r="D11" s="19"/>
      <c r="E11" s="10" t="s">
        <v>16</v>
      </c>
      <c r="F11" s="11">
        <v>66.666669999999996</v>
      </c>
      <c r="G11" s="11">
        <v>10.327959999999999</v>
      </c>
      <c r="H11" s="12">
        <v>66.666669999999996</v>
      </c>
      <c r="I11" s="13">
        <v>20.655911</v>
      </c>
      <c r="J11" s="14">
        <v>66.666669999999996</v>
      </c>
      <c r="K11" s="14">
        <v>10.327959999999999</v>
      </c>
      <c r="L11" s="15">
        <f t="shared" si="0"/>
        <v>0</v>
      </c>
      <c r="M11" s="15">
        <f t="shared" si="1"/>
        <v>0</v>
      </c>
      <c r="N11" s="15">
        <f t="shared" si="2"/>
        <v>0</v>
      </c>
    </row>
    <row r="12" spans="3:15">
      <c r="C12" s="8" t="s">
        <v>13</v>
      </c>
      <c r="D12" s="20"/>
      <c r="E12" s="10" t="s">
        <v>17</v>
      </c>
      <c r="F12" s="11">
        <v>63.333329999999997</v>
      </c>
      <c r="G12" s="11">
        <v>15.05545</v>
      </c>
      <c r="H12" s="12">
        <v>66.666669999999996</v>
      </c>
      <c r="I12" s="13">
        <v>10.327956</v>
      </c>
      <c r="J12" s="14">
        <v>66.666669999999996</v>
      </c>
      <c r="K12" s="14">
        <v>16.329930000000001</v>
      </c>
      <c r="L12" s="15">
        <f t="shared" si="0"/>
        <v>5.2631686980615102</v>
      </c>
      <c r="M12" s="15">
        <f t="shared" si="1"/>
        <v>0</v>
      </c>
      <c r="N12" s="15">
        <f t="shared" si="2"/>
        <v>5.2631686980615102</v>
      </c>
    </row>
    <row r="13" spans="3:15">
      <c r="C13" s="8" t="s">
        <v>13</v>
      </c>
      <c r="D13" s="18" t="s">
        <v>19</v>
      </c>
      <c r="E13" s="10" t="s">
        <v>14</v>
      </c>
      <c r="F13" s="11">
        <v>53.333329999999997</v>
      </c>
      <c r="G13" s="11">
        <v>20.655909999999999</v>
      </c>
      <c r="H13" s="12">
        <v>56.666670000000003</v>
      </c>
      <c r="I13" s="13">
        <v>8.1649659999999997</v>
      </c>
      <c r="J13" s="14">
        <v>63.333329999999997</v>
      </c>
      <c r="K13" s="14">
        <v>23.3809</v>
      </c>
      <c r="L13" s="15">
        <f t="shared" si="0"/>
        <v>6.2500128906258192</v>
      </c>
      <c r="M13" s="15">
        <f t="shared" si="1"/>
        <v>11.764693425606257</v>
      </c>
      <c r="N13" s="15">
        <f t="shared" si="2"/>
        <v>18.750001171875073</v>
      </c>
    </row>
    <row r="14" spans="3:15">
      <c r="C14" s="8" t="s">
        <v>13</v>
      </c>
      <c r="D14" s="19"/>
      <c r="E14" s="10" t="s">
        <v>15</v>
      </c>
      <c r="F14" s="11">
        <v>60</v>
      </c>
      <c r="G14" s="11">
        <v>0</v>
      </c>
      <c r="H14" s="12">
        <v>66.666669999999996</v>
      </c>
      <c r="I14" s="13">
        <v>20.655911</v>
      </c>
      <c r="J14" s="14">
        <v>60</v>
      </c>
      <c r="K14" s="14">
        <v>12.64911</v>
      </c>
      <c r="L14" s="15">
        <f t="shared" si="0"/>
        <v>11.111116666666661</v>
      </c>
      <c r="M14" s="15">
        <f t="shared" si="1"/>
        <v>-10.00000449999977</v>
      </c>
      <c r="N14" s="15">
        <f t="shared" si="2"/>
        <v>0</v>
      </c>
    </row>
    <row r="15" spans="3:15">
      <c r="C15" s="8" t="s">
        <v>13</v>
      </c>
      <c r="D15" s="19"/>
      <c r="E15" s="10" t="s">
        <v>16</v>
      </c>
      <c r="F15" s="11">
        <v>60</v>
      </c>
      <c r="G15" s="11">
        <v>17.888539999999999</v>
      </c>
      <c r="H15" s="12">
        <v>66.666669999999996</v>
      </c>
      <c r="I15" s="13">
        <v>16.329931999999999</v>
      </c>
      <c r="J15" s="14">
        <v>63.333329999999997</v>
      </c>
      <c r="K15" s="14">
        <v>19.66384</v>
      </c>
      <c r="L15" s="15">
        <f t="shared" si="0"/>
        <v>11.111116666666661</v>
      </c>
      <c r="M15" s="15">
        <f t="shared" si="1"/>
        <v>-5.0000097499995118</v>
      </c>
      <c r="N15" s="15">
        <f t="shared" si="2"/>
        <v>5.5555499999999949</v>
      </c>
    </row>
    <row r="16" spans="3:15">
      <c r="C16" s="8" t="s">
        <v>13</v>
      </c>
      <c r="D16" s="20"/>
      <c r="E16" s="10" t="s">
        <v>17</v>
      </c>
      <c r="F16" s="11">
        <v>66.666669999999996</v>
      </c>
      <c r="G16" s="11">
        <v>20.655909999999999</v>
      </c>
      <c r="H16" s="12">
        <v>60</v>
      </c>
      <c r="I16" s="13">
        <v>17.888544</v>
      </c>
      <c r="J16" s="14">
        <v>73.333330000000004</v>
      </c>
      <c r="K16" s="14">
        <v>20.655909999999999</v>
      </c>
      <c r="L16" s="15">
        <f t="shared" si="0"/>
        <v>-10.00000449999977</v>
      </c>
      <c r="M16" s="15">
        <f t="shared" si="1"/>
        <v>22.222216666666672</v>
      </c>
      <c r="N16" s="15">
        <f t="shared" si="2"/>
        <v>9.9999895000005363</v>
      </c>
    </row>
    <row r="17" spans="1:14">
      <c r="C17" s="8" t="s">
        <v>13</v>
      </c>
      <c r="D17" s="18" t="s">
        <v>20</v>
      </c>
      <c r="E17" s="10" t="s">
        <v>14</v>
      </c>
      <c r="F17" s="11">
        <v>53.333329999999997</v>
      </c>
      <c r="G17" s="11">
        <v>16.329930000000001</v>
      </c>
      <c r="H17" s="12">
        <v>63.333329999999997</v>
      </c>
      <c r="I17" s="13">
        <v>8.1649659999999997</v>
      </c>
      <c r="J17" s="14">
        <v>76.666669999999996</v>
      </c>
      <c r="K17" s="14">
        <v>19.66384</v>
      </c>
      <c r="L17" s="15">
        <f t="shared" si="0"/>
        <v>18.750001171875073</v>
      </c>
      <c r="M17" s="15">
        <f t="shared" si="1"/>
        <v>21.052643213297014</v>
      </c>
      <c r="N17" s="15">
        <f t="shared" si="2"/>
        <v>43.750015234375958</v>
      </c>
    </row>
    <row r="18" spans="1:14">
      <c r="C18" s="8" t="s">
        <v>13</v>
      </c>
      <c r="D18" s="19"/>
      <c r="E18" s="10" t="s">
        <v>15</v>
      </c>
      <c r="F18" s="11">
        <v>66.666669999999996</v>
      </c>
      <c r="G18" s="11">
        <v>24.2212</v>
      </c>
      <c r="H18" s="12">
        <v>80</v>
      </c>
      <c r="I18" s="13">
        <v>12.649111</v>
      </c>
      <c r="J18" s="14">
        <v>73.333330000000004</v>
      </c>
      <c r="K18" s="14">
        <v>16.329930000000001</v>
      </c>
      <c r="L18" s="15">
        <f t="shared" si="0"/>
        <v>19.999994000000306</v>
      </c>
      <c r="M18" s="15">
        <f t="shared" si="1"/>
        <v>-8.3333374999999954</v>
      </c>
      <c r="N18" s="15">
        <f t="shared" si="2"/>
        <v>9.9999895000005363</v>
      </c>
    </row>
    <row r="19" spans="1:14">
      <c r="C19" s="8" t="s">
        <v>13</v>
      </c>
      <c r="D19" s="19"/>
      <c r="E19" s="10" t="s">
        <v>16</v>
      </c>
      <c r="F19" s="11">
        <v>70</v>
      </c>
      <c r="G19" s="11">
        <v>10.95445</v>
      </c>
      <c r="H19" s="12">
        <v>73.333330000000004</v>
      </c>
      <c r="I19" s="13">
        <v>16.329931999999999</v>
      </c>
      <c r="J19" s="14">
        <v>66.666669999999996</v>
      </c>
      <c r="K19" s="14">
        <v>10.327959999999999</v>
      </c>
      <c r="L19" s="15">
        <f t="shared" si="0"/>
        <v>4.7619000000000051</v>
      </c>
      <c r="M19" s="15">
        <f t="shared" si="1"/>
        <v>-9.0909004132227551</v>
      </c>
      <c r="N19" s="15">
        <f t="shared" si="2"/>
        <v>-4.7619000000000051</v>
      </c>
    </row>
    <row r="20" spans="1:14">
      <c r="A20" t="s">
        <v>21</v>
      </c>
      <c r="C20" s="8" t="s">
        <v>13</v>
      </c>
      <c r="D20" s="20"/>
      <c r="E20" s="10" t="s">
        <v>17</v>
      </c>
      <c r="F20" s="11">
        <v>53.333329999999997</v>
      </c>
      <c r="G20" s="11">
        <v>16.329930000000001</v>
      </c>
      <c r="H20" s="12">
        <v>80</v>
      </c>
      <c r="I20" s="13">
        <v>0</v>
      </c>
      <c r="J20" s="14">
        <v>50</v>
      </c>
      <c r="K20" s="14">
        <v>27.568100000000001</v>
      </c>
      <c r="L20" s="15">
        <f t="shared" si="0"/>
        <v>50.000009375000602</v>
      </c>
      <c r="M20" s="15">
        <f t="shared" si="1"/>
        <v>-37.5</v>
      </c>
      <c r="N20" s="15">
        <f t="shared" si="2"/>
        <v>-6.2499941406246275</v>
      </c>
    </row>
    <row r="21" spans="1:14">
      <c r="C21" s="8" t="s">
        <v>13</v>
      </c>
      <c r="D21" s="18" t="s">
        <v>22</v>
      </c>
      <c r="E21" s="10" t="s">
        <v>14</v>
      </c>
      <c r="F21" s="11">
        <v>66.666669999999996</v>
      </c>
      <c r="G21" s="11">
        <v>10.327959999999999</v>
      </c>
      <c r="H21" s="12">
        <v>73.333330000000004</v>
      </c>
      <c r="I21" s="13">
        <v>10.327956</v>
      </c>
      <c r="J21" s="14">
        <v>70</v>
      </c>
      <c r="K21" s="14">
        <v>10.95445</v>
      </c>
      <c r="L21" s="15">
        <f t="shared" si="0"/>
        <v>9.9999895000005363</v>
      </c>
      <c r="M21" s="15">
        <f t="shared" si="1"/>
        <v>-4.5454502066113776</v>
      </c>
      <c r="N21" s="15">
        <f t="shared" si="2"/>
        <v>4.9999947500002682</v>
      </c>
    </row>
    <row r="22" spans="1:14">
      <c r="C22" s="8" t="s">
        <v>13</v>
      </c>
      <c r="D22" s="19"/>
      <c r="E22" s="10" t="s">
        <v>15</v>
      </c>
      <c r="F22" s="11">
        <v>40</v>
      </c>
      <c r="G22" s="11">
        <v>12.64911</v>
      </c>
      <c r="H22" s="12">
        <v>60</v>
      </c>
      <c r="I22" s="13">
        <v>17.888544</v>
      </c>
      <c r="J22" s="14">
        <v>53.333329999999997</v>
      </c>
      <c r="K22" s="14">
        <v>16.329930000000001</v>
      </c>
      <c r="L22" s="15">
        <f t="shared" si="0"/>
        <v>50</v>
      </c>
      <c r="M22" s="15">
        <f t="shared" si="1"/>
        <v>-11.111116666666671</v>
      </c>
      <c r="N22" s="15">
        <f t="shared" si="2"/>
        <v>33.333324999999988</v>
      </c>
    </row>
    <row r="23" spans="1:14">
      <c r="C23" s="8" t="s">
        <v>13</v>
      </c>
      <c r="D23" s="19"/>
      <c r="E23" s="10" t="s">
        <v>16</v>
      </c>
      <c r="F23" s="11">
        <v>56.666670000000003</v>
      </c>
      <c r="G23" s="11">
        <v>19.66384</v>
      </c>
      <c r="H23" s="12">
        <v>70</v>
      </c>
      <c r="I23" s="13">
        <v>10.954451000000001</v>
      </c>
      <c r="J23" s="14">
        <v>63.333329999999997</v>
      </c>
      <c r="K23" s="14">
        <v>19.66384</v>
      </c>
      <c r="L23" s="15">
        <f t="shared" si="0"/>
        <v>23.529404498270313</v>
      </c>
      <c r="M23" s="15">
        <f t="shared" si="1"/>
        <v>-9.5238142857142911</v>
      </c>
      <c r="N23" s="15">
        <f t="shared" si="2"/>
        <v>11.764693425606257</v>
      </c>
    </row>
    <row r="24" spans="1:14">
      <c r="C24" s="8" t="s">
        <v>13</v>
      </c>
      <c r="D24" s="20"/>
      <c r="E24" s="10" t="s">
        <v>17</v>
      </c>
      <c r="F24" s="11">
        <v>50</v>
      </c>
      <c r="G24" s="11">
        <v>10.95445</v>
      </c>
      <c r="H24" s="12">
        <v>53.333329999999997</v>
      </c>
      <c r="I24" s="13">
        <v>10.327956</v>
      </c>
      <c r="J24" s="14">
        <v>70</v>
      </c>
      <c r="K24" s="14">
        <v>16.7332</v>
      </c>
      <c r="L24" s="15">
        <f t="shared" si="0"/>
        <v>6.666659999999994</v>
      </c>
      <c r="M24" s="15">
        <f t="shared" si="1"/>
        <v>31.250008203125525</v>
      </c>
      <c r="N24" s="15">
        <f t="shared" si="2"/>
        <v>40</v>
      </c>
    </row>
    <row r="25" spans="1:14">
      <c r="C25" s="8" t="s">
        <v>18</v>
      </c>
      <c r="D25" s="9" t="s">
        <v>13</v>
      </c>
      <c r="E25" s="10" t="s">
        <v>14</v>
      </c>
      <c r="F25" s="11">
        <v>70</v>
      </c>
      <c r="G25" s="11">
        <v>20.976179999999999</v>
      </c>
      <c r="H25" s="12">
        <v>36.666670000000003</v>
      </c>
      <c r="I25" s="13">
        <v>15.055453</v>
      </c>
      <c r="J25" s="21">
        <v>70</v>
      </c>
      <c r="K25" s="21">
        <v>16.733201000000001</v>
      </c>
      <c r="L25" s="15">
        <f t="shared" si="0"/>
        <v>-47.619042857142851</v>
      </c>
      <c r="M25" s="15">
        <f t="shared" si="1"/>
        <v>90.90907355372056</v>
      </c>
      <c r="N25" s="15">
        <f t="shared" si="2"/>
        <v>0</v>
      </c>
    </row>
    <row r="26" spans="1:14">
      <c r="C26" s="8" t="s">
        <v>18</v>
      </c>
      <c r="D26" s="16"/>
      <c r="E26" s="10" t="s">
        <v>15</v>
      </c>
      <c r="F26" s="11">
        <v>53.333329999999997</v>
      </c>
      <c r="G26" s="11">
        <v>20.655909999999999</v>
      </c>
      <c r="H26" s="12">
        <v>63.33</v>
      </c>
      <c r="I26" s="13">
        <v>15.05</v>
      </c>
      <c r="J26" s="21">
        <v>80</v>
      </c>
      <c r="K26" s="21">
        <v>12.649111</v>
      </c>
      <c r="L26" s="15">
        <f t="shared" si="0"/>
        <v>18.743757421484844</v>
      </c>
      <c r="M26" s="15">
        <f t="shared" si="1"/>
        <v>26.322438023053845</v>
      </c>
      <c r="N26" s="15">
        <f t="shared" si="2"/>
        <v>50.000009375000602</v>
      </c>
    </row>
    <row r="27" spans="1:14">
      <c r="C27" s="8" t="s">
        <v>18</v>
      </c>
      <c r="D27" s="16"/>
      <c r="E27" s="10" t="s">
        <v>16</v>
      </c>
      <c r="F27" s="11">
        <v>60</v>
      </c>
      <c r="G27" s="11">
        <v>17.888539999999999</v>
      </c>
      <c r="H27" s="12">
        <v>66.666669999999996</v>
      </c>
      <c r="I27" s="13">
        <v>16.329931999999999</v>
      </c>
      <c r="J27" s="21">
        <v>80</v>
      </c>
      <c r="K27" s="21">
        <v>0</v>
      </c>
      <c r="L27" s="15">
        <f t="shared" si="0"/>
        <v>11.111116666666661</v>
      </c>
      <c r="M27" s="15">
        <f t="shared" si="1"/>
        <v>19.999994000000306</v>
      </c>
      <c r="N27" s="15">
        <f t="shared" si="2"/>
        <v>33.333333333333329</v>
      </c>
    </row>
    <row r="28" spans="1:14">
      <c r="C28" s="8" t="s">
        <v>18</v>
      </c>
      <c r="D28" s="17"/>
      <c r="E28" s="10" t="s">
        <v>17</v>
      </c>
      <c r="F28" s="11">
        <v>70</v>
      </c>
      <c r="G28" s="11">
        <v>10.95445</v>
      </c>
      <c r="H28" s="12">
        <v>46.666670000000003</v>
      </c>
      <c r="I28" s="13">
        <v>20.655911</v>
      </c>
      <c r="J28" s="21">
        <v>70</v>
      </c>
      <c r="K28" s="21">
        <v>10.954451000000001</v>
      </c>
      <c r="L28" s="15">
        <f t="shared" si="0"/>
        <v>-33.333328571428567</v>
      </c>
      <c r="M28" s="15">
        <f t="shared" si="1"/>
        <v>49.999989285715039</v>
      </c>
      <c r="N28" s="15">
        <f>((J28-F28)/F28)*100</f>
        <v>0</v>
      </c>
    </row>
    <row r="29" spans="1:14">
      <c r="C29" s="8" t="s">
        <v>18</v>
      </c>
      <c r="D29" s="18" t="s">
        <v>18</v>
      </c>
      <c r="E29" s="10" t="s">
        <v>14</v>
      </c>
      <c r="F29" s="11">
        <v>56.666670000000003</v>
      </c>
      <c r="G29" s="11">
        <v>19.66384</v>
      </c>
      <c r="H29" s="12">
        <v>56.666666599999999</v>
      </c>
      <c r="I29" s="13">
        <v>19.66</v>
      </c>
      <c r="J29" s="21">
        <v>56.666670000000003</v>
      </c>
      <c r="K29" s="21">
        <v>19.663841999999999</v>
      </c>
      <c r="L29" s="15">
        <f t="shared" si="0"/>
        <v>-5.9999996544804811E-6</v>
      </c>
      <c r="M29" s="15">
        <f t="shared" si="1"/>
        <v>6.0000000144804604E-6</v>
      </c>
      <c r="N29" s="15">
        <f t="shared" si="2"/>
        <v>0</v>
      </c>
    </row>
    <row r="30" spans="1:14">
      <c r="C30" s="8" t="s">
        <v>18</v>
      </c>
      <c r="D30" s="19"/>
      <c r="E30" s="10" t="s">
        <v>15</v>
      </c>
      <c r="F30" s="11">
        <v>63.333329999999997</v>
      </c>
      <c r="G30" s="11">
        <v>15.05545</v>
      </c>
      <c r="H30" s="12">
        <v>63.333329999999997</v>
      </c>
      <c r="I30" s="13">
        <v>15.05</v>
      </c>
      <c r="J30" s="21">
        <v>63.333329999999997</v>
      </c>
      <c r="K30" s="21">
        <v>15.055453</v>
      </c>
      <c r="L30" s="15">
        <f t="shared" si="0"/>
        <v>0</v>
      </c>
      <c r="M30" s="15">
        <f t="shared" si="1"/>
        <v>0</v>
      </c>
      <c r="N30" s="15">
        <f t="shared" si="2"/>
        <v>0</v>
      </c>
    </row>
    <row r="31" spans="1:14">
      <c r="C31" s="8" t="s">
        <v>18</v>
      </c>
      <c r="D31" s="19"/>
      <c r="E31" s="10" t="s">
        <v>16</v>
      </c>
      <c r="F31" s="11">
        <v>66.666669999999996</v>
      </c>
      <c r="G31" s="11">
        <v>10.327959999999999</v>
      </c>
      <c r="H31" s="12">
        <v>66.67</v>
      </c>
      <c r="I31" s="13">
        <v>10.32</v>
      </c>
      <c r="J31" s="21">
        <v>66.666669999999996</v>
      </c>
      <c r="K31" s="21">
        <v>10.327956</v>
      </c>
      <c r="L31" s="15">
        <f t="shared" si="0"/>
        <v>4.9949997502580891E-3</v>
      </c>
      <c r="M31" s="15">
        <f t="shared" si="1"/>
        <v>-4.9947502624949512E-3</v>
      </c>
      <c r="N31" s="15">
        <f t="shared" si="2"/>
        <v>0</v>
      </c>
    </row>
    <row r="32" spans="1:14">
      <c r="C32" s="8" t="s">
        <v>18</v>
      </c>
      <c r="D32" s="20"/>
      <c r="E32" s="10" t="s">
        <v>17</v>
      </c>
      <c r="F32" s="11">
        <v>63.333329999999997</v>
      </c>
      <c r="G32" s="11">
        <v>15.05545</v>
      </c>
      <c r="H32" s="12">
        <v>63.33</v>
      </c>
      <c r="I32" s="13">
        <v>15.05</v>
      </c>
      <c r="J32" s="21">
        <v>63.333329999999997</v>
      </c>
      <c r="K32" s="21">
        <v>15.055453</v>
      </c>
      <c r="L32" s="15">
        <f t="shared" si="0"/>
        <v>-5.2578950135707039E-3</v>
      </c>
      <c r="M32" s="15">
        <f t="shared" si="1"/>
        <v>5.2581714827068986E-3</v>
      </c>
      <c r="N32" s="15">
        <f t="shared" si="2"/>
        <v>0</v>
      </c>
    </row>
    <row r="33" spans="3:14">
      <c r="C33" s="8" t="s">
        <v>18</v>
      </c>
      <c r="D33" s="18" t="s">
        <v>19</v>
      </c>
      <c r="E33" s="10" t="s">
        <v>14</v>
      </c>
      <c r="F33" s="11">
        <v>53.333329999999997</v>
      </c>
      <c r="G33" s="11">
        <v>20.655909999999999</v>
      </c>
      <c r="H33" s="12">
        <v>50</v>
      </c>
      <c r="I33" s="13">
        <v>20.97</v>
      </c>
      <c r="J33" s="21">
        <v>53.333329999999997</v>
      </c>
      <c r="K33" s="21">
        <v>20.655911</v>
      </c>
      <c r="L33" s="15">
        <f t="shared" si="0"/>
        <v>-6.2499941406246275</v>
      </c>
      <c r="M33" s="15">
        <f t="shared" si="1"/>
        <v>6.666659999999994</v>
      </c>
      <c r="N33" s="15">
        <f t="shared" si="2"/>
        <v>0</v>
      </c>
    </row>
    <row r="34" spans="3:14">
      <c r="C34" s="8" t="s">
        <v>18</v>
      </c>
      <c r="D34" s="19"/>
      <c r="E34" s="10" t="s">
        <v>15</v>
      </c>
      <c r="F34" s="11">
        <v>60</v>
      </c>
      <c r="G34" s="11">
        <v>0</v>
      </c>
      <c r="H34" s="12">
        <v>53.33</v>
      </c>
      <c r="I34" s="13">
        <v>30.11</v>
      </c>
      <c r="J34" s="21">
        <v>60</v>
      </c>
      <c r="K34" s="21">
        <v>0</v>
      </c>
      <c r="L34" s="15">
        <f t="shared" si="0"/>
        <v>-11.116666666666669</v>
      </c>
      <c r="M34" s="15">
        <f t="shared" si="1"/>
        <v>12.507031689480597</v>
      </c>
      <c r="N34" s="15">
        <f t="shared" si="2"/>
        <v>0</v>
      </c>
    </row>
    <row r="35" spans="3:14">
      <c r="C35" s="8" t="s">
        <v>18</v>
      </c>
      <c r="D35" s="19"/>
      <c r="E35" s="10" t="s">
        <v>16</v>
      </c>
      <c r="F35" s="11">
        <v>60</v>
      </c>
      <c r="G35" s="11">
        <v>17.888539999999999</v>
      </c>
      <c r="H35" s="12">
        <v>63.33</v>
      </c>
      <c r="I35" s="13">
        <v>23.38</v>
      </c>
      <c r="J35" s="21">
        <v>60</v>
      </c>
      <c r="K35" s="21">
        <v>17.888544</v>
      </c>
      <c r="L35" s="15">
        <f t="shared" si="0"/>
        <v>5.5499999999999972</v>
      </c>
      <c r="M35" s="15">
        <f t="shared" si="1"/>
        <v>-5.2581714827096135</v>
      </c>
      <c r="N35" s="15">
        <f t="shared" si="2"/>
        <v>0</v>
      </c>
    </row>
    <row r="36" spans="3:14">
      <c r="C36" s="8" t="s">
        <v>18</v>
      </c>
      <c r="D36" s="20"/>
      <c r="E36" s="10" t="s">
        <v>17</v>
      </c>
      <c r="F36" s="11">
        <v>66.666669999999996</v>
      </c>
      <c r="G36" s="11">
        <v>20.655909999999999</v>
      </c>
      <c r="H36" s="12">
        <v>66.66</v>
      </c>
      <c r="I36" s="13">
        <v>10.32</v>
      </c>
      <c r="J36" s="21">
        <v>66.666669999999996</v>
      </c>
      <c r="K36" s="21">
        <v>20.655911</v>
      </c>
      <c r="L36" s="15">
        <f t="shared" si="0"/>
        <v>-1.0004999499749624E-2</v>
      </c>
      <c r="M36" s="15">
        <f t="shared" si="1"/>
        <v>1.0006000600059604E-2</v>
      </c>
      <c r="N36" s="15">
        <f t="shared" si="2"/>
        <v>0</v>
      </c>
    </row>
    <row r="37" spans="3:14">
      <c r="C37" s="8" t="s">
        <v>18</v>
      </c>
      <c r="D37" s="18" t="s">
        <v>20</v>
      </c>
      <c r="E37" s="10" t="s">
        <v>14</v>
      </c>
      <c r="F37" s="11">
        <v>53.333329999999997</v>
      </c>
      <c r="G37" s="11">
        <v>16.329930000000001</v>
      </c>
      <c r="H37" s="12">
        <v>60</v>
      </c>
      <c r="I37" s="13">
        <v>0</v>
      </c>
      <c r="J37" s="21">
        <v>70</v>
      </c>
      <c r="K37" s="21">
        <v>16.733201000000001</v>
      </c>
      <c r="L37" s="15">
        <f t="shared" si="0"/>
        <v>12.500007031250446</v>
      </c>
      <c r="M37" s="15">
        <f t="shared" si="1"/>
        <v>16.666666666666664</v>
      </c>
      <c r="N37" s="15">
        <f t="shared" si="2"/>
        <v>31.250008203125525</v>
      </c>
    </row>
    <row r="38" spans="3:14">
      <c r="C38" s="8" t="s">
        <v>18</v>
      </c>
      <c r="D38" s="19"/>
      <c r="E38" s="10" t="s">
        <v>15</v>
      </c>
      <c r="F38" s="11">
        <v>66.666669999999996</v>
      </c>
      <c r="G38" s="11">
        <v>24.2212</v>
      </c>
      <c r="H38" s="12">
        <v>56.67</v>
      </c>
      <c r="I38" s="13">
        <v>15.055453</v>
      </c>
      <c r="J38" s="21">
        <v>80</v>
      </c>
      <c r="K38" s="21">
        <v>12.649111</v>
      </c>
      <c r="L38" s="15">
        <f t="shared" si="0"/>
        <v>-14.99500425024978</v>
      </c>
      <c r="M38" s="15">
        <f t="shared" si="1"/>
        <v>41.168166578436562</v>
      </c>
      <c r="N38" s="15">
        <f t="shared" si="2"/>
        <v>19.999994000000306</v>
      </c>
    </row>
    <row r="39" spans="3:14">
      <c r="C39" s="8" t="s">
        <v>18</v>
      </c>
      <c r="D39" s="19"/>
      <c r="E39" s="10" t="s">
        <v>16</v>
      </c>
      <c r="F39" s="11">
        <v>70</v>
      </c>
      <c r="G39" s="11">
        <v>10.95445</v>
      </c>
      <c r="H39" s="12">
        <v>76.7</v>
      </c>
      <c r="I39" s="13">
        <v>8.16</v>
      </c>
      <c r="J39" s="21">
        <v>80</v>
      </c>
      <c r="K39" s="21">
        <v>0</v>
      </c>
      <c r="L39" s="15">
        <f t="shared" si="0"/>
        <v>9.5714285714285747</v>
      </c>
      <c r="M39" s="15">
        <f t="shared" si="1"/>
        <v>4.302477183833112</v>
      </c>
      <c r="N39" s="15">
        <f t="shared" si="2"/>
        <v>14.285714285714285</v>
      </c>
    </row>
    <row r="40" spans="3:14">
      <c r="C40" s="8" t="s">
        <v>18</v>
      </c>
      <c r="D40" s="20"/>
      <c r="E40" s="10" t="s">
        <v>17</v>
      </c>
      <c r="F40" s="11">
        <v>53.333329999999997</v>
      </c>
      <c r="G40" s="11">
        <v>16.329930000000001</v>
      </c>
      <c r="H40" s="12">
        <v>63.33</v>
      </c>
      <c r="I40" s="13">
        <v>15.05</v>
      </c>
      <c r="J40" s="21">
        <v>73.333330000000004</v>
      </c>
      <c r="K40" s="21">
        <v>10.327956</v>
      </c>
      <c r="L40" s="15">
        <f t="shared" si="0"/>
        <v>18.743757421484844</v>
      </c>
      <c r="M40" s="15">
        <f t="shared" si="1"/>
        <v>15.795562924364448</v>
      </c>
      <c r="N40" s="15">
        <f t="shared" si="2"/>
        <v>37.500002343750161</v>
      </c>
    </row>
    <row r="41" spans="3:14">
      <c r="C41" s="8" t="s">
        <v>18</v>
      </c>
      <c r="D41" s="18" t="s">
        <v>22</v>
      </c>
      <c r="E41" s="10" t="s">
        <v>14</v>
      </c>
      <c r="F41" s="11">
        <v>66.666669999999996</v>
      </c>
      <c r="G41" s="11">
        <v>10.327959999999999</v>
      </c>
      <c r="H41" s="12">
        <v>60</v>
      </c>
      <c r="I41" s="13">
        <v>12.648999999999999</v>
      </c>
      <c r="J41" s="21">
        <v>56.666670000000003</v>
      </c>
      <c r="K41" s="21">
        <v>19.663841999999999</v>
      </c>
      <c r="L41" s="15">
        <f t="shared" si="0"/>
        <v>-10.00000449999977</v>
      </c>
      <c r="M41" s="15">
        <f t="shared" si="1"/>
        <v>-5.5555499999999949</v>
      </c>
      <c r="N41" s="15">
        <f t="shared" si="2"/>
        <v>-14.999999250000029</v>
      </c>
    </row>
    <row r="42" spans="3:14">
      <c r="C42" s="8" t="s">
        <v>18</v>
      </c>
      <c r="D42" s="19"/>
      <c r="E42" s="10" t="s">
        <v>15</v>
      </c>
      <c r="F42" s="11">
        <v>40</v>
      </c>
      <c r="G42" s="11">
        <v>12.64911</v>
      </c>
      <c r="H42" s="12">
        <v>60</v>
      </c>
      <c r="I42" s="13">
        <v>0</v>
      </c>
      <c r="J42" s="21">
        <v>80</v>
      </c>
      <c r="K42" s="21">
        <v>12.649111</v>
      </c>
      <c r="L42" s="15">
        <f t="shared" si="0"/>
        <v>50</v>
      </c>
      <c r="M42" s="15">
        <f t="shared" si="1"/>
        <v>33.333333333333329</v>
      </c>
      <c r="N42" s="15">
        <f t="shared" si="2"/>
        <v>100</v>
      </c>
    </row>
    <row r="43" spans="3:14">
      <c r="C43" s="8" t="s">
        <v>18</v>
      </c>
      <c r="D43" s="19"/>
      <c r="E43" s="10" t="s">
        <v>16</v>
      </c>
      <c r="F43" s="11">
        <v>56.666670000000003</v>
      </c>
      <c r="G43" s="11">
        <v>19.66384</v>
      </c>
      <c r="H43" s="12">
        <v>66.67</v>
      </c>
      <c r="I43" s="13">
        <v>10.32</v>
      </c>
      <c r="J43" s="21">
        <v>83.333330000000004</v>
      </c>
      <c r="K43" s="21">
        <v>8.1649659999999997</v>
      </c>
      <c r="L43" s="15">
        <f t="shared" si="0"/>
        <v>17.652934255709745</v>
      </c>
      <c r="M43" s="15">
        <f t="shared" si="1"/>
        <v>24.993745312734365</v>
      </c>
      <c r="N43" s="15">
        <f t="shared" si="2"/>
        <v>47.058808996540648</v>
      </c>
    </row>
    <row r="44" spans="3:14">
      <c r="C44" s="8" t="s">
        <v>18</v>
      </c>
      <c r="D44" s="20"/>
      <c r="E44" s="10" t="s">
        <v>17</v>
      </c>
      <c r="F44" s="11">
        <v>50</v>
      </c>
      <c r="G44" s="11">
        <v>10.95445</v>
      </c>
      <c r="H44" s="12">
        <v>83.33</v>
      </c>
      <c r="I44" s="13">
        <v>8.16</v>
      </c>
      <c r="J44" s="21">
        <v>66.666669999999996</v>
      </c>
      <c r="K44" s="21">
        <v>20.655911</v>
      </c>
      <c r="L44" s="15">
        <f t="shared" si="0"/>
        <v>66.66</v>
      </c>
      <c r="M44" s="15">
        <f t="shared" si="1"/>
        <v>-19.996795871834877</v>
      </c>
      <c r="N44" s="15">
        <f t="shared" si="2"/>
        <v>33.333339999999993</v>
      </c>
    </row>
    <row r="45" spans="3:14">
      <c r="C45" s="8" t="s">
        <v>19</v>
      </c>
      <c r="D45" s="9" t="s">
        <v>13</v>
      </c>
      <c r="E45" s="10" t="s">
        <v>14</v>
      </c>
      <c r="F45" s="11">
        <v>70</v>
      </c>
      <c r="G45" s="11">
        <v>20.976179999999999</v>
      </c>
      <c r="H45" s="12">
        <v>70</v>
      </c>
      <c r="I45" s="13">
        <v>16.733201000000001</v>
      </c>
      <c r="J45" s="14">
        <v>70</v>
      </c>
      <c r="K45" s="14">
        <v>16.733201000000001</v>
      </c>
      <c r="L45" s="15">
        <f t="shared" si="0"/>
        <v>0</v>
      </c>
      <c r="M45" s="15">
        <f t="shared" si="1"/>
        <v>0</v>
      </c>
      <c r="N45" s="15">
        <f t="shared" si="2"/>
        <v>0</v>
      </c>
    </row>
    <row r="46" spans="3:14">
      <c r="C46" s="8" t="s">
        <v>19</v>
      </c>
      <c r="D46" s="16"/>
      <c r="E46" s="10" t="s">
        <v>15</v>
      </c>
      <c r="F46" s="11">
        <v>53.333329999999997</v>
      </c>
      <c r="G46" s="11">
        <v>20.655909999999999</v>
      </c>
      <c r="H46" s="12">
        <v>60</v>
      </c>
      <c r="I46" s="13">
        <v>21.908902000000001</v>
      </c>
      <c r="J46" s="14">
        <v>80</v>
      </c>
      <c r="K46" s="14">
        <v>12.649111</v>
      </c>
      <c r="L46" s="15">
        <f t="shared" si="0"/>
        <v>12.500007031250446</v>
      </c>
      <c r="M46" s="15">
        <f t="shared" si="1"/>
        <v>33.333333333333329</v>
      </c>
      <c r="N46" s="15">
        <f t="shared" si="2"/>
        <v>50.000009375000602</v>
      </c>
    </row>
    <row r="47" spans="3:14">
      <c r="C47" s="8" t="s">
        <v>19</v>
      </c>
      <c r="D47" s="16"/>
      <c r="E47" s="10" t="s">
        <v>16</v>
      </c>
      <c r="F47" s="11">
        <v>60</v>
      </c>
      <c r="G47" s="11">
        <v>17.888539999999999</v>
      </c>
      <c r="H47" s="12">
        <v>70</v>
      </c>
      <c r="I47" s="13">
        <v>10.954451000000001</v>
      </c>
      <c r="J47" s="14">
        <v>80</v>
      </c>
      <c r="K47" s="14">
        <v>0</v>
      </c>
      <c r="L47" s="15">
        <f t="shared" si="0"/>
        <v>16.666666666666664</v>
      </c>
      <c r="M47" s="15">
        <f t="shared" si="1"/>
        <v>14.285714285714285</v>
      </c>
      <c r="N47" s="15">
        <f t="shared" si="2"/>
        <v>33.333333333333329</v>
      </c>
    </row>
    <row r="48" spans="3:14">
      <c r="C48" s="8" t="s">
        <v>19</v>
      </c>
      <c r="D48" s="17"/>
      <c r="E48" s="10" t="s">
        <v>17</v>
      </c>
      <c r="F48" s="11">
        <v>70</v>
      </c>
      <c r="G48" s="11">
        <v>10.95445</v>
      </c>
      <c r="H48" s="12">
        <v>86.666669999999996</v>
      </c>
      <c r="I48" s="13">
        <v>10.327956</v>
      </c>
      <c r="J48" s="14">
        <v>70</v>
      </c>
      <c r="K48" s="14">
        <v>10.954451000000001</v>
      </c>
      <c r="L48" s="15">
        <f t="shared" si="0"/>
        <v>23.809528571428565</v>
      </c>
      <c r="M48" s="15">
        <f t="shared" si="1"/>
        <v>-19.230772337277983</v>
      </c>
      <c r="N48" s="15">
        <f t="shared" si="2"/>
        <v>0</v>
      </c>
    </row>
    <row r="49" spans="3:14">
      <c r="C49" s="8" t="s">
        <v>19</v>
      </c>
      <c r="D49" s="18" t="s">
        <v>18</v>
      </c>
      <c r="E49" s="10" t="s">
        <v>14</v>
      </c>
      <c r="F49" s="11">
        <v>56.666670000000003</v>
      </c>
      <c r="G49" s="11">
        <v>19.66384</v>
      </c>
      <c r="H49" s="12">
        <v>80</v>
      </c>
      <c r="I49" s="13">
        <v>12.649111</v>
      </c>
      <c r="J49" s="14">
        <v>70</v>
      </c>
      <c r="K49" s="14">
        <v>10.954451000000001</v>
      </c>
      <c r="L49" s="15">
        <f t="shared" si="0"/>
        <v>41.1764622837375</v>
      </c>
      <c r="M49" s="15">
        <f t="shared" si="1"/>
        <v>-12.5</v>
      </c>
      <c r="N49" s="15">
        <f t="shared" si="2"/>
        <v>23.529404498270313</v>
      </c>
    </row>
    <row r="50" spans="3:14">
      <c r="C50" s="8" t="s">
        <v>19</v>
      </c>
      <c r="D50" s="19"/>
      <c r="E50" s="10" t="s">
        <v>15</v>
      </c>
      <c r="F50" s="11">
        <v>63.333329999999997</v>
      </c>
      <c r="G50" s="11">
        <v>15.05545</v>
      </c>
      <c r="H50" s="12">
        <v>43.333329999999997</v>
      </c>
      <c r="I50" s="13">
        <v>19.663841999999999</v>
      </c>
      <c r="J50" s="14">
        <v>76.666669999999996</v>
      </c>
      <c r="K50" s="14">
        <v>8.1649659999999997</v>
      </c>
      <c r="L50" s="15">
        <f t="shared" si="0"/>
        <v>-31.578949030471005</v>
      </c>
      <c r="M50" s="15">
        <f t="shared" si="1"/>
        <v>76.923098224853717</v>
      </c>
      <c r="N50" s="15">
        <f t="shared" si="2"/>
        <v>21.052643213297014</v>
      </c>
    </row>
    <row r="51" spans="3:14">
      <c r="C51" s="8" t="s">
        <v>19</v>
      </c>
      <c r="D51" s="19"/>
      <c r="E51" s="10" t="s">
        <v>16</v>
      </c>
      <c r="F51" s="11">
        <v>66.666669999999996</v>
      </c>
      <c r="G51" s="11">
        <v>10.327959999999999</v>
      </c>
      <c r="H51" s="12">
        <v>76.666669999999996</v>
      </c>
      <c r="I51" s="13">
        <v>8.1649659999999997</v>
      </c>
      <c r="J51" s="14">
        <v>80</v>
      </c>
      <c r="K51" s="14">
        <v>12.649111</v>
      </c>
      <c r="L51" s="15">
        <f t="shared" si="0"/>
        <v>14.999999250000037</v>
      </c>
      <c r="M51" s="15">
        <f t="shared" si="1"/>
        <v>4.3478215500947197</v>
      </c>
      <c r="N51" s="15">
        <f t="shared" si="2"/>
        <v>19.999994000000306</v>
      </c>
    </row>
    <row r="52" spans="3:14">
      <c r="C52" s="8" t="s">
        <v>19</v>
      </c>
      <c r="D52" s="20"/>
      <c r="E52" s="10" t="s">
        <v>17</v>
      </c>
      <c r="F52" s="11">
        <v>63.333329999999997</v>
      </c>
      <c r="G52" s="11">
        <v>15.05545</v>
      </c>
      <c r="H52" s="12">
        <v>70</v>
      </c>
      <c r="I52" s="13">
        <v>10.954451000000001</v>
      </c>
      <c r="J52" s="14">
        <v>53.333329999999997</v>
      </c>
      <c r="K52" s="14">
        <v>10.327956</v>
      </c>
      <c r="L52" s="15">
        <f t="shared" si="0"/>
        <v>10.526321606648512</v>
      </c>
      <c r="M52" s="15">
        <f t="shared" si="1"/>
        <v>-23.809528571428576</v>
      </c>
      <c r="N52" s="15">
        <f t="shared" si="2"/>
        <v>-15.789474515235502</v>
      </c>
    </row>
    <row r="53" spans="3:14">
      <c r="C53" s="8" t="s">
        <v>19</v>
      </c>
      <c r="D53" s="18" t="s">
        <v>19</v>
      </c>
      <c r="E53" s="10" t="s">
        <v>14</v>
      </c>
      <c r="F53" s="11">
        <v>53.333329999999997</v>
      </c>
      <c r="G53" s="11">
        <v>20.655909999999999</v>
      </c>
      <c r="H53" s="12">
        <v>53.333329999999997</v>
      </c>
      <c r="I53" s="13">
        <v>20.655911</v>
      </c>
      <c r="J53" s="14">
        <v>53.333329999999997</v>
      </c>
      <c r="K53" s="14">
        <v>20.655911</v>
      </c>
      <c r="L53" s="15">
        <f t="shared" si="0"/>
        <v>0</v>
      </c>
      <c r="M53" s="15">
        <f t="shared" si="1"/>
        <v>0</v>
      </c>
      <c r="N53" s="15">
        <f t="shared" si="2"/>
        <v>0</v>
      </c>
    </row>
    <row r="54" spans="3:14">
      <c r="C54" s="8" t="s">
        <v>19</v>
      </c>
      <c r="D54" s="19"/>
      <c r="E54" s="10" t="s">
        <v>15</v>
      </c>
      <c r="F54" s="11">
        <v>60</v>
      </c>
      <c r="G54" s="11">
        <v>0</v>
      </c>
      <c r="H54" s="12">
        <v>60</v>
      </c>
      <c r="I54" s="13">
        <v>0</v>
      </c>
      <c r="J54" s="14">
        <v>60</v>
      </c>
      <c r="K54" s="14">
        <v>0</v>
      </c>
      <c r="L54" s="15">
        <f t="shared" si="0"/>
        <v>0</v>
      </c>
      <c r="M54" s="15">
        <f t="shared" si="1"/>
        <v>0</v>
      </c>
      <c r="N54" s="15">
        <f t="shared" si="2"/>
        <v>0</v>
      </c>
    </row>
    <row r="55" spans="3:14">
      <c r="C55" s="8" t="s">
        <v>19</v>
      </c>
      <c r="D55" s="19"/>
      <c r="E55" s="10" t="s">
        <v>16</v>
      </c>
      <c r="F55" s="11">
        <v>60</v>
      </c>
      <c r="G55" s="11">
        <v>17.888539999999999</v>
      </c>
      <c r="H55" s="12">
        <v>60</v>
      </c>
      <c r="I55" s="13">
        <v>17.888544</v>
      </c>
      <c r="J55" s="14">
        <v>60</v>
      </c>
      <c r="K55" s="14">
        <v>17.888544</v>
      </c>
      <c r="L55" s="15">
        <f t="shared" si="0"/>
        <v>0</v>
      </c>
      <c r="M55" s="15">
        <f t="shared" si="1"/>
        <v>0</v>
      </c>
      <c r="N55" s="15">
        <f t="shared" si="2"/>
        <v>0</v>
      </c>
    </row>
    <row r="56" spans="3:14">
      <c r="C56" s="8" t="s">
        <v>19</v>
      </c>
      <c r="D56" s="20"/>
      <c r="E56" s="10" t="s">
        <v>17</v>
      </c>
      <c r="F56" s="11">
        <v>66.666669999999996</v>
      </c>
      <c r="G56" s="11">
        <v>20.655909999999999</v>
      </c>
      <c r="H56" s="12">
        <v>66.666669999999996</v>
      </c>
      <c r="I56" s="13">
        <v>20.655911</v>
      </c>
      <c r="J56" s="14">
        <v>66.666669999999996</v>
      </c>
      <c r="K56" s="14">
        <v>20.655911</v>
      </c>
      <c r="L56" s="15">
        <f t="shared" si="0"/>
        <v>0</v>
      </c>
      <c r="M56" s="15">
        <f t="shared" si="1"/>
        <v>0</v>
      </c>
      <c r="N56" s="15">
        <f t="shared" si="2"/>
        <v>0</v>
      </c>
    </row>
    <row r="57" spans="3:14">
      <c r="C57" s="8" t="s">
        <v>19</v>
      </c>
      <c r="D57" s="18" t="s">
        <v>20</v>
      </c>
      <c r="E57" s="10" t="s">
        <v>14</v>
      </c>
      <c r="F57" s="11">
        <v>53.333329999999997</v>
      </c>
      <c r="G57" s="11">
        <v>16.329930000000001</v>
      </c>
      <c r="H57" s="12">
        <v>60</v>
      </c>
      <c r="I57" s="13">
        <v>12.649111</v>
      </c>
      <c r="J57" s="14">
        <v>70</v>
      </c>
      <c r="K57" s="14">
        <v>16.733201000000001</v>
      </c>
      <c r="L57" s="15">
        <f t="shared" si="0"/>
        <v>12.500007031250446</v>
      </c>
      <c r="M57" s="15">
        <f t="shared" si="1"/>
        <v>16.666666666666664</v>
      </c>
      <c r="N57" s="15">
        <f t="shared" si="2"/>
        <v>31.250008203125525</v>
      </c>
    </row>
    <row r="58" spans="3:14">
      <c r="C58" s="8" t="s">
        <v>19</v>
      </c>
      <c r="D58" s="19"/>
      <c r="E58" s="10" t="s">
        <v>15</v>
      </c>
      <c r="F58" s="11">
        <v>66.666669999999996</v>
      </c>
      <c r="G58" s="11">
        <v>24.2212</v>
      </c>
      <c r="H58" s="12">
        <v>46.666670000000003</v>
      </c>
      <c r="I58" s="13">
        <v>16.329931999999999</v>
      </c>
      <c r="J58" s="14">
        <v>80</v>
      </c>
      <c r="K58" s="14">
        <v>12.649111</v>
      </c>
      <c r="L58" s="15">
        <f t="shared" si="0"/>
        <v>-29.999998500000064</v>
      </c>
      <c r="M58" s="15">
        <f t="shared" si="1"/>
        <v>71.428559183674338</v>
      </c>
      <c r="N58" s="15">
        <f t="shared" si="2"/>
        <v>19.999994000000306</v>
      </c>
    </row>
    <row r="59" spans="3:14">
      <c r="C59" s="8" t="s">
        <v>19</v>
      </c>
      <c r="D59" s="19"/>
      <c r="E59" s="10" t="s">
        <v>16</v>
      </c>
      <c r="F59" s="11">
        <v>70</v>
      </c>
      <c r="G59" s="11">
        <v>10.95445</v>
      </c>
      <c r="H59" s="12">
        <v>83.333330000000004</v>
      </c>
      <c r="I59" s="13">
        <v>8.1649659999999997</v>
      </c>
      <c r="J59" s="14">
        <v>80</v>
      </c>
      <c r="K59" s="14">
        <v>0</v>
      </c>
      <c r="L59" s="15">
        <f t="shared" si="0"/>
        <v>19.047614285714289</v>
      </c>
      <c r="M59" s="15">
        <f t="shared" si="1"/>
        <v>-3.999996159999851</v>
      </c>
      <c r="N59" s="15">
        <f t="shared" si="2"/>
        <v>14.285714285714285</v>
      </c>
    </row>
    <row r="60" spans="3:14">
      <c r="C60" s="8" t="s">
        <v>19</v>
      </c>
      <c r="D60" s="20"/>
      <c r="E60" s="10" t="s">
        <v>17</v>
      </c>
      <c r="F60" s="11">
        <v>53.333329999999997</v>
      </c>
      <c r="G60" s="11">
        <v>16.329930000000001</v>
      </c>
      <c r="H60" s="12">
        <v>50</v>
      </c>
      <c r="I60" s="13">
        <v>16.733201000000001</v>
      </c>
      <c r="J60" s="22">
        <v>73.333330000000004</v>
      </c>
      <c r="K60" s="22">
        <v>10.327956</v>
      </c>
      <c r="L60" s="15">
        <f t="shared" si="0"/>
        <v>-6.2499941406246275</v>
      </c>
      <c r="M60" s="15">
        <f t="shared" si="1"/>
        <v>46.666660000000007</v>
      </c>
      <c r="N60" s="15">
        <f t="shared" si="2"/>
        <v>37.500002343750161</v>
      </c>
    </row>
    <row r="61" spans="3:14">
      <c r="C61" s="8" t="s">
        <v>19</v>
      </c>
      <c r="D61" s="18" t="s">
        <v>22</v>
      </c>
      <c r="E61" s="10" t="s">
        <v>14</v>
      </c>
      <c r="F61" s="11">
        <v>66.666669999999996</v>
      </c>
      <c r="G61" s="11">
        <v>10.327959999999999</v>
      </c>
      <c r="H61" s="12">
        <v>90</v>
      </c>
      <c r="I61" s="13">
        <v>10.954451000000001</v>
      </c>
      <c r="J61" s="22">
        <v>56.666670000000003</v>
      </c>
      <c r="K61" s="22">
        <v>19.663841999999999</v>
      </c>
      <c r="L61" s="15">
        <f t="shared" si="0"/>
        <v>34.999993250000344</v>
      </c>
      <c r="M61" s="15">
        <f t="shared" si="1"/>
        <v>-37.037033333333333</v>
      </c>
      <c r="N61" s="15">
        <f t="shared" si="2"/>
        <v>-14.999999250000029</v>
      </c>
    </row>
    <row r="62" spans="3:14">
      <c r="C62" s="8" t="s">
        <v>19</v>
      </c>
      <c r="D62" s="19"/>
      <c r="E62" s="10" t="s">
        <v>15</v>
      </c>
      <c r="F62" s="11">
        <v>40</v>
      </c>
      <c r="G62" s="11">
        <v>12.64911</v>
      </c>
      <c r="H62" s="12">
        <v>76.666669999999996</v>
      </c>
      <c r="I62" s="13">
        <v>8.1649659999999997</v>
      </c>
      <c r="J62" s="22">
        <v>80</v>
      </c>
      <c r="K62" s="22">
        <v>12.649111</v>
      </c>
      <c r="L62" s="15">
        <f t="shared" si="0"/>
        <v>91.666674999999984</v>
      </c>
      <c r="M62" s="15">
        <f t="shared" si="1"/>
        <v>4.3478215500947197</v>
      </c>
      <c r="N62" s="15">
        <f t="shared" si="2"/>
        <v>100</v>
      </c>
    </row>
    <row r="63" spans="3:14">
      <c r="C63" s="8" t="s">
        <v>19</v>
      </c>
      <c r="D63" s="19"/>
      <c r="E63" s="10" t="s">
        <v>16</v>
      </c>
      <c r="F63" s="11">
        <v>56.666670000000003</v>
      </c>
      <c r="G63" s="11">
        <v>19.66384</v>
      </c>
      <c r="H63" s="12">
        <v>53.333329999999997</v>
      </c>
      <c r="I63" s="13">
        <v>10.327956</v>
      </c>
      <c r="J63" s="22">
        <v>83.333330000000004</v>
      </c>
      <c r="K63" s="22">
        <v>8.1649659999999997</v>
      </c>
      <c r="L63" s="15">
        <f t="shared" si="0"/>
        <v>-5.8823643598609321</v>
      </c>
      <c r="M63" s="15">
        <f t="shared" si="1"/>
        <v>56.250003515625238</v>
      </c>
      <c r="N63" s="15">
        <f t="shared" si="2"/>
        <v>47.058808996540648</v>
      </c>
    </row>
    <row r="64" spans="3:14">
      <c r="C64" s="8" t="s">
        <v>19</v>
      </c>
      <c r="D64" s="20"/>
      <c r="E64" s="10" t="s">
        <v>17</v>
      </c>
      <c r="F64" s="11">
        <v>50</v>
      </c>
      <c r="G64" s="11">
        <v>10.95445</v>
      </c>
      <c r="H64" s="12">
        <v>76.666669999999996</v>
      </c>
      <c r="I64" s="13">
        <v>15.055453</v>
      </c>
      <c r="J64" s="22">
        <v>66.666669999999996</v>
      </c>
      <c r="K64" s="22">
        <v>20.655911</v>
      </c>
      <c r="L64" s="15">
        <f t="shared" si="0"/>
        <v>53.333339999999993</v>
      </c>
      <c r="M64" s="15">
        <f t="shared" si="1"/>
        <v>-13.04347769376184</v>
      </c>
      <c r="N64" s="15">
        <f t="shared" si="2"/>
        <v>33.333339999999993</v>
      </c>
    </row>
    <row r="65" spans="3:14">
      <c r="C65" s="8" t="s">
        <v>20</v>
      </c>
      <c r="D65" s="9" t="s">
        <v>13</v>
      </c>
      <c r="E65" s="10" t="s">
        <v>14</v>
      </c>
      <c r="F65" s="11">
        <v>70</v>
      </c>
      <c r="G65" s="11">
        <v>20.976179999999999</v>
      </c>
      <c r="H65" s="12">
        <v>63.333329999999997</v>
      </c>
      <c r="I65" s="13">
        <v>15.055453</v>
      </c>
      <c r="J65" s="14">
        <v>90</v>
      </c>
      <c r="K65" s="14">
        <v>10.954451000000001</v>
      </c>
      <c r="L65" s="15">
        <f t="shared" si="0"/>
        <v>-9.5238142857142911</v>
      </c>
      <c r="M65" s="15">
        <f t="shared" si="1"/>
        <v>42.10527063711951</v>
      </c>
      <c r="N65" s="15">
        <f t="shared" si="2"/>
        <v>28.571428571428569</v>
      </c>
    </row>
    <row r="66" spans="3:14">
      <c r="C66" s="8" t="s">
        <v>20</v>
      </c>
      <c r="D66" s="16"/>
      <c r="E66" s="10" t="s">
        <v>15</v>
      </c>
      <c r="F66" s="11">
        <v>53.333329999999997</v>
      </c>
      <c r="G66" s="11">
        <v>20.655909999999999</v>
      </c>
      <c r="H66" s="12">
        <v>40</v>
      </c>
      <c r="I66" s="13">
        <v>0</v>
      </c>
      <c r="J66" s="14">
        <v>66.666669999999996</v>
      </c>
      <c r="K66" s="14">
        <v>10.327956</v>
      </c>
      <c r="L66" s="15">
        <f t="shared" si="0"/>
        <v>-24.999995312499699</v>
      </c>
      <c r="M66" s="15">
        <f t="shared" si="1"/>
        <v>66.666674999999984</v>
      </c>
      <c r="N66" s="15">
        <f t="shared" si="2"/>
        <v>25.000014062500881</v>
      </c>
    </row>
    <row r="67" spans="3:14">
      <c r="C67" s="8" t="s">
        <v>20</v>
      </c>
      <c r="D67" s="16"/>
      <c r="E67" s="10" t="s">
        <v>16</v>
      </c>
      <c r="F67" s="11">
        <v>60</v>
      </c>
      <c r="G67" s="11">
        <v>17.888539999999999</v>
      </c>
      <c r="H67" s="12">
        <v>70</v>
      </c>
      <c r="I67" s="13">
        <v>16.733201000000001</v>
      </c>
      <c r="J67" s="14">
        <v>70</v>
      </c>
      <c r="K67" s="14">
        <v>16.733201000000001</v>
      </c>
      <c r="L67" s="15">
        <f t="shared" si="0"/>
        <v>16.666666666666664</v>
      </c>
      <c r="M67" s="15">
        <f t="shared" si="1"/>
        <v>0</v>
      </c>
      <c r="N67" s="15">
        <f t="shared" si="2"/>
        <v>16.666666666666664</v>
      </c>
    </row>
    <row r="68" spans="3:14">
      <c r="C68" s="8" t="s">
        <v>20</v>
      </c>
      <c r="D68" s="17"/>
      <c r="E68" s="10" t="s">
        <v>17</v>
      </c>
      <c r="F68" s="11">
        <v>70</v>
      </c>
      <c r="G68" s="11">
        <v>10.95445</v>
      </c>
      <c r="H68" s="12">
        <v>73.333330000000004</v>
      </c>
      <c r="I68" s="13">
        <v>16.329931999999999</v>
      </c>
      <c r="J68" s="14">
        <v>66.666669999999996</v>
      </c>
      <c r="K68" s="14">
        <v>16.329931999999999</v>
      </c>
      <c r="L68" s="15">
        <f t="shared" si="0"/>
        <v>4.7619000000000051</v>
      </c>
      <c r="M68" s="15">
        <f t="shared" si="1"/>
        <v>-9.0909004132227551</v>
      </c>
      <c r="N68" s="15">
        <f t="shared" si="2"/>
        <v>-4.7619000000000051</v>
      </c>
    </row>
    <row r="69" spans="3:14">
      <c r="C69" s="8" t="s">
        <v>20</v>
      </c>
      <c r="D69" s="18" t="s">
        <v>18</v>
      </c>
      <c r="E69" s="10" t="s">
        <v>14</v>
      </c>
      <c r="F69" s="11">
        <v>56.666670000000003</v>
      </c>
      <c r="G69" s="11">
        <v>19.66384</v>
      </c>
      <c r="H69" s="12">
        <v>70</v>
      </c>
      <c r="I69" s="13">
        <v>16.733201000000001</v>
      </c>
      <c r="J69" s="22">
        <v>83.333330000000004</v>
      </c>
      <c r="K69" s="22">
        <v>8.1649659999999997</v>
      </c>
      <c r="L69" s="15">
        <f t="shared" si="0"/>
        <v>23.529404498270313</v>
      </c>
      <c r="M69" s="15">
        <f t="shared" si="1"/>
        <v>19.047614285714289</v>
      </c>
      <c r="N69" s="15">
        <f t="shared" si="2"/>
        <v>47.058808996540648</v>
      </c>
    </row>
    <row r="70" spans="3:14">
      <c r="C70" s="8" t="s">
        <v>20</v>
      </c>
      <c r="D70" s="19"/>
      <c r="E70" s="10" t="s">
        <v>15</v>
      </c>
      <c r="F70" s="11">
        <v>63.333329999999997</v>
      </c>
      <c r="G70" s="11">
        <v>15.05545</v>
      </c>
      <c r="H70" s="12">
        <v>66.666669999999996</v>
      </c>
      <c r="I70" s="13">
        <v>10.327956</v>
      </c>
      <c r="J70" s="22">
        <v>76.666669999999996</v>
      </c>
      <c r="K70" s="22">
        <v>15.055453</v>
      </c>
      <c r="L70" s="15">
        <f t="shared" ref="L70:L104" si="3">((H70-F70)/F70)*100</f>
        <v>5.2631686980615102</v>
      </c>
      <c r="M70" s="15">
        <f t="shared" ref="M70:M104" si="4">((J70-H70)/H70)*100</f>
        <v>14.999999250000037</v>
      </c>
      <c r="N70" s="15">
        <f t="shared" ref="N70:N104" si="5">((J70-F70)/F70)*100</f>
        <v>21.052643213297014</v>
      </c>
    </row>
    <row r="71" spans="3:14">
      <c r="C71" s="8" t="s">
        <v>20</v>
      </c>
      <c r="D71" s="19"/>
      <c r="E71" s="10" t="s">
        <v>16</v>
      </c>
      <c r="F71" s="11">
        <v>66.666669999999996</v>
      </c>
      <c r="G71" s="11">
        <v>10.327959999999999</v>
      </c>
      <c r="H71" s="12">
        <v>66.666669999999996</v>
      </c>
      <c r="I71" s="13">
        <v>10.327956</v>
      </c>
      <c r="J71" s="22">
        <v>76.666669999999996</v>
      </c>
      <c r="K71" s="22">
        <v>15.055453</v>
      </c>
      <c r="L71" s="15">
        <f t="shared" si="3"/>
        <v>0</v>
      </c>
      <c r="M71" s="15">
        <f t="shared" si="4"/>
        <v>14.999999250000037</v>
      </c>
      <c r="N71" s="15">
        <f t="shared" si="5"/>
        <v>14.999999250000037</v>
      </c>
    </row>
    <row r="72" spans="3:14">
      <c r="C72" s="8" t="s">
        <v>20</v>
      </c>
      <c r="D72" s="20"/>
      <c r="E72" s="10" t="s">
        <v>17</v>
      </c>
      <c r="F72" s="11">
        <v>63.333329999999997</v>
      </c>
      <c r="G72" s="11">
        <v>15.05545</v>
      </c>
      <c r="H72" s="12">
        <v>70</v>
      </c>
      <c r="I72" s="13">
        <v>16.733201000000001</v>
      </c>
      <c r="J72" s="22">
        <v>73.333330000000004</v>
      </c>
      <c r="K72" s="22">
        <v>10.327956</v>
      </c>
      <c r="L72" s="15">
        <f t="shared" si="3"/>
        <v>10.526321606648512</v>
      </c>
      <c r="M72" s="15">
        <f t="shared" si="4"/>
        <v>4.7619000000000051</v>
      </c>
      <c r="N72" s="15">
        <f t="shared" si="5"/>
        <v>15.789474515235513</v>
      </c>
    </row>
    <row r="73" spans="3:14">
      <c r="C73" s="8" t="s">
        <v>20</v>
      </c>
      <c r="D73" s="18" t="s">
        <v>19</v>
      </c>
      <c r="E73" s="10" t="s">
        <v>14</v>
      </c>
      <c r="F73" s="11">
        <v>53.333329999999997</v>
      </c>
      <c r="G73" s="11">
        <v>20.655909999999999</v>
      </c>
      <c r="H73" s="12">
        <v>80</v>
      </c>
      <c r="I73" s="13">
        <v>0</v>
      </c>
      <c r="J73" s="22">
        <v>60</v>
      </c>
      <c r="K73" s="22">
        <v>21.908902000000001</v>
      </c>
      <c r="L73" s="15">
        <f t="shared" si="3"/>
        <v>50.000009375000602</v>
      </c>
      <c r="M73" s="15">
        <f t="shared" si="4"/>
        <v>-25</v>
      </c>
      <c r="N73" s="15">
        <f t="shared" si="5"/>
        <v>12.500007031250446</v>
      </c>
    </row>
    <row r="74" spans="3:14">
      <c r="C74" s="8" t="s">
        <v>20</v>
      </c>
      <c r="D74" s="19"/>
      <c r="E74" s="10" t="s">
        <v>15</v>
      </c>
      <c r="F74" s="11">
        <v>60</v>
      </c>
      <c r="G74" s="11">
        <v>0</v>
      </c>
      <c r="H74" s="12">
        <v>76.666669999999996</v>
      </c>
      <c r="I74" s="13">
        <v>15.055453</v>
      </c>
      <c r="J74" s="22">
        <v>63.333329999999997</v>
      </c>
      <c r="K74" s="22">
        <v>19.663841999999999</v>
      </c>
      <c r="L74" s="15">
        <f t="shared" si="3"/>
        <v>27.777783333333328</v>
      </c>
      <c r="M74" s="15">
        <f t="shared" si="4"/>
        <v>-17.391312287334248</v>
      </c>
      <c r="N74" s="15">
        <f t="shared" si="5"/>
        <v>5.5555499999999949</v>
      </c>
    </row>
    <row r="75" spans="3:14">
      <c r="C75" s="8" t="s">
        <v>20</v>
      </c>
      <c r="D75" s="19"/>
      <c r="E75" s="10" t="s">
        <v>16</v>
      </c>
      <c r="F75" s="11">
        <v>60</v>
      </c>
      <c r="G75" s="11">
        <v>17.888539999999999</v>
      </c>
      <c r="H75" s="12">
        <v>73.333330000000004</v>
      </c>
      <c r="I75" s="13">
        <v>16.329931999999999</v>
      </c>
      <c r="J75" s="22">
        <v>66.666669999999996</v>
      </c>
      <c r="K75" s="22">
        <v>10.327956</v>
      </c>
      <c r="L75" s="15">
        <f t="shared" si="3"/>
        <v>22.222216666666672</v>
      </c>
      <c r="M75" s="15">
        <f t="shared" si="4"/>
        <v>-9.0909004132227551</v>
      </c>
      <c r="N75" s="15">
        <f t="shared" si="5"/>
        <v>11.111116666666661</v>
      </c>
    </row>
    <row r="76" spans="3:14">
      <c r="C76" s="8" t="s">
        <v>20</v>
      </c>
      <c r="D76" s="20"/>
      <c r="E76" s="10" t="s">
        <v>17</v>
      </c>
      <c r="F76" s="11">
        <v>66.666669999999996</v>
      </c>
      <c r="G76" s="11">
        <v>20.655909999999999</v>
      </c>
      <c r="H76" s="12">
        <v>56.666670000000003</v>
      </c>
      <c r="I76" s="13">
        <v>8.1649659999999997</v>
      </c>
      <c r="J76" s="22">
        <v>56.666670000000003</v>
      </c>
      <c r="K76" s="22">
        <v>26.583203000000001</v>
      </c>
      <c r="L76" s="15">
        <f t="shared" si="3"/>
        <v>-14.999999250000029</v>
      </c>
      <c r="M76" s="15">
        <f t="shared" si="4"/>
        <v>0</v>
      </c>
      <c r="N76" s="15">
        <f t="shared" si="5"/>
        <v>-14.999999250000029</v>
      </c>
    </row>
    <row r="77" spans="3:14">
      <c r="C77" s="8" t="s">
        <v>20</v>
      </c>
      <c r="D77" s="18" t="s">
        <v>20</v>
      </c>
      <c r="E77" s="10" t="s">
        <v>14</v>
      </c>
      <c r="F77" s="11">
        <v>53.333329999999997</v>
      </c>
      <c r="G77" s="11">
        <v>16.329930000000001</v>
      </c>
      <c r="H77" s="12">
        <v>53.333329999999997</v>
      </c>
      <c r="I77" s="13">
        <v>16.329931999999999</v>
      </c>
      <c r="J77" s="22">
        <v>53.333329999999997</v>
      </c>
      <c r="K77" s="22">
        <v>16.329931999999999</v>
      </c>
      <c r="L77" s="15">
        <f t="shared" si="3"/>
        <v>0</v>
      </c>
      <c r="M77" s="15">
        <f t="shared" si="4"/>
        <v>0</v>
      </c>
      <c r="N77" s="15">
        <f t="shared" si="5"/>
        <v>0</v>
      </c>
    </row>
    <row r="78" spans="3:14">
      <c r="C78" s="8" t="s">
        <v>20</v>
      </c>
      <c r="D78" s="19"/>
      <c r="E78" s="10" t="s">
        <v>15</v>
      </c>
      <c r="F78" s="11">
        <v>66.666669999999996</v>
      </c>
      <c r="G78" s="11">
        <v>24.2212</v>
      </c>
      <c r="H78" s="12">
        <v>66.666669999999996</v>
      </c>
      <c r="I78" s="13">
        <v>24.221202999999999</v>
      </c>
      <c r="J78" s="22">
        <v>66.666669999999996</v>
      </c>
      <c r="K78" s="22">
        <v>24.221202999999999</v>
      </c>
      <c r="L78" s="15">
        <f t="shared" si="3"/>
        <v>0</v>
      </c>
      <c r="M78" s="15">
        <f t="shared" si="4"/>
        <v>0</v>
      </c>
      <c r="N78" s="15">
        <f t="shared" si="5"/>
        <v>0</v>
      </c>
    </row>
    <row r="79" spans="3:14">
      <c r="C79" s="8" t="s">
        <v>20</v>
      </c>
      <c r="D79" s="19"/>
      <c r="E79" s="10" t="s">
        <v>16</v>
      </c>
      <c r="F79" s="11">
        <v>70</v>
      </c>
      <c r="G79" s="11">
        <v>10.95445</v>
      </c>
      <c r="H79" s="12">
        <v>70</v>
      </c>
      <c r="I79" s="13">
        <v>10.954451000000001</v>
      </c>
      <c r="J79" s="22">
        <v>70</v>
      </c>
      <c r="K79" s="22">
        <v>10.954451000000001</v>
      </c>
      <c r="L79" s="15">
        <f t="shared" si="3"/>
        <v>0</v>
      </c>
      <c r="M79" s="15">
        <f t="shared" si="4"/>
        <v>0</v>
      </c>
      <c r="N79" s="15">
        <f t="shared" si="5"/>
        <v>0</v>
      </c>
    </row>
    <row r="80" spans="3:14">
      <c r="C80" s="8" t="s">
        <v>20</v>
      </c>
      <c r="D80" s="20"/>
      <c r="E80" s="10" t="s">
        <v>17</v>
      </c>
      <c r="F80" s="11">
        <v>53.333329999999997</v>
      </c>
      <c r="G80" s="11">
        <v>16.329930000000001</v>
      </c>
      <c r="H80" s="12">
        <v>53.333329999999997</v>
      </c>
      <c r="I80" s="13">
        <v>16.329931999999999</v>
      </c>
      <c r="J80" s="22">
        <v>53.333329999999997</v>
      </c>
      <c r="K80" s="22">
        <v>16.329931999999999</v>
      </c>
      <c r="L80" s="15">
        <f t="shared" si="3"/>
        <v>0</v>
      </c>
      <c r="M80" s="15">
        <f t="shared" si="4"/>
        <v>0</v>
      </c>
      <c r="N80" s="15">
        <f t="shared" si="5"/>
        <v>0</v>
      </c>
    </row>
    <row r="81" spans="3:14">
      <c r="C81" s="8" t="s">
        <v>20</v>
      </c>
      <c r="D81" s="18" t="s">
        <v>22</v>
      </c>
      <c r="E81" s="10" t="s">
        <v>14</v>
      </c>
      <c r="F81" s="11">
        <v>66.666669999999996</v>
      </c>
      <c r="G81" s="11">
        <v>10.327959999999999</v>
      </c>
      <c r="H81" s="12">
        <v>70</v>
      </c>
      <c r="I81" s="13">
        <v>16.733201000000001</v>
      </c>
      <c r="J81" s="22">
        <v>53.333329999999997</v>
      </c>
      <c r="K81" s="22">
        <v>20.655911</v>
      </c>
      <c r="L81" s="15">
        <f t="shared" si="3"/>
        <v>4.9999947500002682</v>
      </c>
      <c r="M81" s="15">
        <f t="shared" si="4"/>
        <v>-23.809528571428576</v>
      </c>
      <c r="N81" s="15">
        <f t="shared" si="5"/>
        <v>-20.000008999999551</v>
      </c>
    </row>
    <row r="82" spans="3:14">
      <c r="C82" s="8" t="s">
        <v>20</v>
      </c>
      <c r="D82" s="19"/>
      <c r="E82" s="10" t="s">
        <v>15</v>
      </c>
      <c r="F82" s="11">
        <v>40</v>
      </c>
      <c r="G82" s="11">
        <v>12.64911</v>
      </c>
      <c r="H82" s="12">
        <v>43.333329999999997</v>
      </c>
      <c r="I82" s="13">
        <v>8.1649659999999997</v>
      </c>
      <c r="J82" s="22">
        <v>66.666669999999996</v>
      </c>
      <c r="K82" s="22">
        <v>16.329931999999999</v>
      </c>
      <c r="L82" s="15">
        <f t="shared" si="3"/>
        <v>8.3333249999999914</v>
      </c>
      <c r="M82" s="15">
        <f t="shared" si="4"/>
        <v>53.846173372782566</v>
      </c>
      <c r="N82" s="15">
        <f t="shared" si="5"/>
        <v>66.666674999999984</v>
      </c>
    </row>
    <row r="83" spans="3:14">
      <c r="C83" s="8" t="s">
        <v>20</v>
      </c>
      <c r="D83" s="19"/>
      <c r="E83" s="10" t="s">
        <v>16</v>
      </c>
      <c r="F83" s="11">
        <v>56.666670000000003</v>
      </c>
      <c r="G83" s="11">
        <v>19.66384</v>
      </c>
      <c r="H83" s="12">
        <v>83.333330000000004</v>
      </c>
      <c r="I83" s="13">
        <v>8.1649659999999997</v>
      </c>
      <c r="J83" s="22">
        <v>46.666670000000003</v>
      </c>
      <c r="K83" s="22">
        <v>16.329931999999999</v>
      </c>
      <c r="L83" s="15">
        <f t="shared" si="3"/>
        <v>47.058808996540648</v>
      </c>
      <c r="M83" s="15">
        <f t="shared" si="4"/>
        <v>-43.999993759999754</v>
      </c>
      <c r="N83" s="15">
        <f t="shared" si="5"/>
        <v>-17.647057785467187</v>
      </c>
    </row>
    <row r="84" spans="3:14">
      <c r="C84" s="8" t="s">
        <v>20</v>
      </c>
      <c r="D84" s="20"/>
      <c r="E84" s="10" t="s">
        <v>17</v>
      </c>
      <c r="F84" s="11">
        <v>50</v>
      </c>
      <c r="G84" s="11">
        <v>10.95445</v>
      </c>
      <c r="H84" s="12">
        <v>56.666670000000003</v>
      </c>
      <c r="I84" s="13">
        <v>19.663841999999999</v>
      </c>
      <c r="J84" s="22">
        <v>73.333330000000004</v>
      </c>
      <c r="K84" s="22">
        <v>16.329931999999999</v>
      </c>
      <c r="L84" s="15">
        <f t="shared" si="3"/>
        <v>13.333340000000007</v>
      </c>
      <c r="M84" s="15">
        <f t="shared" si="4"/>
        <v>29.411751211073454</v>
      </c>
      <c r="N84" s="15">
        <f t="shared" si="5"/>
        <v>46.666660000000007</v>
      </c>
    </row>
    <row r="85" spans="3:14">
      <c r="C85" s="8" t="s">
        <v>22</v>
      </c>
      <c r="D85" s="9" t="s">
        <v>13</v>
      </c>
      <c r="E85" s="10" t="s">
        <v>14</v>
      </c>
      <c r="F85" s="11">
        <v>70</v>
      </c>
      <c r="G85" s="11">
        <v>20.976179999999999</v>
      </c>
      <c r="H85" s="12">
        <v>63.333329999999997</v>
      </c>
      <c r="I85" s="13">
        <v>15.055453</v>
      </c>
      <c r="J85" s="22">
        <v>60</v>
      </c>
      <c r="K85" s="22">
        <v>17.888539999999999</v>
      </c>
      <c r="L85" s="15">
        <f t="shared" si="3"/>
        <v>-9.5238142857142911</v>
      </c>
      <c r="M85" s="15">
        <f t="shared" si="4"/>
        <v>-5.2631529085869895</v>
      </c>
      <c r="N85" s="15">
        <f t="shared" si="5"/>
        <v>-14.285714285714285</v>
      </c>
    </row>
    <row r="86" spans="3:14">
      <c r="C86" s="8" t="s">
        <v>22</v>
      </c>
      <c r="D86" s="16"/>
      <c r="E86" s="10" t="s">
        <v>15</v>
      </c>
      <c r="F86" s="11">
        <v>53.333329999999997</v>
      </c>
      <c r="G86" s="11">
        <v>20.655909999999999</v>
      </c>
      <c r="H86" s="12">
        <v>33.333329999999997</v>
      </c>
      <c r="I86" s="13">
        <v>16.329931999999999</v>
      </c>
      <c r="J86" s="23">
        <v>66.666669999999996</v>
      </c>
      <c r="K86" s="23">
        <v>20.655909999999999</v>
      </c>
      <c r="L86" s="15">
        <f t="shared" si="3"/>
        <v>-37.500002343750147</v>
      </c>
      <c r="M86" s="15">
        <f t="shared" si="4"/>
        <v>100.00003000000302</v>
      </c>
      <c r="N86" s="15">
        <f t="shared" si="5"/>
        <v>25.000014062500881</v>
      </c>
    </row>
    <row r="87" spans="3:14">
      <c r="C87" s="8" t="s">
        <v>22</v>
      </c>
      <c r="D87" s="16"/>
      <c r="E87" s="10" t="s">
        <v>16</v>
      </c>
      <c r="F87" s="11">
        <v>60</v>
      </c>
      <c r="G87" s="11">
        <v>17.888539999999999</v>
      </c>
      <c r="H87" s="12">
        <v>50</v>
      </c>
      <c r="I87" s="13">
        <v>20.976177</v>
      </c>
      <c r="J87" s="22">
        <v>70</v>
      </c>
      <c r="K87" s="22">
        <v>16.7332</v>
      </c>
      <c r="L87" s="15">
        <f t="shared" si="3"/>
        <v>-16.666666666666664</v>
      </c>
      <c r="M87" s="15">
        <f t="shared" si="4"/>
        <v>40</v>
      </c>
      <c r="N87" s="15">
        <f t="shared" si="5"/>
        <v>16.666666666666664</v>
      </c>
    </row>
    <row r="88" spans="3:14">
      <c r="C88" s="8" t="s">
        <v>22</v>
      </c>
      <c r="D88" s="17"/>
      <c r="E88" s="10" t="s">
        <v>17</v>
      </c>
      <c r="F88" s="11">
        <v>70</v>
      </c>
      <c r="G88" s="11">
        <v>10.95445</v>
      </c>
      <c r="H88" s="12">
        <v>46.666670000000003</v>
      </c>
      <c r="I88" s="13">
        <v>16.329931999999999</v>
      </c>
      <c r="J88" s="22">
        <v>56.666670000000003</v>
      </c>
      <c r="K88" s="22">
        <v>15.05545</v>
      </c>
      <c r="L88" s="15">
        <f t="shared" si="3"/>
        <v>-33.333328571428567</v>
      </c>
      <c r="M88" s="15">
        <f t="shared" si="4"/>
        <v>21.428569897959289</v>
      </c>
      <c r="N88" s="15">
        <f t="shared" si="5"/>
        <v>-19.047614285714282</v>
      </c>
    </row>
    <row r="89" spans="3:14">
      <c r="C89" s="8" t="s">
        <v>22</v>
      </c>
      <c r="D89" s="18" t="s">
        <v>18</v>
      </c>
      <c r="E89" s="10" t="s">
        <v>14</v>
      </c>
      <c r="F89" s="11">
        <v>56.666670000000003</v>
      </c>
      <c r="G89" s="11">
        <v>19.66384</v>
      </c>
      <c r="H89" s="12">
        <v>70</v>
      </c>
      <c r="I89" s="13">
        <v>10.954451000000001</v>
      </c>
      <c r="J89" s="22">
        <v>80</v>
      </c>
      <c r="K89" s="22">
        <v>12.64911</v>
      </c>
      <c r="L89" s="15">
        <f t="shared" si="3"/>
        <v>23.529404498270313</v>
      </c>
      <c r="M89" s="15">
        <f t="shared" si="4"/>
        <v>14.285714285714285</v>
      </c>
      <c r="N89" s="15">
        <f t="shared" si="5"/>
        <v>41.1764622837375</v>
      </c>
    </row>
    <row r="90" spans="3:14">
      <c r="C90" s="8" t="s">
        <v>22</v>
      </c>
      <c r="D90" s="19"/>
      <c r="E90" s="10" t="s">
        <v>15</v>
      </c>
      <c r="F90" s="11">
        <v>63.333329999999997</v>
      </c>
      <c r="G90" s="11">
        <v>15.05545</v>
      </c>
      <c r="H90" s="12">
        <v>70</v>
      </c>
      <c r="I90" s="13">
        <v>16.733201000000001</v>
      </c>
      <c r="J90" s="22">
        <v>66.666669999999996</v>
      </c>
      <c r="K90" s="22">
        <v>27.325199999999999</v>
      </c>
      <c r="L90" s="15">
        <f t="shared" si="3"/>
        <v>10.526321606648512</v>
      </c>
      <c r="M90" s="15">
        <f t="shared" si="4"/>
        <v>-4.7619000000000051</v>
      </c>
      <c r="N90" s="15">
        <f t="shared" si="5"/>
        <v>5.2631686980615102</v>
      </c>
    </row>
    <row r="91" spans="3:14">
      <c r="C91" s="8" t="s">
        <v>22</v>
      </c>
      <c r="D91" s="19"/>
      <c r="E91" s="10" t="s">
        <v>16</v>
      </c>
      <c r="F91" s="11">
        <v>66.666669999999996</v>
      </c>
      <c r="G91" s="11">
        <v>10.327959999999999</v>
      </c>
      <c r="H91" s="12">
        <v>63.333329999999997</v>
      </c>
      <c r="I91" s="13">
        <v>19.663841999999999</v>
      </c>
      <c r="J91" s="22">
        <v>80</v>
      </c>
      <c r="K91" s="22">
        <v>12.64911</v>
      </c>
      <c r="L91" s="15">
        <f t="shared" si="3"/>
        <v>-5.0000097499995118</v>
      </c>
      <c r="M91" s="15">
        <f t="shared" si="4"/>
        <v>26.315796121884009</v>
      </c>
      <c r="N91" s="15">
        <f t="shared" si="5"/>
        <v>19.999994000000306</v>
      </c>
    </row>
    <row r="92" spans="3:14">
      <c r="C92" s="8" t="s">
        <v>22</v>
      </c>
      <c r="D92" s="20"/>
      <c r="E92" s="10" t="s">
        <v>17</v>
      </c>
      <c r="F92" s="11">
        <v>63.333329999999997</v>
      </c>
      <c r="G92" s="11">
        <v>15.05545</v>
      </c>
      <c r="H92" s="12">
        <v>53.333329999999997</v>
      </c>
      <c r="I92" s="13">
        <v>10.327956</v>
      </c>
      <c r="J92" s="22">
        <v>60</v>
      </c>
      <c r="K92" s="22">
        <v>12.64911</v>
      </c>
      <c r="L92" s="15">
        <f t="shared" si="3"/>
        <v>-15.789474515235502</v>
      </c>
      <c r="M92" s="15">
        <f t="shared" si="4"/>
        <v>12.500007031250446</v>
      </c>
      <c r="N92" s="15">
        <f t="shared" si="5"/>
        <v>-5.2631529085869895</v>
      </c>
    </row>
    <row r="93" spans="3:14">
      <c r="C93" s="8" t="s">
        <v>22</v>
      </c>
      <c r="D93" s="18" t="s">
        <v>19</v>
      </c>
      <c r="E93" s="10" t="s">
        <v>14</v>
      </c>
      <c r="F93" s="11">
        <v>53.333329999999997</v>
      </c>
      <c r="G93" s="11">
        <v>20.655909999999999</v>
      </c>
      <c r="H93" s="12">
        <v>70</v>
      </c>
      <c r="I93" s="13">
        <v>24.494897000000002</v>
      </c>
      <c r="J93" s="22">
        <v>56.666670000000003</v>
      </c>
      <c r="K93" s="22">
        <v>15.05545</v>
      </c>
      <c r="L93" s="15">
        <f t="shared" si="3"/>
        <v>31.250008203125525</v>
      </c>
      <c r="M93" s="15">
        <f t="shared" si="4"/>
        <v>-19.047614285714282</v>
      </c>
      <c r="N93" s="15">
        <f t="shared" si="5"/>
        <v>6.2500128906258192</v>
      </c>
    </row>
    <row r="94" spans="3:14">
      <c r="C94" s="8" t="s">
        <v>22</v>
      </c>
      <c r="D94" s="19"/>
      <c r="E94" s="10" t="s">
        <v>15</v>
      </c>
      <c r="F94" s="11">
        <v>60</v>
      </c>
      <c r="G94" s="11">
        <v>0</v>
      </c>
      <c r="H94" s="12">
        <v>50</v>
      </c>
      <c r="I94" s="13">
        <v>16.733201000000001</v>
      </c>
      <c r="J94" s="22">
        <v>56.666670000000003</v>
      </c>
      <c r="K94" s="22">
        <v>23.3809</v>
      </c>
      <c r="L94" s="15">
        <f t="shared" si="3"/>
        <v>-16.666666666666664</v>
      </c>
      <c r="M94" s="15">
        <f t="shared" si="4"/>
        <v>13.333340000000007</v>
      </c>
      <c r="N94" s="15">
        <f t="shared" si="5"/>
        <v>-5.5555499999999949</v>
      </c>
    </row>
    <row r="95" spans="3:14">
      <c r="C95" s="8" t="s">
        <v>22</v>
      </c>
      <c r="D95" s="19"/>
      <c r="E95" s="10" t="s">
        <v>16</v>
      </c>
      <c r="F95" s="11">
        <v>60</v>
      </c>
      <c r="G95" s="11">
        <v>17.888539999999999</v>
      </c>
      <c r="H95" s="12">
        <v>36.666670000000003</v>
      </c>
      <c r="I95" s="13">
        <v>15.055453</v>
      </c>
      <c r="J95" s="14">
        <v>63.333329999999997</v>
      </c>
      <c r="K95" s="14">
        <v>23.3809</v>
      </c>
      <c r="L95" s="15">
        <f t="shared" si="3"/>
        <v>-38.888883333333332</v>
      </c>
      <c r="M95" s="15">
        <f t="shared" si="4"/>
        <v>72.727247933886531</v>
      </c>
      <c r="N95" s="15">
        <f t="shared" si="5"/>
        <v>5.5555499999999949</v>
      </c>
    </row>
    <row r="96" spans="3:14">
      <c r="C96" s="8" t="s">
        <v>22</v>
      </c>
      <c r="D96" s="20"/>
      <c r="E96" s="10" t="s">
        <v>17</v>
      </c>
      <c r="F96" s="11">
        <v>66.666669999999996</v>
      </c>
      <c r="G96" s="11">
        <v>20.655909999999999</v>
      </c>
      <c r="H96" s="12">
        <v>60</v>
      </c>
      <c r="I96" s="13">
        <v>21.908902000000001</v>
      </c>
      <c r="J96" s="14">
        <v>63.333329999999997</v>
      </c>
      <c r="K96" s="14">
        <v>23.3809</v>
      </c>
      <c r="L96" s="15">
        <f t="shared" si="3"/>
        <v>-10.00000449999977</v>
      </c>
      <c r="M96" s="15">
        <f t="shared" si="4"/>
        <v>5.5555499999999949</v>
      </c>
      <c r="N96" s="15">
        <f t="shared" si="5"/>
        <v>-5.0000097499995118</v>
      </c>
    </row>
    <row r="97" spans="3:14">
      <c r="C97" s="8" t="s">
        <v>22</v>
      </c>
      <c r="D97" s="18" t="s">
        <v>20</v>
      </c>
      <c r="E97" s="10" t="s">
        <v>14</v>
      </c>
      <c r="F97" s="11">
        <v>53.333329999999997</v>
      </c>
      <c r="G97" s="11">
        <v>16.329930000000001</v>
      </c>
      <c r="H97" s="12">
        <v>63.333329999999997</v>
      </c>
      <c r="I97" s="13">
        <v>8.1649659999999997</v>
      </c>
      <c r="J97" s="14">
        <v>60</v>
      </c>
      <c r="K97" s="14">
        <v>17.888539999999999</v>
      </c>
      <c r="L97" s="15">
        <f t="shared" si="3"/>
        <v>18.750001171875073</v>
      </c>
      <c r="M97" s="15">
        <f t="shared" si="4"/>
        <v>-5.2631529085869895</v>
      </c>
      <c r="N97" s="15">
        <f t="shared" si="5"/>
        <v>12.500007031250446</v>
      </c>
    </row>
    <row r="98" spans="3:14">
      <c r="C98" s="8" t="s">
        <v>22</v>
      </c>
      <c r="D98" s="19"/>
      <c r="E98" s="10" t="s">
        <v>15</v>
      </c>
      <c r="F98" s="11">
        <v>66.666669999999996</v>
      </c>
      <c r="G98" s="11">
        <v>24.2212</v>
      </c>
      <c r="H98" s="12">
        <v>53.333329999999997</v>
      </c>
      <c r="I98" s="13">
        <v>10.327956</v>
      </c>
      <c r="J98" s="14">
        <v>63.333329999999997</v>
      </c>
      <c r="K98" s="14">
        <v>15.05545</v>
      </c>
      <c r="L98" s="15">
        <f t="shared" si="3"/>
        <v>-20.000008999999551</v>
      </c>
      <c r="M98" s="15">
        <f t="shared" si="4"/>
        <v>18.750001171875073</v>
      </c>
      <c r="N98" s="15">
        <f t="shared" si="5"/>
        <v>-5.0000097499995118</v>
      </c>
    </row>
    <row r="99" spans="3:14">
      <c r="C99" s="8" t="s">
        <v>22</v>
      </c>
      <c r="D99" s="19"/>
      <c r="E99" s="10" t="s">
        <v>16</v>
      </c>
      <c r="F99" s="11">
        <v>70</v>
      </c>
      <c r="G99" s="11">
        <v>10.95445</v>
      </c>
      <c r="H99" s="12">
        <v>40</v>
      </c>
      <c r="I99" s="13">
        <v>21.908902000000001</v>
      </c>
      <c r="J99" s="14">
        <v>73.333330000000004</v>
      </c>
      <c r="K99" s="14">
        <v>16.329930000000001</v>
      </c>
      <c r="L99" s="15">
        <f t="shared" si="3"/>
        <v>-42.857142857142854</v>
      </c>
      <c r="M99" s="15">
        <f t="shared" si="4"/>
        <v>83.333325000000016</v>
      </c>
      <c r="N99" s="15">
        <f t="shared" si="5"/>
        <v>4.7619000000000051</v>
      </c>
    </row>
    <row r="100" spans="3:14">
      <c r="C100" s="8" t="s">
        <v>22</v>
      </c>
      <c r="D100" s="20"/>
      <c r="E100" s="10" t="s">
        <v>17</v>
      </c>
      <c r="F100" s="11">
        <v>53.333329999999997</v>
      </c>
      <c r="G100" s="11">
        <v>16.329930000000001</v>
      </c>
      <c r="H100" s="12">
        <v>50</v>
      </c>
      <c r="I100" s="13">
        <v>20.976177</v>
      </c>
      <c r="J100" s="14">
        <v>50</v>
      </c>
      <c r="K100" s="14">
        <v>16.7332</v>
      </c>
      <c r="L100" s="15">
        <f t="shared" si="3"/>
        <v>-6.2499941406246275</v>
      </c>
      <c r="M100" s="15">
        <f t="shared" si="4"/>
        <v>0</v>
      </c>
      <c r="N100" s="15">
        <f t="shared" si="5"/>
        <v>-6.2499941406246275</v>
      </c>
    </row>
    <row r="101" spans="3:14">
      <c r="C101" s="8" t="s">
        <v>22</v>
      </c>
      <c r="D101" s="18" t="s">
        <v>22</v>
      </c>
      <c r="E101" s="10" t="s">
        <v>14</v>
      </c>
      <c r="F101" s="11">
        <v>66.666669999999996</v>
      </c>
      <c r="G101" s="11">
        <v>10.327959999999999</v>
      </c>
      <c r="H101" s="12">
        <v>66.666669999999996</v>
      </c>
      <c r="I101" s="13">
        <v>10.327956</v>
      </c>
      <c r="J101" s="14">
        <v>66.666669999999996</v>
      </c>
      <c r="K101" s="14">
        <v>10.327959999999999</v>
      </c>
      <c r="L101" s="15">
        <f t="shared" si="3"/>
        <v>0</v>
      </c>
      <c r="M101" s="15">
        <f t="shared" si="4"/>
        <v>0</v>
      </c>
      <c r="N101" s="15">
        <f t="shared" si="5"/>
        <v>0</v>
      </c>
    </row>
    <row r="102" spans="3:14">
      <c r="C102" s="8" t="s">
        <v>22</v>
      </c>
      <c r="D102" s="19"/>
      <c r="E102" s="10" t="s">
        <v>15</v>
      </c>
      <c r="F102" s="11">
        <v>40</v>
      </c>
      <c r="G102" s="11">
        <v>12.64911</v>
      </c>
      <c r="H102" s="12">
        <v>40</v>
      </c>
      <c r="I102" s="13">
        <v>12.649111</v>
      </c>
      <c r="J102" s="14">
        <v>40</v>
      </c>
      <c r="K102" s="14">
        <v>12.64911</v>
      </c>
      <c r="L102" s="15">
        <f t="shared" si="3"/>
        <v>0</v>
      </c>
      <c r="M102" s="15">
        <f t="shared" si="4"/>
        <v>0</v>
      </c>
      <c r="N102" s="15">
        <f t="shared" si="5"/>
        <v>0</v>
      </c>
    </row>
    <row r="103" spans="3:14">
      <c r="C103" s="8" t="s">
        <v>22</v>
      </c>
      <c r="D103" s="19"/>
      <c r="E103" s="10" t="s">
        <v>16</v>
      </c>
      <c r="F103" s="11">
        <v>56.666670000000003</v>
      </c>
      <c r="G103" s="11">
        <v>19.66384</v>
      </c>
      <c r="H103" s="12">
        <v>56.666670000000003</v>
      </c>
      <c r="I103" s="13">
        <v>19.663841999999999</v>
      </c>
      <c r="J103" s="14">
        <v>56.666670000000003</v>
      </c>
      <c r="K103" s="14">
        <v>19.66384</v>
      </c>
      <c r="L103" s="15">
        <f t="shared" si="3"/>
        <v>0</v>
      </c>
      <c r="M103" s="15">
        <f t="shared" si="4"/>
        <v>0</v>
      </c>
      <c r="N103" s="15">
        <f t="shared" si="5"/>
        <v>0</v>
      </c>
    </row>
    <row r="104" spans="3:14">
      <c r="C104" s="8" t="s">
        <v>22</v>
      </c>
      <c r="D104" s="20"/>
      <c r="E104" s="10" t="s">
        <v>17</v>
      </c>
      <c r="F104" s="11">
        <v>50</v>
      </c>
      <c r="G104" s="11">
        <v>10.95445</v>
      </c>
      <c r="H104" s="12">
        <v>50</v>
      </c>
      <c r="I104" s="13">
        <v>10.954451000000001</v>
      </c>
      <c r="J104" s="14">
        <v>50</v>
      </c>
      <c r="K104" s="14">
        <v>10.95445</v>
      </c>
      <c r="L104" s="15">
        <f t="shared" si="3"/>
        <v>0</v>
      </c>
      <c r="M104" s="15">
        <f t="shared" si="4"/>
        <v>0</v>
      </c>
      <c r="N104" s="15">
        <f t="shared" si="5"/>
        <v>0</v>
      </c>
    </row>
  </sheetData>
  <dataConsolidate/>
  <mergeCells count="27">
    <mergeCell ref="D93:D96"/>
    <mergeCell ref="D97:D100"/>
    <mergeCell ref="D101:D104"/>
    <mergeCell ref="D69:D72"/>
    <mergeCell ref="D73:D76"/>
    <mergeCell ref="D77:D80"/>
    <mergeCell ref="D81:D84"/>
    <mergeCell ref="D85:D88"/>
    <mergeCell ref="D89:D92"/>
    <mergeCell ref="D45:D48"/>
    <mergeCell ref="D49:D52"/>
    <mergeCell ref="D53:D56"/>
    <mergeCell ref="D57:D60"/>
    <mergeCell ref="D61:D64"/>
    <mergeCell ref="D65:D68"/>
    <mergeCell ref="D21:D24"/>
    <mergeCell ref="D25:D28"/>
    <mergeCell ref="D29:D32"/>
    <mergeCell ref="D33:D36"/>
    <mergeCell ref="D37:D40"/>
    <mergeCell ref="D41:D44"/>
    <mergeCell ref="L2:O2"/>
    <mergeCell ref="L3:N3"/>
    <mergeCell ref="D5:D8"/>
    <mergeCell ref="D9:D12"/>
    <mergeCell ref="D13:D16"/>
    <mergeCell ref="D17:D20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Switching and Reversal Assays</vt:lpstr>
      <vt:lpstr>% change</vt:lpstr>
    </vt:vector>
  </TitlesOfParts>
  <Company>Technology Services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2017-03-11T01:11:47Z</dcterms:created>
  <dcterms:modified xsi:type="dcterms:W3CDTF">2017-03-11T01:17:39Z</dcterms:modified>
</cp:coreProperties>
</file>