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drawings/drawing2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drawings/drawing3.xml" ContentType="application/vnd.openxmlformats-officedocument.drawing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V:\01_projecten\Lopend\2018_H2020_LIAISON_8696\06_Onderzoek\03_Work Package 3\06_Light Touch Reviews\01_Preparation\Data Gathering Template\"/>
    </mc:Choice>
  </mc:AlternateContent>
  <workbookProtection workbookAlgorithmName="SHA-512" workbookHashValue="8DJkL18ypfJI9whcNLZ/hCQsSZf4Xtv51iC18sIDh1F39oTLs3b0T7y1pujIlEhvSCT9FUF2ZrVtG9f+PkuOaw==" workbookSaltValue="miPjyQHK38m1dMqpHKmvtQ==" workbookSpinCount="100000" lockStructure="1"/>
  <bookViews>
    <workbookView xWindow="0" yWindow="0" windowWidth="25200" windowHeight="11850" activeTab="2"/>
  </bookViews>
  <sheets>
    <sheet name="1. Desk Study" sheetId="1" r:id="rId1"/>
    <sheet name="2. Telephone call" sheetId="18" r:id="rId2"/>
    <sheet name="3. After the interview" sheetId="19" r:id="rId3"/>
    <sheet name="Compiled format" sheetId="2" state="hidden" r:id="rId4"/>
    <sheet name="Practical" sheetId="20" state="hidden" r:id="rId5"/>
    <sheet name="Results for involved countries" sheetId="15" state="hidden" r:id="rId6"/>
    <sheet name="Lists" sheetId="14" state="hidden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2" l="1"/>
  <c r="B52" i="1"/>
  <c r="B59" i="1"/>
  <c r="E2" i="20"/>
  <c r="D2" i="20"/>
  <c r="C2" i="20"/>
  <c r="B2" i="20"/>
  <c r="A2" i="20"/>
  <c r="B5" i="19"/>
  <c r="CV4" i="2"/>
  <c r="DE4" i="2"/>
  <c r="DD4" i="2"/>
  <c r="DC4" i="2"/>
  <c r="DB4" i="2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D4" i="2"/>
  <c r="CE4" i="2"/>
  <c r="CC4" i="2"/>
  <c r="CB4" i="2"/>
  <c r="CA4" i="2"/>
  <c r="BZ4" i="2"/>
  <c r="BY4" i="2"/>
  <c r="BU4" i="2"/>
  <c r="BX4" i="2"/>
  <c r="BW4" i="2"/>
  <c r="BV4" i="2"/>
  <c r="BT4" i="2"/>
  <c r="BS4" i="2"/>
  <c r="BR4" i="2"/>
  <c r="BQ4" i="2"/>
  <c r="BP4" i="2"/>
  <c r="BO4" i="2"/>
  <c r="BN4" i="2"/>
  <c r="BM4" i="2"/>
  <c r="BK4" i="2"/>
  <c r="BH4" i="2"/>
  <c r="BL4" i="2"/>
  <c r="BJ4" i="2"/>
  <c r="BI4" i="2"/>
  <c r="BG4" i="2"/>
  <c r="BF4" i="2"/>
  <c r="BE4" i="2"/>
  <c r="BD4" i="2"/>
  <c r="BC4" i="2"/>
  <c r="BB4" i="2"/>
  <c r="BA4" i="2"/>
  <c r="AZ4" i="2"/>
  <c r="AY4" i="2"/>
  <c r="AX4" i="2"/>
  <c r="AW4" i="2"/>
  <c r="AV4" i="2"/>
  <c r="AT4" i="2"/>
  <c r="V4" i="2"/>
  <c r="Z4" i="2"/>
  <c r="X4" i="2"/>
  <c r="Q4" i="2"/>
  <c r="P4" i="2"/>
  <c r="O4" i="2"/>
  <c r="K4" i="2" l="1"/>
  <c r="AG4" i="2"/>
  <c r="AD4" i="2"/>
  <c r="AA4" i="2"/>
  <c r="AU4" i="2"/>
  <c r="AI4" i="2"/>
  <c r="AH4" i="2"/>
  <c r="AF4" i="2"/>
  <c r="AE4" i="2"/>
  <c r="AC4" i="2"/>
  <c r="AB4" i="2"/>
  <c r="U4" i="2"/>
  <c r="R4" i="2"/>
  <c r="N4" i="2"/>
  <c r="M4" i="2"/>
  <c r="L4" i="2"/>
  <c r="J4" i="2"/>
  <c r="I4" i="2"/>
  <c r="H4" i="2"/>
  <c r="G4" i="2"/>
  <c r="F4" i="2"/>
  <c r="E4" i="2"/>
  <c r="D4" i="2"/>
  <c r="C4" i="2"/>
  <c r="B4" i="2"/>
  <c r="B88" i="18" l="1"/>
  <c r="B87" i="18"/>
  <c r="B86" i="18"/>
  <c r="B85" i="18"/>
  <c r="B84" i="18"/>
  <c r="B36" i="18" l="1"/>
  <c r="B20" i="18" l="1"/>
  <c r="B18" i="18"/>
  <c r="B25" i="1"/>
  <c r="B21" i="1"/>
  <c r="B16" i="18"/>
  <c r="B14" i="18"/>
  <c r="B13" i="18"/>
  <c r="B12" i="18"/>
  <c r="B10" i="18"/>
  <c r="B8" i="18"/>
  <c r="B6" i="18"/>
  <c r="B66" i="1" l="1"/>
  <c r="B58" i="1"/>
  <c r="B54" i="1"/>
  <c r="B43" i="1"/>
  <c r="B16" i="19" l="1"/>
  <c r="B14" i="19"/>
  <c r="B8" i="19"/>
  <c r="B112" i="18"/>
  <c r="B111" i="18"/>
  <c r="B110" i="18"/>
  <c r="B105" i="18"/>
  <c r="B103" i="18"/>
  <c r="B101" i="18"/>
  <c r="B100" i="18"/>
  <c r="B98" i="18"/>
  <c r="B95" i="18"/>
  <c r="B92" i="18"/>
  <c r="B90" i="18"/>
  <c r="B78" i="18"/>
  <c r="B74" i="18"/>
  <c r="B72" i="18"/>
  <c r="B71" i="18"/>
  <c r="B70" i="18"/>
  <c r="B69" i="18"/>
  <c r="B63" i="18"/>
  <c r="B62" i="18"/>
  <c r="B49" i="18"/>
  <c r="B57" i="18"/>
  <c r="B65" i="18"/>
  <c r="B45" i="18"/>
  <c r="B51" i="18"/>
  <c r="B47" i="18"/>
  <c r="B54" i="18"/>
  <c r="B53" i="18"/>
  <c r="B28" i="18"/>
  <c r="B27" i="18"/>
  <c r="B32" i="18"/>
  <c r="B31" i="18"/>
  <c r="B25" i="18"/>
  <c r="B48" i="1" l="1"/>
  <c r="B47" i="1"/>
  <c r="B41" i="1"/>
  <c r="B36" i="1"/>
  <c r="B31" i="1"/>
  <c r="B18" i="1"/>
  <c r="B17" i="1"/>
  <c r="B15" i="1"/>
  <c r="B13" i="1"/>
  <c r="B11" i="1"/>
  <c r="B10" i="1"/>
  <c r="B9" i="1"/>
  <c r="B7" i="1"/>
  <c r="B6" i="1"/>
  <c r="B33" i="15" l="1"/>
  <c r="S4" i="2" s="1"/>
</calcChain>
</file>

<file path=xl/sharedStrings.xml><?xml version="1.0" encoding="utf-8"?>
<sst xmlns="http://schemas.openxmlformats.org/spreadsheetml/2006/main" count="614" uniqueCount="473">
  <si>
    <t>Date of interview</t>
  </si>
  <si>
    <t>Method</t>
  </si>
  <si>
    <t>Did you record the interview?</t>
  </si>
  <si>
    <t>#</t>
  </si>
  <si>
    <t>Skype</t>
  </si>
  <si>
    <t>Yes</t>
  </si>
  <si>
    <t>Domain</t>
  </si>
  <si>
    <t>Project name (if any)</t>
  </si>
  <si>
    <t>A.1</t>
  </si>
  <si>
    <t>A.2</t>
  </si>
  <si>
    <t>A.3</t>
  </si>
  <si>
    <t>A.4</t>
  </si>
  <si>
    <t>Nature of the project</t>
  </si>
  <si>
    <t>Geographical coverage:</t>
  </si>
  <si>
    <t>International funding (non-EU)</t>
  </si>
  <si>
    <t xml:space="preserve">EU project funding </t>
  </si>
  <si>
    <t>No</t>
  </si>
  <si>
    <t>Financing of the project</t>
  </si>
  <si>
    <t>Project consortium</t>
  </si>
  <si>
    <t>Gender</t>
  </si>
  <si>
    <t>Novelty level</t>
  </si>
  <si>
    <t>Status of project</t>
  </si>
  <si>
    <t xml:space="preserve">planned or just started </t>
  </si>
  <si>
    <t>on-going with no outcomes available</t>
  </si>
  <si>
    <t>on-going with some outcomes available</t>
  </si>
  <si>
    <t>finished with proven effects</t>
  </si>
  <si>
    <t>finished with no proven effects</t>
  </si>
  <si>
    <t>not sure</t>
  </si>
  <si>
    <t>Nationalities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</si>
  <si>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</si>
  <si>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</si>
  <si>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</si>
  <si>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</si>
  <si>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</si>
  <si>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</si>
  <si>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</si>
  <si>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</si>
  <si>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</si>
  <si>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</si>
  <si>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</si>
  <si>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</si>
  <si>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</si>
  <si>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</si>
  <si>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</si>
  <si>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</si>
  <si>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</si>
  <si>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</si>
  <si>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MT</t>
  </si>
  <si>
    <t>NL</t>
  </si>
  <si>
    <t>PT</t>
  </si>
  <si>
    <t>RO</t>
  </si>
  <si>
    <t>SK</t>
  </si>
  <si>
    <t>SI</t>
  </si>
  <si>
    <t>ES</t>
  </si>
  <si>
    <t>SE</t>
  </si>
  <si>
    <t>UK</t>
  </si>
  <si>
    <t>CH</t>
  </si>
  <si>
    <t>NO</t>
  </si>
  <si>
    <t>Other</t>
  </si>
  <si>
    <t>Domains</t>
  </si>
  <si>
    <t>agriculture</t>
  </si>
  <si>
    <t>forestry</t>
  </si>
  <si>
    <t>rural development</t>
  </si>
  <si>
    <t>Female</t>
  </si>
  <si>
    <t>Male</t>
  </si>
  <si>
    <t>Geographical coverage</t>
  </si>
  <si>
    <t>Local</t>
  </si>
  <si>
    <t>Regional</t>
  </si>
  <si>
    <t>National</t>
  </si>
  <si>
    <t>Multinational</t>
  </si>
  <si>
    <t>Other:</t>
  </si>
  <si>
    <t>MS</t>
  </si>
  <si>
    <t>Cell link for question on nationalities involved</t>
  </si>
  <si>
    <t>PL</t>
  </si>
  <si>
    <t>Total</t>
  </si>
  <si>
    <t>Not relevant</t>
  </si>
  <si>
    <t>Yes/No answers</t>
  </si>
  <si>
    <t>Type of funding</t>
  </si>
  <si>
    <t xml:space="preserve">OR </t>
  </si>
  <si>
    <t>Formal cooperation type</t>
  </si>
  <si>
    <t>formal network</t>
  </si>
  <si>
    <t>project consortium</t>
  </si>
  <si>
    <t>cooperative</t>
  </si>
  <si>
    <t>voluntary cooperation</t>
  </si>
  <si>
    <t>Informal cooperation type</t>
  </si>
  <si>
    <t>Current status</t>
  </si>
  <si>
    <t>Cooperation type (please check the right box)</t>
  </si>
  <si>
    <t>A.4.1</t>
  </si>
  <si>
    <t xml:space="preserve"> Project identifiers</t>
  </si>
  <si>
    <t>B.1</t>
  </si>
  <si>
    <t>B.2</t>
  </si>
  <si>
    <t>Does the project fall under a specific policy framework or programme?</t>
  </si>
  <si>
    <t>B.3</t>
  </si>
  <si>
    <r>
      <t xml:space="preserve">If </t>
    </r>
    <r>
      <rPr>
        <b/>
        <i/>
        <u/>
        <sz val="11"/>
        <color theme="1"/>
        <rFont val="Arial Narrow"/>
        <family val="2"/>
      </rPr>
      <t>multinational</t>
    </r>
    <r>
      <rPr>
        <b/>
        <i/>
        <sz val="11"/>
        <color theme="1"/>
        <rFont val="Arial Narrow"/>
        <family val="2"/>
      </rPr>
      <t>, could you indicate the nationalities involved by checking the boxes?</t>
    </r>
  </si>
  <si>
    <r>
      <t xml:space="preserve">If </t>
    </r>
    <r>
      <rPr>
        <b/>
        <i/>
        <u/>
        <sz val="11"/>
        <color theme="1"/>
        <rFont val="Arial Narrow"/>
        <family val="2"/>
      </rPr>
      <t>yes</t>
    </r>
    <r>
      <rPr>
        <b/>
        <i/>
        <sz val="11"/>
        <color theme="1"/>
        <rFont val="Arial Narrow"/>
        <family val="2"/>
      </rPr>
      <t>, could you please specify which policy framework or programme?</t>
    </r>
  </si>
  <si>
    <r>
      <t xml:space="preserve"> If </t>
    </r>
    <r>
      <rPr>
        <b/>
        <i/>
        <u/>
        <sz val="11"/>
        <color theme="1"/>
        <rFont val="Arial Narrow"/>
        <family val="2"/>
      </rPr>
      <t>yes</t>
    </r>
    <r>
      <rPr>
        <b/>
        <i/>
        <sz val="11"/>
        <color theme="1"/>
        <rFont val="Arial Narrow"/>
        <family val="2"/>
      </rPr>
      <t>, how was it co-financed?</t>
    </r>
  </si>
  <si>
    <t>B.4</t>
  </si>
  <si>
    <t>Funding source</t>
  </si>
  <si>
    <t>Funding</t>
  </si>
  <si>
    <t>Public</t>
  </si>
  <si>
    <t>Public-private</t>
  </si>
  <si>
    <t>Private</t>
  </si>
  <si>
    <t>No funding/alternative type of funding</t>
  </si>
  <si>
    <t>National research funds</t>
  </si>
  <si>
    <t>National RDP funding</t>
  </si>
  <si>
    <t>Not applicable</t>
  </si>
  <si>
    <t>Name of the funding source</t>
  </si>
  <si>
    <r>
      <t xml:space="preserve">If </t>
    </r>
    <r>
      <rPr>
        <b/>
        <u/>
        <sz val="11"/>
        <color theme="1"/>
        <rFont val="Arial Narrow"/>
        <family val="2"/>
      </rPr>
      <t>public</t>
    </r>
    <r>
      <rPr>
        <b/>
        <sz val="11"/>
        <color theme="1"/>
        <rFont val="Arial Narrow"/>
        <family val="2"/>
      </rPr>
      <t>, could you indicate in the dropdownlist the exact source of funding?</t>
    </r>
  </si>
  <si>
    <t>Gender balance</t>
  </si>
  <si>
    <t>More men than women</t>
  </si>
  <si>
    <t>More women than men</t>
  </si>
  <si>
    <t>More or less equal</t>
  </si>
  <si>
    <t>B.4.1</t>
  </si>
  <si>
    <t>B.4.2</t>
  </si>
  <si>
    <t>How is/was the gender balance in the project team?</t>
  </si>
  <si>
    <t>Did you have to co-finance (part of) the project?</t>
  </si>
  <si>
    <t>Innovation spiral</t>
  </si>
  <si>
    <t>Initial idea</t>
  </si>
  <si>
    <t>Inspiration phase</t>
  </si>
  <si>
    <t>Planning phase</t>
  </si>
  <si>
    <t>Development phase</t>
  </si>
  <si>
    <t>Realisation phase</t>
  </si>
  <si>
    <t>Dissemination phase</t>
  </si>
  <si>
    <t>Embedding phase</t>
  </si>
  <si>
    <t>Not sure</t>
  </si>
  <si>
    <t>Based on the listed activities, where would you locate the project in the innovation spiral?</t>
  </si>
  <si>
    <t>Pathways for innovation support</t>
  </si>
  <si>
    <t>Pathway 1 - Capturing, articulating and nurturing 'New Ideas'</t>
  </si>
  <si>
    <t>Pathway 2 - Building the capacity of innovation actors</t>
  </si>
  <si>
    <t>Pathway 3 - Dissemination and the embedding of effective innovations</t>
  </si>
  <si>
    <t>Pathway 4 - Improving the 'Enabling Environment' for innovation</t>
  </si>
  <si>
    <t>A combination of different pathways</t>
  </si>
  <si>
    <t>Innovation types</t>
  </si>
  <si>
    <t>Product innovation</t>
  </si>
  <si>
    <t>Process innovation</t>
  </si>
  <si>
    <t>Organisational innovation</t>
  </si>
  <si>
    <t>Marketing innovation</t>
  </si>
  <si>
    <t>Social innovation</t>
  </si>
  <si>
    <t>Change which improves the effectiveness of the work on the farm or rural process, but will not render new jobs, forms of cooperation, services, products or additional income</t>
  </si>
  <si>
    <t>Change which leads to increased yield, profit and competitiveness, but will not render new jobs or new forms of cooperation</t>
  </si>
  <si>
    <t>Change which rendered the creation of new jobs, new forms of cooperation, new products and services or additional income</t>
  </si>
  <si>
    <t>C.1</t>
  </si>
  <si>
    <t>C.2</t>
  </si>
  <si>
    <t>C.3</t>
  </si>
  <si>
    <t>C.4</t>
  </si>
  <si>
    <t>C.5</t>
  </si>
  <si>
    <t>D.1</t>
  </si>
  <si>
    <t>Project partnership</t>
  </si>
  <si>
    <t>D.2</t>
  </si>
  <si>
    <t xml:space="preserve">Cooperation during the project </t>
  </si>
  <si>
    <t>D.3</t>
  </si>
  <si>
    <t>Project performance</t>
  </si>
  <si>
    <t>Did you have access to the right information?</t>
  </si>
  <si>
    <t>Was the right information available?</t>
  </si>
  <si>
    <t>How effective are/were the applied mechanisms, in your opinion?</t>
  </si>
  <si>
    <t>D.4</t>
  </si>
  <si>
    <t>Project outcomes</t>
  </si>
  <si>
    <t>D.5</t>
  </si>
  <si>
    <t>Evaluation of the project</t>
  </si>
  <si>
    <t>What kind of follow up or next steps are planned after the finalisation of the project?</t>
  </si>
  <si>
    <t>Thank you for your time!
The LIAISON team</t>
  </si>
  <si>
    <t>Would you be interested/willing in becoming a LIAISON case study?</t>
  </si>
  <si>
    <t>Can we refer to the project by name?</t>
  </si>
  <si>
    <t>What are the main lessons you take home from this experience (so far)?</t>
  </si>
  <si>
    <t>Effectivity</t>
  </si>
  <si>
    <t>Very effective</t>
  </si>
  <si>
    <t>Effective</t>
  </si>
  <si>
    <t>Somewhat effective</t>
  </si>
  <si>
    <t>Not so effective</t>
  </si>
  <si>
    <t>Uneffective</t>
  </si>
  <si>
    <t>Country of residence of coordinator</t>
  </si>
  <si>
    <t>Practical questions</t>
  </si>
  <si>
    <t>Project website (if available)</t>
  </si>
  <si>
    <t>Type of interview</t>
  </si>
  <si>
    <t>Telephone</t>
  </si>
  <si>
    <t>Face-to-face</t>
  </si>
  <si>
    <t>Individual farmer or forester</t>
  </si>
  <si>
    <t>Adviser</t>
  </si>
  <si>
    <t xml:space="preserve">Researcher </t>
  </si>
  <si>
    <t>Business</t>
  </si>
  <si>
    <t>Public body</t>
  </si>
  <si>
    <t xml:space="preserve">NGO </t>
  </si>
  <si>
    <t xml:space="preserve">Education </t>
  </si>
  <si>
    <t>Lead partner type</t>
  </si>
  <si>
    <t>What is the total value of the project? (in €)</t>
  </si>
  <si>
    <r>
      <t xml:space="preserve">Which types of organisations are/were involved? 
</t>
    </r>
    <r>
      <rPr>
        <i/>
        <sz val="11"/>
        <color theme="1"/>
        <rFont val="Arial Narrow"/>
        <family val="2"/>
      </rPr>
      <t>(Please tick the applicable boxes)</t>
    </r>
  </si>
  <si>
    <t>Other, i.e.:</t>
  </si>
  <si>
    <t>Organisation of the LIAISON partner</t>
  </si>
  <si>
    <t>Region (only if relevant)</t>
  </si>
  <si>
    <t>FORMAL (if there is a signed document)</t>
  </si>
  <si>
    <t>INFORMAL (all other cases)</t>
  </si>
  <si>
    <t>What is/was the most significant bottleneck or challenge during the project?</t>
  </si>
  <si>
    <t>Would you like to be updated on the progress of the LIAISON project? (Newsletter, events, etc.)</t>
  </si>
  <si>
    <t>In your interpretation, how would you assess the level of co-creation within the project?</t>
  </si>
  <si>
    <t xml:space="preserve">What is your main impression of this case: 
Which are the three key elements that we should take along in further analysis? </t>
  </si>
  <si>
    <t>Data Entry Form for the LIAISON Light touch Reviews - STEP 1: Desk Study</t>
  </si>
  <si>
    <t xml:space="preserve">Data Entry Form for the LIAISON Light touch Reviews - STEP 2: Telephone call </t>
  </si>
  <si>
    <t>Data Entry Form for the LIAISON Light touch Reviews - STEP 3: After the interview</t>
  </si>
  <si>
    <t>Type of challenge</t>
  </si>
  <si>
    <t>Biodiversity/nature/landscape management</t>
  </si>
  <si>
    <t>Animal health &amp; welfare</t>
  </si>
  <si>
    <t>Plant pest and disease treatment</t>
  </si>
  <si>
    <t>Climate change</t>
  </si>
  <si>
    <t>Resource management - Water</t>
  </si>
  <si>
    <t>Resource management - Energy</t>
  </si>
  <si>
    <t>Resource management - Waste/side stream valorisation</t>
  </si>
  <si>
    <t>Resource management - Soil</t>
  </si>
  <si>
    <t>Resource management - Nutrients</t>
  </si>
  <si>
    <t>Food safety/product quality - Food safety</t>
  </si>
  <si>
    <t>Food safety/product quality - Nutritional value</t>
  </si>
  <si>
    <t>Food safety/product quality - Product quality</t>
  </si>
  <si>
    <t>Pollution - Water pollution</t>
  </si>
  <si>
    <t>Pollution - Soil pollution</t>
  </si>
  <si>
    <t>Pollution - Air quality</t>
  </si>
  <si>
    <t>Pollution - Emissions control (chemicals)</t>
  </si>
  <si>
    <t>Socio-economic sustainability/competitiveness - labour management</t>
  </si>
  <si>
    <t>Socio-economic sustainability/competitiveness - occupational safety</t>
  </si>
  <si>
    <t>Socio-economic sustainability/competitiveness - cost reduction</t>
  </si>
  <si>
    <t>Socio-economic sustainability/competitiveness - benchmarking</t>
  </si>
  <si>
    <t>Socio-economic sustainability/competitiveness - ergonomics</t>
  </si>
  <si>
    <t>Socio-economic sustainability/competitiveness - Intergenerational renewal</t>
  </si>
  <si>
    <t>1.</t>
  </si>
  <si>
    <t>2.</t>
  </si>
  <si>
    <t>3.</t>
  </si>
  <si>
    <r>
      <t xml:space="preserve">Type of solution proposed by the project 
</t>
    </r>
    <r>
      <rPr>
        <i/>
        <sz val="11"/>
        <color theme="1"/>
        <rFont val="Arial Narrow"/>
        <family val="2"/>
      </rPr>
      <t>(Please select the one that closest describes it)</t>
    </r>
  </si>
  <si>
    <t>Solutions</t>
  </si>
  <si>
    <t>Production changes - new business models/diversification</t>
  </si>
  <si>
    <t>New technology solutions - physical infrastructure</t>
  </si>
  <si>
    <t>Production changes - new production practice/methods</t>
  </si>
  <si>
    <t>New technology solutions - digital based solutions</t>
  </si>
  <si>
    <t>Value chain innovations - value/supply chain optimisation</t>
  </si>
  <si>
    <t>Value chain innovations - logistics and distributions</t>
  </si>
  <si>
    <t>Value chain innovations - new product development/introduction</t>
  </si>
  <si>
    <t>Value chain innovations - certification, standardisation, quality assurance framework</t>
  </si>
  <si>
    <t>Value chain innovations - branding, marketing, promoting and communication</t>
  </si>
  <si>
    <t>In case you would like to clarify your answer, insert your comment here:</t>
  </si>
  <si>
    <t>Processing or marketing SME</t>
  </si>
  <si>
    <t>Name of the LIAISON partner doing the interview</t>
  </si>
  <si>
    <t>Scale</t>
  </si>
  <si>
    <t>To a great extent</t>
  </si>
  <si>
    <t>To some extent</t>
  </si>
  <si>
    <t>To a small extent</t>
  </si>
  <si>
    <t>Not at all</t>
  </si>
  <si>
    <t>Not successful at all</t>
  </si>
  <si>
    <t>Scale 2</t>
  </si>
  <si>
    <t>Scale 3</t>
  </si>
  <si>
    <t xml:space="preserve">High </t>
  </si>
  <si>
    <t>Medium</t>
  </si>
  <si>
    <t>Low</t>
  </si>
  <si>
    <t>Could you shortly motivate your answer?</t>
  </si>
  <si>
    <t xml:space="preserve">        Pathway 1 - Capturing, articulating and nurturing 'New Ideas'</t>
  </si>
  <si>
    <t xml:space="preserve">        Pathway 2 - Building the capacity of innovation actors</t>
  </si>
  <si>
    <t xml:space="preserve">      Pathway 3 - Dissemination and the embedding of effective innovations</t>
  </si>
  <si>
    <t xml:space="preserve">      Pathway 4 - Improving the 'Enabling Environment' for innovation</t>
  </si>
  <si>
    <r>
      <t xml:space="preserve">Which of the four pathways is supported by these activities in the project?
</t>
    </r>
    <r>
      <rPr>
        <i/>
        <sz val="11"/>
        <color theme="1"/>
        <rFont val="Arial Narrow"/>
        <family val="2"/>
      </rPr>
      <t>Please tick the right box, multiple selections are possible</t>
    </r>
  </si>
  <si>
    <t>Type of agriculture/forestry</t>
  </si>
  <si>
    <t>Type of agriculture/forestry/rural development</t>
  </si>
  <si>
    <t>Mixed farming</t>
  </si>
  <si>
    <t>Conventional farming</t>
  </si>
  <si>
    <t>Organic farming</t>
  </si>
  <si>
    <t>Agro-ecology</t>
  </si>
  <si>
    <t>Integrated pest management/reduced inputs</t>
  </si>
  <si>
    <t>Conservation agriculture</t>
  </si>
  <si>
    <t>Circular agriculture</t>
  </si>
  <si>
    <t>Bio-based production</t>
  </si>
  <si>
    <t>Agro-forestry</t>
  </si>
  <si>
    <t>Forestry</t>
  </si>
  <si>
    <r>
      <t xml:space="preserve">If </t>
    </r>
    <r>
      <rPr>
        <b/>
        <i/>
        <u/>
        <sz val="11"/>
        <color theme="1"/>
        <rFont val="Arial Narrow"/>
        <family val="2"/>
      </rPr>
      <t>other</t>
    </r>
    <r>
      <rPr>
        <b/>
        <i/>
        <sz val="11"/>
        <color theme="1"/>
        <rFont val="Arial Narrow"/>
        <family val="2"/>
      </rPr>
      <t>, please specify:</t>
    </r>
  </si>
  <si>
    <r>
      <t xml:space="preserve">Type of challenges tackled by the project 
</t>
    </r>
    <r>
      <rPr>
        <i/>
        <sz val="11"/>
        <color theme="1"/>
        <rFont val="Arial Narrow"/>
        <family val="2"/>
      </rPr>
      <t>(Please select up to three challenges best describing the project)</t>
    </r>
  </si>
  <si>
    <t xml:space="preserve">recognised legal entity </t>
  </si>
  <si>
    <t xml:space="preserve">other </t>
  </si>
  <si>
    <t>other</t>
  </si>
  <si>
    <t>informal network</t>
  </si>
  <si>
    <t>Please specify the type further if possible (only for the one selected)</t>
  </si>
  <si>
    <t>What type of organisation is the lead partner?</t>
  </si>
  <si>
    <t>How many partner organisations are/were in the consortium?</t>
  </si>
  <si>
    <r>
      <t xml:space="preserve">If </t>
    </r>
    <r>
      <rPr>
        <b/>
        <i/>
        <u/>
        <sz val="11"/>
        <color theme="1"/>
        <rFont val="Calibri"/>
        <family val="2"/>
        <scheme val="minor"/>
      </rPr>
      <t>yes</t>
    </r>
    <r>
      <rPr>
        <b/>
        <i/>
        <sz val="11"/>
        <color theme="1"/>
        <rFont val="Calibri"/>
        <family val="2"/>
        <scheme val="minor"/>
      </rPr>
      <t>, could you identify which projects or iniatives and explain the link with your project? (max. 100 words)</t>
    </r>
  </si>
  <si>
    <r>
      <t xml:space="preserve">If </t>
    </r>
    <r>
      <rPr>
        <b/>
        <i/>
        <u/>
        <sz val="11"/>
        <color theme="1"/>
        <rFont val="Calibri"/>
        <family val="2"/>
        <scheme val="minor"/>
      </rPr>
      <t>yes</t>
    </r>
    <r>
      <rPr>
        <b/>
        <i/>
        <sz val="11"/>
        <color theme="1"/>
        <rFont val="Calibri"/>
        <family val="2"/>
        <scheme val="minor"/>
      </rPr>
      <t xml:space="preserve">, could you specify what type of external help? (max. 20 words) </t>
    </r>
  </si>
  <si>
    <r>
      <t xml:space="preserve">If </t>
    </r>
    <r>
      <rPr>
        <b/>
        <i/>
        <u/>
        <sz val="11"/>
        <color theme="1"/>
        <rFont val="Arial Narrow"/>
        <family val="2"/>
      </rPr>
      <t>yes</t>
    </r>
    <r>
      <rPr>
        <b/>
        <i/>
        <sz val="11"/>
        <color theme="1"/>
        <rFont val="Arial Narrow"/>
        <family val="2"/>
      </rPr>
      <t>, could you elaborate why you think this is the case? (max. 100 words)</t>
    </r>
  </si>
  <si>
    <t>Were some or all partners involved in setting and defining the targets and objectives of the project?</t>
  </si>
  <si>
    <t>Any other comment you would like to add on information? 
(if relevant)</t>
  </si>
  <si>
    <t>What kind of information and from whom will/did you need to bring your project to a successful end?</t>
  </si>
  <si>
    <t xml:space="preserve"> </t>
  </si>
  <si>
    <t xml:space="preserve">Looking back, do you think that some potentially relevant actors were excluded? </t>
  </si>
  <si>
    <t>Who took charge of the proposal writing process and why? 
(if relevant)</t>
  </si>
  <si>
    <t>Role of the interviewee in the project</t>
  </si>
  <si>
    <t>Type of organisation</t>
  </si>
  <si>
    <t>Representative/supporting organisation</t>
  </si>
  <si>
    <t>Processing or marketing producer organisation</t>
  </si>
  <si>
    <t>Gender of the interviewee</t>
  </si>
  <si>
    <t>Did you get an informed consent either orally or in writing?</t>
  </si>
  <si>
    <t>Informed consent</t>
  </si>
  <si>
    <t>Yes, I got an oral agreement</t>
  </si>
  <si>
    <t>Yes, I have a signed agreement which I stored in a secure place</t>
  </si>
  <si>
    <t>Was any external help (e.g. an innovation broker) involved in the process?</t>
  </si>
  <si>
    <t>Does your initiative or project have a link to other projects or initiatives?</t>
  </si>
  <si>
    <t>To what extent is/was communication about the project/initiative outside the involved organisations of importance?</t>
  </si>
  <si>
    <r>
      <t xml:space="preserve">On a scale from 0 to 10, how do you evaluate the (potential) success of your project on the following topics:
</t>
    </r>
    <r>
      <rPr>
        <i/>
        <sz val="11"/>
        <color theme="1"/>
        <rFont val="Arial Narrow"/>
        <family val="2"/>
      </rPr>
      <t>(Please select the correct number from the drop down menu)</t>
    </r>
  </si>
  <si>
    <t>1. Innovation</t>
  </si>
  <si>
    <t>2. Research (acquiring new knowledge)</t>
  </si>
  <si>
    <t>3. Communication or outreach on the project</t>
  </si>
  <si>
    <t>Would you like to give any additional comments on this scoring?</t>
  </si>
  <si>
    <t xml:space="preserve">Project name </t>
  </si>
  <si>
    <t xml:space="preserve">Project website </t>
  </si>
  <si>
    <t xml:space="preserve">Start date </t>
  </si>
  <si>
    <t xml:space="preserve">End date </t>
  </si>
  <si>
    <t xml:space="preserve">Region </t>
  </si>
  <si>
    <t xml:space="preserve">Type of challenges tackled by the project 1
</t>
  </si>
  <si>
    <t xml:space="preserve">Type of challenges tackled by the project 2
</t>
  </si>
  <si>
    <t>Type of challenges tackled by the project 3</t>
  </si>
  <si>
    <t xml:space="preserve">Type of solution proposed by the project 
</t>
  </si>
  <si>
    <t>Project identifiers</t>
  </si>
  <si>
    <t>If multinational: No. Of countries covered</t>
  </si>
  <si>
    <t>Policy framework or programme</t>
  </si>
  <si>
    <t>Additional comment</t>
  </si>
  <si>
    <t>If public: Type of public funding</t>
  </si>
  <si>
    <t xml:space="preserve">If co-financed: </t>
  </si>
  <si>
    <r>
      <t xml:space="preserve">Please describe how this project or partnership involves multi-actor co-creation of innovation 
</t>
    </r>
    <r>
      <rPr>
        <i/>
        <sz val="11"/>
        <color theme="1"/>
        <rFont val="Arial Narrow"/>
        <family val="2"/>
      </rPr>
      <t>(Max. 100 words)</t>
    </r>
  </si>
  <si>
    <t>Project financing</t>
  </si>
  <si>
    <t>Step 1. Desk study</t>
  </si>
  <si>
    <t>Pre-interview factual information</t>
  </si>
  <si>
    <t xml:space="preserve">How was the project set up? 
</t>
  </si>
  <si>
    <t xml:space="preserve">How were partner organisations selected? 
</t>
  </si>
  <si>
    <t xml:space="preserve">If yes, could you elaborate why you think this is the case? </t>
  </si>
  <si>
    <t xml:space="preserve">If yes, could you specify what type of external help? </t>
  </si>
  <si>
    <r>
      <t xml:space="preserve">What were the reasons underpinning the selection of the project coordinator? 
</t>
    </r>
    <r>
      <rPr>
        <i/>
        <sz val="11"/>
        <color theme="1"/>
        <rFont val="Arial Narrow"/>
        <family val="2"/>
      </rPr>
      <t>(Max. 100 words)</t>
    </r>
  </si>
  <si>
    <r>
      <t xml:space="preserve">Which skills/capacities/knowledge/technologies were the decisive factors in the division of the work? 
</t>
    </r>
    <r>
      <rPr>
        <i/>
        <sz val="11"/>
        <color theme="1"/>
        <rFont val="Arial Narrow"/>
        <family val="2"/>
      </rPr>
      <t>(Max. 200 words)</t>
    </r>
  </si>
  <si>
    <r>
      <t xml:space="preserve">How was the cooperation and work division between partners formalised? 
For example, were there contracts, work plans, regulations, codes of conducts, etc.?
</t>
    </r>
    <r>
      <rPr>
        <i/>
        <sz val="11"/>
        <color theme="1"/>
        <rFont val="Arial Narrow"/>
        <family val="2"/>
      </rPr>
      <t>(Max. 100 words)</t>
    </r>
  </si>
  <si>
    <r>
      <t xml:space="preserve">How did you work together? Which tools or working methods did you use? 
</t>
    </r>
    <r>
      <rPr>
        <i/>
        <sz val="11"/>
        <color theme="1"/>
        <rFont val="Arial Narrow"/>
        <family val="2"/>
      </rPr>
      <t>(Max. 100 words)</t>
    </r>
  </si>
  <si>
    <t xml:space="preserve">What were the reasons underpinning the selection of the project coordinator? </t>
  </si>
  <si>
    <t xml:space="preserve">Which skills/capacities/knowledge/technologies were the decisive factors in the division of the work? 
</t>
  </si>
  <si>
    <t>How was the cooperation and work division between partners formalised? 
For example, were there contracts, work plans, regulations, codes of conducts, etc.?</t>
  </si>
  <si>
    <t xml:space="preserve">How did you work together? Which tools or working methods did you use? </t>
  </si>
  <si>
    <t xml:space="preserve">How does/did this balance affect the project in your opinion?  </t>
  </si>
  <si>
    <t xml:space="preserve">If partners were involved to a great, some or a small extent, How was their involvement organised? </t>
  </si>
  <si>
    <t xml:space="preserve">Which mechanisms are/were in place to stimulate knowledge and information exchange between the organisations involved? </t>
  </si>
  <si>
    <t xml:space="preserve">Overall, how would you evaluate the cooperation between the partners &amp; why? </t>
  </si>
  <si>
    <r>
      <t xml:space="preserve">Which mechanisms are/were in place to stimulate knowledge and information exchange between the organisations involved? 
</t>
    </r>
    <r>
      <rPr>
        <i/>
        <sz val="11"/>
        <color theme="1"/>
        <rFont val="Arial Narrow"/>
        <family val="2"/>
      </rPr>
      <t>(Max. 200 words)</t>
    </r>
  </si>
  <si>
    <t>Cooperation during the project</t>
  </si>
  <si>
    <t xml:space="preserve">If important to a great, some or a small extent, could you please explain your answer? </t>
  </si>
  <si>
    <t>Potential project success on: Innovation</t>
  </si>
  <si>
    <t>Potential project success on: Research (acquiring new knowledge)</t>
  </si>
  <si>
    <t>Potential project success on: Communication or outreach on the project</t>
  </si>
  <si>
    <t>Potential project success on: Initial ideas compared to what has been implemented during the project/initiative</t>
  </si>
  <si>
    <t>4. Initial ideas compared to what has been implemented during the project/initiative</t>
  </si>
  <si>
    <t xml:space="preserve">How is/was the success of the project measured by any external funder(s)? </t>
  </si>
  <si>
    <t>How do you evaluate the role of the policy environment in the success of your project?</t>
  </si>
  <si>
    <t xml:space="preserve">Succes factor 1
</t>
  </si>
  <si>
    <t xml:space="preserve">Succes factor 2
</t>
  </si>
  <si>
    <t xml:space="preserve">Succes factor 3
</t>
  </si>
  <si>
    <t xml:space="preserve">Why? </t>
  </si>
  <si>
    <t>Would you like to explain why? 
(Max. 100 words)</t>
  </si>
  <si>
    <t xml:space="preserve">How is/was it addressed? </t>
  </si>
  <si>
    <t>How is/was it addressed? 
(Max. 100 words)</t>
  </si>
  <si>
    <r>
      <t xml:space="preserve">What are the main lessons you take home from this experience (so far)? 
</t>
    </r>
    <r>
      <rPr>
        <i/>
        <sz val="11"/>
        <color theme="1"/>
        <rFont val="Arial Narrow"/>
        <family val="2"/>
      </rPr>
      <t>(Max. 50 words)</t>
    </r>
  </si>
  <si>
    <r>
      <t xml:space="preserve">What kind of follow up or next steps are planned after the finalisation of the project?
</t>
    </r>
    <r>
      <rPr>
        <i/>
        <sz val="11"/>
        <color theme="1"/>
        <rFont val="Arial Narrow"/>
        <family val="2"/>
      </rPr>
      <t>(Max. 50 words)</t>
    </r>
  </si>
  <si>
    <r>
      <t xml:space="preserve">How was the project set up? 
</t>
    </r>
    <r>
      <rPr>
        <i/>
        <sz val="11"/>
        <color theme="1"/>
        <rFont val="Arial Narrow"/>
        <family val="2"/>
      </rPr>
      <t>(Max .150 words)</t>
    </r>
  </si>
  <si>
    <r>
      <t xml:space="preserve">How were partner organisations selected? 
</t>
    </r>
    <r>
      <rPr>
        <i/>
        <sz val="11"/>
        <color theme="1"/>
        <rFont val="Arial Narrow"/>
        <family val="2"/>
      </rPr>
      <t>(Max. 150 words)</t>
    </r>
  </si>
  <si>
    <t xml:space="preserve">How does/did this balance affect the project in your opinion? 
(Max. 50 words) </t>
  </si>
  <si>
    <r>
      <t xml:space="preserve">If partners were involved </t>
    </r>
    <r>
      <rPr>
        <b/>
        <i/>
        <u/>
        <sz val="11"/>
        <color theme="1"/>
        <rFont val="Arial Narrow"/>
        <family val="2"/>
      </rPr>
      <t>to a great, some or a small extent</t>
    </r>
    <r>
      <rPr>
        <b/>
        <i/>
        <sz val="11"/>
        <color theme="1"/>
        <rFont val="Arial Narrow"/>
        <family val="2"/>
      </rPr>
      <t>, How was their involvement organised? (Max. 100 words)</t>
    </r>
  </si>
  <si>
    <r>
      <t xml:space="preserve">Overall, how would you evaluate the cooperation between the partners &amp; why? 
</t>
    </r>
    <r>
      <rPr>
        <i/>
        <sz val="11"/>
        <color theme="1"/>
        <rFont val="Arial Narrow"/>
        <family val="2"/>
      </rPr>
      <t>(Max. 100 words)</t>
    </r>
  </si>
  <si>
    <r>
      <rPr>
        <b/>
        <i/>
        <u/>
        <sz val="11"/>
        <color theme="1"/>
        <rFont val="Arial Narrow"/>
        <family val="2"/>
      </rPr>
      <t>If important to a great, some or a small extent</t>
    </r>
    <r>
      <rPr>
        <b/>
        <i/>
        <sz val="11"/>
        <color theme="1"/>
        <rFont val="Arial Narrow"/>
        <family val="2"/>
      </rPr>
      <t>, could you please explain your answer? (Max. 50 words)</t>
    </r>
  </si>
  <si>
    <r>
      <t xml:space="preserve">How do you evaluate the role of the policy environment in the success of your project?
</t>
    </r>
    <r>
      <rPr>
        <i/>
        <sz val="11"/>
        <color theme="1"/>
        <rFont val="Arial Narrow"/>
        <family val="2"/>
      </rPr>
      <t>(Max. 100 words)</t>
    </r>
  </si>
  <si>
    <t>Step 2. Telephone call</t>
  </si>
  <si>
    <t>Pathway 1</t>
  </si>
  <si>
    <t xml:space="preserve">Pathway 2 </t>
  </si>
  <si>
    <t xml:space="preserve">Pathway 3 </t>
  </si>
  <si>
    <t>Pathway 4</t>
  </si>
  <si>
    <r>
      <t xml:space="preserve">In your interpretation, how is the organisational nature of this project? 
</t>
    </r>
    <r>
      <rPr>
        <i/>
        <sz val="11"/>
        <color theme="1"/>
        <rFont val="Arial Narrow"/>
        <family val="2"/>
      </rPr>
      <t>(Max. 100 words)</t>
    </r>
  </si>
  <si>
    <t xml:space="preserve">In your interpretation, how is the organisational nature of this project? </t>
  </si>
  <si>
    <t>Element 1 for further analysis</t>
  </si>
  <si>
    <t>Element 2 for further analysis</t>
  </si>
  <si>
    <t>Element 3 for further analysis</t>
  </si>
  <si>
    <t>Further conceptual understanding about the project</t>
  </si>
  <si>
    <t>Step 3. After the interview</t>
  </si>
  <si>
    <t>If other, please specify:</t>
  </si>
  <si>
    <t>How many individual participants are involved?</t>
  </si>
  <si>
    <t>Type of innovation supported</t>
  </si>
  <si>
    <t xml:space="preserve">Type of innovation supported
</t>
  </si>
  <si>
    <t>If other type of innovation: specify</t>
  </si>
  <si>
    <t>Start date (if available &amp; relevant)</t>
  </si>
  <si>
    <t>End date (if available &amp; relevant)</t>
  </si>
  <si>
    <t xml:space="preserve">Informal Cooperation type </t>
  </si>
  <si>
    <t xml:space="preserve">Formal cooperation type </t>
  </si>
  <si>
    <t>Formal types explained</t>
  </si>
  <si>
    <t>Informal types explained</t>
  </si>
  <si>
    <t xml:space="preserve">Please describe how this project or partnership involves multi-actor co-creation of innovation 
</t>
  </si>
  <si>
    <t>Other (specific)</t>
  </si>
  <si>
    <t xml:space="preserve">If yes, could you identify which projects or iniatives and explain the link with your project? </t>
  </si>
  <si>
    <t xml:space="preserve">How do/did you monitor the performance of the project and on which parameters? </t>
  </si>
  <si>
    <t>Could you shortly motivate your answer? (Max. 100 words)</t>
  </si>
  <si>
    <t>Part A. Empirical indicators for the Desk Study</t>
  </si>
  <si>
    <t>A.1.1</t>
  </si>
  <si>
    <t>A.1.1a</t>
  </si>
  <si>
    <t>A.1.2</t>
  </si>
  <si>
    <t>A.1.3</t>
  </si>
  <si>
    <t>A.1.4</t>
  </si>
  <si>
    <t>A.1.5</t>
  </si>
  <si>
    <t>A.1.6</t>
  </si>
  <si>
    <t>A.1.7</t>
  </si>
  <si>
    <t>A.1.7.a</t>
  </si>
  <si>
    <t>A.1.8</t>
  </si>
  <si>
    <t>A.1.9</t>
  </si>
  <si>
    <t>A.1.9.a</t>
  </si>
  <si>
    <t>Project Name</t>
  </si>
  <si>
    <t>Informed consent ok?</t>
  </si>
  <si>
    <t>A.2.1</t>
  </si>
  <si>
    <t>A.2.2</t>
  </si>
  <si>
    <t>A.2.3</t>
  </si>
  <si>
    <t>A.2.3.a</t>
  </si>
  <si>
    <t>A.2.4</t>
  </si>
  <si>
    <t>A.3.1</t>
  </si>
  <si>
    <t>A.3.1.a</t>
  </si>
  <si>
    <t>A.3.2</t>
  </si>
  <si>
    <t>A.3.3</t>
  </si>
  <si>
    <t>A.4.1.a</t>
  </si>
  <si>
    <t>A.4.2</t>
  </si>
  <si>
    <t>A.4.3</t>
  </si>
  <si>
    <t>If other country: specify</t>
  </si>
  <si>
    <t>Part B. Pre-interview factual information</t>
  </si>
  <si>
    <t>Part C. Empirical indicators from Telephone call interview</t>
  </si>
  <si>
    <t>B.5</t>
  </si>
  <si>
    <t>B.6</t>
  </si>
  <si>
    <t>B.7</t>
  </si>
  <si>
    <t>C.4.1</t>
  </si>
  <si>
    <t>C.4.2</t>
  </si>
  <si>
    <t>C.4.3</t>
  </si>
  <si>
    <r>
      <t xml:space="preserve">Who took charge of the proposal writing process and why? 
(if relevant, </t>
    </r>
    <r>
      <rPr>
        <i/>
        <sz val="11"/>
        <color theme="1"/>
        <rFont val="Arial Narrow"/>
        <family val="2"/>
      </rPr>
      <t>max. 50 words</t>
    </r>
    <r>
      <rPr>
        <sz val="11"/>
        <color theme="1"/>
        <rFont val="Arial Narrow"/>
        <family val="2"/>
      </rPr>
      <t>)</t>
    </r>
  </si>
  <si>
    <t>C.1.1</t>
  </si>
  <si>
    <t>C.1.2</t>
  </si>
  <si>
    <t>C.1.2.a</t>
  </si>
  <si>
    <t>C.1.3</t>
  </si>
  <si>
    <t>C.1.3.a</t>
  </si>
  <si>
    <t>C.1.4</t>
  </si>
  <si>
    <t>C.2.1</t>
  </si>
  <si>
    <t>C.2.2</t>
  </si>
  <si>
    <t>C.2.3</t>
  </si>
  <si>
    <t>C.2.4</t>
  </si>
  <si>
    <t>C.2.5</t>
  </si>
  <si>
    <t>C.2.5.a</t>
  </si>
  <si>
    <t>C.3.1</t>
  </si>
  <si>
    <t>C.3.2</t>
  </si>
  <si>
    <t>C.3.2.a</t>
  </si>
  <si>
    <t>C.3.3</t>
  </si>
  <si>
    <t xml:space="preserve">     Highly successful</t>
  </si>
  <si>
    <t>C.4.1.a</t>
  </si>
  <si>
    <t>C.4.1.b</t>
  </si>
  <si>
    <t>C.4.1.c</t>
  </si>
  <si>
    <r>
      <t xml:space="preserve">How and on which parameters do/did you monitor the performance of the project ? </t>
    </r>
    <r>
      <rPr>
        <i/>
        <sz val="11"/>
        <color theme="1"/>
        <rFont val="Arial Narrow"/>
        <family val="2"/>
      </rPr>
      <t>(max. 100 words)</t>
    </r>
  </si>
  <si>
    <t>C.5.1</t>
  </si>
  <si>
    <t>C.5.1.a</t>
  </si>
  <si>
    <t>C.5.1.b</t>
  </si>
  <si>
    <t>C.5.1.c</t>
  </si>
  <si>
    <t>C.5.1.d</t>
  </si>
  <si>
    <t>C.5.1.e</t>
  </si>
  <si>
    <t>Scale:</t>
  </si>
  <si>
    <t>C.5.3</t>
  </si>
  <si>
    <t>C.5.2</t>
  </si>
  <si>
    <t>C.6</t>
  </si>
  <si>
    <t>C.6.1</t>
  </si>
  <si>
    <t xml:space="preserve">What do you consider to be/have been the 3 key factors contributing to the success of the project? </t>
  </si>
  <si>
    <t>C.6.1.a</t>
  </si>
  <si>
    <t>C.6.2</t>
  </si>
  <si>
    <t>C.6.2.a</t>
  </si>
  <si>
    <t>C.6.3</t>
  </si>
  <si>
    <t>C.6.4</t>
  </si>
  <si>
    <r>
      <t xml:space="preserve">How is/was the success of the project measured by any external funder(s)? 
</t>
    </r>
    <r>
      <rPr>
        <i/>
        <sz val="11"/>
        <color theme="1"/>
        <rFont val="Arial Narrow"/>
        <family val="2"/>
      </rPr>
      <t>(Max. 100 words)</t>
    </r>
  </si>
  <si>
    <t xml:space="preserve">Would you like to give any additional comments on this scoring? </t>
  </si>
  <si>
    <t>Part D. Further conceptual understanding about the project</t>
  </si>
  <si>
    <t xml:space="preserve">                                  Processing or marketing producer organisation</t>
  </si>
  <si>
    <t xml:space="preserve">                                  Representative/supporting organisation</t>
  </si>
  <si>
    <t xml:space="preserve">                                  Individual farmer or forester</t>
  </si>
  <si>
    <r>
      <t xml:space="preserve">What kind of information or assistance and from whom will/did you need to bring your project to a successful end? 
</t>
    </r>
    <r>
      <rPr>
        <i/>
        <sz val="11"/>
        <color theme="1"/>
        <rFont val="Arial Narrow"/>
        <family val="2"/>
      </rPr>
      <t>(Max. 100 words)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</si>
</sst>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b/>
      <sz val="26"/>
      <color theme="9"/>
      <name val="Arial Narrow"/>
      <family val="2"/>
    </font>
    <font>
      <b/>
      <sz val="11"/>
      <color theme="0"/>
      <name val="Arial Narrow"/>
      <family val="2"/>
    </font>
    <font>
      <b/>
      <sz val="18"/>
      <color theme="9" tint="-0.499984740745262"/>
      <name val="Arial Narrow"/>
      <family val="2"/>
    </font>
    <font>
      <b/>
      <i/>
      <u/>
      <sz val="11"/>
      <color theme="1"/>
      <name val="Arial Narrow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11"/>
      <color theme="0"/>
      <name val="Arial Narrow"/>
      <family val="2"/>
    </font>
    <font>
      <sz val="28"/>
      <color theme="9" tint="-0.499984740745262"/>
      <name val="Calibri"/>
      <family val="2"/>
      <scheme val="minor"/>
    </font>
    <font>
      <b/>
      <sz val="18"/>
      <color theme="9" tint="-0.499984740745262"/>
      <name val="Wingdings"/>
      <charset val="2"/>
    </font>
    <font>
      <b/>
      <sz val="12"/>
      <color theme="0"/>
      <name val="Arial Narrow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 "/>
    </font>
    <font>
      <b/>
      <sz val="16"/>
      <color theme="1"/>
      <name val="Arial Narrow "/>
    </font>
    <font>
      <b/>
      <sz val="26"/>
      <color rgb="FF7030A0"/>
      <name val="Arial Narrow"/>
      <family val="2"/>
    </font>
    <font>
      <sz val="11"/>
      <color rgb="FF7030A0"/>
      <name val="Calibri"/>
      <family val="2"/>
      <scheme val="minor"/>
    </font>
    <font>
      <b/>
      <sz val="26"/>
      <color rgb="FFFFC000"/>
      <name val="Arial Narrow"/>
      <family val="2"/>
    </font>
    <font>
      <sz val="11"/>
      <color rgb="FFFFC000"/>
      <name val="Calibri"/>
      <family val="2"/>
      <scheme val="minor"/>
    </font>
    <font>
      <u/>
      <sz val="11"/>
      <color theme="10"/>
      <name val="Arial Narrow"/>
      <family val="2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double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/>
      <right style="medium">
        <color theme="9" tint="-0.499984740745262"/>
      </right>
      <top/>
      <bottom/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/>
      <top style="double">
        <color theme="0"/>
      </top>
      <bottom style="thin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5" fillId="0" borderId="0"/>
  </cellStyleXfs>
  <cellXfs count="29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Border="1"/>
    <xf numFmtId="0" fontId="0" fillId="0" borderId="6" xfId="0" applyBorder="1"/>
    <xf numFmtId="0" fontId="4" fillId="0" borderId="6" xfId="0" applyFont="1" applyBorder="1" applyAlignment="1">
      <alignment horizontal="center"/>
    </xf>
    <xf numFmtId="0" fontId="0" fillId="0" borderId="7" xfId="0" applyBorder="1"/>
    <xf numFmtId="0" fontId="4" fillId="4" borderId="6" xfId="0" applyFont="1" applyFill="1" applyBorder="1"/>
    <xf numFmtId="0" fontId="0" fillId="4" borderId="6" xfId="0" applyFill="1" applyBorder="1"/>
    <xf numFmtId="0" fontId="4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2" xfId="0" applyFont="1" applyFill="1" applyBorder="1" applyAlignment="1">
      <alignment horizontal="left"/>
    </xf>
    <xf numFmtId="0" fontId="5" fillId="9" borderId="0" xfId="0" applyFont="1" applyFill="1" applyAlignment="1">
      <alignment horizontal="right"/>
    </xf>
    <xf numFmtId="0" fontId="0" fillId="10" borderId="0" xfId="0" applyFill="1"/>
    <xf numFmtId="0" fontId="2" fillId="8" borderId="0" xfId="0" applyFont="1" applyFill="1"/>
    <xf numFmtId="0" fontId="12" fillId="8" borderId="0" xfId="0" applyFont="1" applyFill="1"/>
    <xf numFmtId="0" fontId="13" fillId="2" borderId="0" xfId="0" applyFont="1" applyFill="1"/>
    <xf numFmtId="0" fontId="3" fillId="10" borderId="0" xfId="0" applyFont="1" applyFill="1"/>
    <xf numFmtId="0" fontId="0" fillId="10" borderId="0" xfId="0" applyFont="1" applyFill="1"/>
    <xf numFmtId="0" fontId="1" fillId="6" borderId="2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wrapText="1"/>
    </xf>
    <xf numFmtId="0" fontId="7" fillId="8" borderId="0" xfId="0" applyFont="1" applyFill="1"/>
    <xf numFmtId="0" fontId="14" fillId="8" borderId="0" xfId="0" applyFont="1" applyFill="1" applyBorder="1"/>
    <xf numFmtId="0" fontId="14" fillId="8" borderId="20" xfId="0" applyFont="1" applyFill="1" applyBorder="1"/>
    <xf numFmtId="0" fontId="0" fillId="2" borderId="21" xfId="0" applyFill="1" applyBorder="1"/>
    <xf numFmtId="0" fontId="5" fillId="9" borderId="20" xfId="0" applyFont="1" applyFill="1" applyBorder="1" applyAlignment="1">
      <alignment horizontal="right"/>
    </xf>
    <xf numFmtId="0" fontId="14" fillId="8" borderId="24" xfId="0" applyFont="1" applyFill="1" applyBorder="1"/>
    <xf numFmtId="0" fontId="15" fillId="6" borderId="0" xfId="0" applyFont="1" applyFill="1" applyAlignment="1">
      <alignment horizontal="center" vertical="center" textRotation="255"/>
    </xf>
    <xf numFmtId="0" fontId="5" fillId="6" borderId="20" xfId="0" applyFont="1" applyFill="1" applyBorder="1" applyAlignment="1">
      <alignment horizontal="right"/>
    </xf>
    <xf numFmtId="0" fontId="4" fillId="6" borderId="0" xfId="0" applyFont="1" applyFill="1"/>
    <xf numFmtId="0" fontId="8" fillId="6" borderId="0" xfId="0" applyFont="1" applyFill="1"/>
    <xf numFmtId="0" fontId="6" fillId="6" borderId="0" xfId="0" applyFont="1" applyFill="1"/>
    <xf numFmtId="0" fontId="7" fillId="11" borderId="0" xfId="0" applyFont="1" applyFill="1"/>
    <xf numFmtId="0" fontId="7" fillId="11" borderId="24" xfId="0" applyFont="1" applyFill="1" applyBorder="1"/>
    <xf numFmtId="0" fontId="1" fillId="9" borderId="0" xfId="0" applyFont="1" applyFill="1"/>
    <xf numFmtId="0" fontId="1" fillId="9" borderId="0" xfId="0" applyFont="1" applyFill="1" applyBorder="1" applyAlignment="1">
      <alignment wrapText="1"/>
    </xf>
    <xf numFmtId="0" fontId="1" fillId="6" borderId="0" xfId="0" applyFont="1" applyFill="1"/>
    <xf numFmtId="0" fontId="9" fillId="5" borderId="8" xfId="0" applyFont="1" applyFill="1" applyBorder="1"/>
    <xf numFmtId="0" fontId="1" fillId="5" borderId="9" xfId="0" applyFont="1" applyFill="1" applyBorder="1"/>
    <xf numFmtId="0" fontId="6" fillId="5" borderId="9" xfId="0" applyFont="1" applyFill="1" applyBorder="1"/>
    <xf numFmtId="0" fontId="1" fillId="5" borderId="10" xfId="0" applyFont="1" applyFill="1" applyBorder="1"/>
    <xf numFmtId="0" fontId="1" fillId="6" borderId="0" xfId="0" applyFont="1" applyFill="1" applyBorder="1" applyAlignment="1">
      <alignment wrapText="1"/>
    </xf>
    <xf numFmtId="0" fontId="1" fillId="5" borderId="11" xfId="0" applyFont="1" applyFill="1" applyBorder="1"/>
    <xf numFmtId="0" fontId="1" fillId="5" borderId="0" xfId="0" applyFont="1" applyFill="1" applyBorder="1" applyAlignment="1">
      <alignment horizontal="right"/>
    </xf>
    <xf numFmtId="0" fontId="1" fillId="5" borderId="12" xfId="0" applyFont="1" applyFill="1" applyBorder="1"/>
    <xf numFmtId="0" fontId="1" fillId="5" borderId="0" xfId="0" applyFont="1" applyFill="1" applyBorder="1"/>
    <xf numFmtId="0" fontId="1" fillId="5" borderId="13" xfId="0" applyFont="1" applyFill="1" applyBorder="1"/>
    <xf numFmtId="0" fontId="1" fillId="5" borderId="14" xfId="0" applyFont="1" applyFill="1" applyBorder="1" applyAlignment="1">
      <alignment horizontal="right"/>
    </xf>
    <xf numFmtId="0" fontId="1" fillId="5" borderId="14" xfId="0" applyFont="1" applyFill="1" applyBorder="1"/>
    <xf numFmtId="0" fontId="1" fillId="5" borderId="15" xfId="0" applyFont="1" applyFill="1" applyBorder="1"/>
    <xf numFmtId="0" fontId="9" fillId="5" borderId="8" xfId="0" applyFont="1" applyFill="1" applyBorder="1" applyAlignment="1">
      <alignment vertical="top"/>
    </xf>
    <xf numFmtId="0" fontId="6" fillId="6" borderId="0" xfId="0" applyFont="1" applyFill="1" applyAlignment="1">
      <alignment horizontal="center"/>
    </xf>
    <xf numFmtId="0" fontId="1" fillId="6" borderId="0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1" fillId="2" borderId="0" xfId="0" applyFont="1" applyFill="1"/>
    <xf numFmtId="0" fontId="6" fillId="0" borderId="0" xfId="0" applyFont="1" applyFill="1"/>
    <xf numFmtId="0" fontId="1" fillId="0" borderId="0" xfId="0" applyFont="1" applyFill="1"/>
    <xf numFmtId="0" fontId="6" fillId="5" borderId="8" xfId="0" applyFont="1" applyFill="1" applyBorder="1"/>
    <xf numFmtId="0" fontId="1" fillId="2" borderId="0" xfId="0" applyFont="1" applyFill="1" applyBorder="1"/>
    <xf numFmtId="0" fontId="5" fillId="6" borderId="0" xfId="0" applyFont="1" applyFill="1" applyBorder="1" applyAlignment="1">
      <alignment horizontal="right" wrapText="1"/>
    </xf>
    <xf numFmtId="0" fontId="7" fillId="11" borderId="20" xfId="0" applyFont="1" applyFill="1" applyBorder="1"/>
    <xf numFmtId="0" fontId="5" fillId="6" borderId="20" xfId="0" applyFont="1" applyFill="1" applyBorder="1" applyAlignment="1">
      <alignment horizontal="right" wrapText="1"/>
    </xf>
    <xf numFmtId="0" fontId="1" fillId="8" borderId="0" xfId="0" applyFont="1" applyFill="1"/>
    <xf numFmtId="0" fontId="0" fillId="5" borderId="9" xfId="0" applyFill="1" applyBorder="1" applyAlignment="1">
      <alignment vertical="top"/>
    </xf>
    <xf numFmtId="0" fontId="14" fillId="11" borderId="0" xfId="0" applyFont="1" applyFill="1"/>
    <xf numFmtId="0" fontId="1" fillId="6" borderId="2" xfId="0" applyFont="1" applyFill="1" applyBorder="1" applyAlignment="1">
      <alignment wrapText="1"/>
    </xf>
    <xf numFmtId="0" fontId="17" fillId="2" borderId="0" xfId="0" applyFont="1" applyFill="1"/>
    <xf numFmtId="0" fontId="1" fillId="6" borderId="0" xfId="0" applyFont="1" applyFill="1" applyAlignment="1">
      <alignment wrapText="1"/>
    </xf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2" borderId="30" xfId="0" applyFill="1" applyBorder="1"/>
    <xf numFmtId="0" fontId="0" fillId="2" borderId="33" xfId="0" applyFill="1" applyBorder="1"/>
    <xf numFmtId="0" fontId="5" fillId="6" borderId="20" xfId="0" applyFont="1" applyFill="1" applyBorder="1" applyAlignment="1">
      <alignment horizontal="right" vertical="top" wrapText="1"/>
    </xf>
    <xf numFmtId="0" fontId="14" fillId="11" borderId="24" xfId="0" applyFont="1" applyFill="1" applyBorder="1"/>
    <xf numFmtId="0" fontId="23" fillId="2" borderId="0" xfId="0" applyFont="1" applyFill="1" applyAlignment="1">
      <alignment horizontal="center" vertical="center" textRotation="255"/>
    </xf>
    <xf numFmtId="0" fontId="17" fillId="6" borderId="0" xfId="0" applyFont="1" applyFill="1" applyBorder="1"/>
    <xf numFmtId="0" fontId="17" fillId="2" borderId="0" xfId="0" applyFont="1" applyFill="1" applyBorder="1"/>
    <xf numFmtId="0" fontId="1" fillId="2" borderId="0" xfId="0" applyFont="1" applyFill="1" applyBorder="1" applyAlignment="1">
      <alignment horizontal="left" wrapText="1"/>
    </xf>
    <xf numFmtId="0" fontId="24" fillId="10" borderId="0" xfId="0" applyFont="1" applyFill="1"/>
    <xf numFmtId="0" fontId="24" fillId="10" borderId="0" xfId="0" applyFont="1" applyFill="1" applyBorder="1"/>
    <xf numFmtId="0" fontId="0" fillId="2" borderId="11" xfId="0" applyFill="1" applyBorder="1"/>
    <xf numFmtId="0" fontId="1" fillId="2" borderId="11" xfId="0" applyFont="1" applyFill="1" applyBorder="1"/>
    <xf numFmtId="0" fontId="23" fillId="6" borderId="0" xfId="0" applyFont="1" applyFill="1" applyAlignment="1">
      <alignment horizontal="center" vertical="center" textRotation="255"/>
    </xf>
    <xf numFmtId="0" fontId="17" fillId="6" borderId="0" xfId="0" applyFont="1" applyFill="1"/>
    <xf numFmtId="0" fontId="5" fillId="6" borderId="22" xfId="0" applyFont="1" applyFill="1" applyBorder="1" applyAlignment="1">
      <alignment horizontal="right" vertical="top" wrapText="1"/>
    </xf>
    <xf numFmtId="0" fontId="0" fillId="0" borderId="6" xfId="0" applyBorder="1" applyAlignment="1">
      <alignment wrapText="1"/>
    </xf>
    <xf numFmtId="0" fontId="23" fillId="2" borderId="0" xfId="0" applyFont="1" applyFill="1" applyAlignment="1">
      <alignment horizontal="center" vertical="center" textRotation="255"/>
    </xf>
    <xf numFmtId="0" fontId="1" fillId="6" borderId="0" xfId="0" applyFont="1" applyFill="1" applyBorder="1" applyAlignment="1">
      <alignment horizontal="left" wrapText="1"/>
    </xf>
    <xf numFmtId="0" fontId="1" fillId="6" borderId="2" xfId="0" applyFont="1" applyFill="1" applyBorder="1" applyAlignment="1">
      <alignment horizontal="left" wrapText="1"/>
    </xf>
    <xf numFmtId="0" fontId="15" fillId="6" borderId="0" xfId="0" applyFont="1" applyFill="1" applyAlignment="1">
      <alignment horizontal="center" vertical="center" textRotation="255"/>
    </xf>
    <xf numFmtId="0" fontId="1" fillId="6" borderId="2" xfId="0" applyFont="1" applyFill="1" applyBorder="1" applyAlignment="1">
      <alignment horizontal="left" wrapText="1"/>
    </xf>
    <xf numFmtId="0" fontId="23" fillId="2" borderId="0" xfId="0" applyFont="1" applyFill="1" applyAlignment="1">
      <alignment horizontal="center" vertical="center" textRotation="255"/>
    </xf>
    <xf numFmtId="0" fontId="15" fillId="6" borderId="0" xfId="0" applyFont="1" applyFill="1" applyAlignment="1">
      <alignment vertical="center" textRotation="255"/>
    </xf>
    <xf numFmtId="0" fontId="26" fillId="7" borderId="0" xfId="0" applyFont="1" applyFill="1" applyBorder="1"/>
    <xf numFmtId="0" fontId="27" fillId="7" borderId="0" xfId="0" applyFont="1" applyFill="1" applyBorder="1" applyAlignment="1">
      <alignment horizontal="left" wrapText="1"/>
    </xf>
    <xf numFmtId="0" fontId="28" fillId="2" borderId="0" xfId="0" applyFont="1" applyFill="1"/>
    <xf numFmtId="0" fontId="29" fillId="2" borderId="0" xfId="0" applyFont="1" applyFill="1"/>
    <xf numFmtId="0" fontId="29" fillId="2" borderId="21" xfId="0" applyFont="1" applyFill="1" applyBorder="1"/>
    <xf numFmtId="0" fontId="7" fillId="6" borderId="0" xfId="0" applyFont="1" applyFill="1"/>
    <xf numFmtId="0" fontId="14" fillId="6" borderId="0" xfId="0" applyFont="1" applyFill="1"/>
    <xf numFmtId="0" fontId="30" fillId="2" borderId="0" xfId="0" applyFont="1" applyFill="1"/>
    <xf numFmtId="0" fontId="31" fillId="2" borderId="0" xfId="0" applyFont="1" applyFill="1"/>
    <xf numFmtId="0" fontId="31" fillId="2" borderId="21" xfId="0" applyFont="1" applyFill="1" applyBorder="1"/>
    <xf numFmtId="0" fontId="6" fillId="0" borderId="0" xfId="0" applyFont="1"/>
    <xf numFmtId="0" fontId="1" fillId="0" borderId="0" xfId="0" applyFont="1"/>
    <xf numFmtId="0" fontId="1" fillId="0" borderId="0" xfId="2" applyFont="1"/>
    <xf numFmtId="0" fontId="32" fillId="3" borderId="3" xfId="1" applyFont="1" applyFill="1" applyBorder="1" applyAlignment="1">
      <alignment vertical="center" wrapText="1"/>
    </xf>
    <xf numFmtId="0" fontId="5" fillId="6" borderId="0" xfId="0" applyFont="1" applyFill="1" applyBorder="1" applyAlignment="1">
      <alignment horizontal="right"/>
    </xf>
    <xf numFmtId="0" fontId="1" fillId="6" borderId="0" xfId="0" applyFont="1" applyFill="1" applyBorder="1" applyAlignment="1">
      <alignment horizontal="center"/>
    </xf>
    <xf numFmtId="0" fontId="1" fillId="6" borderId="0" xfId="0" applyFont="1" applyFill="1" applyBorder="1" applyAlignment="1"/>
    <xf numFmtId="0" fontId="0" fillId="5" borderId="14" xfId="0" applyFill="1" applyBorder="1" applyAlignment="1"/>
    <xf numFmtId="0" fontId="1" fillId="5" borderId="8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center" wrapText="1"/>
    </xf>
    <xf numFmtId="0" fontId="6" fillId="9" borderId="0" xfId="0" applyFont="1" applyFill="1"/>
    <xf numFmtId="0" fontId="0" fillId="8" borderId="38" xfId="0" applyFill="1" applyBorder="1"/>
    <xf numFmtId="0" fontId="0" fillId="9" borderId="0" xfId="0" applyFill="1" applyBorder="1"/>
    <xf numFmtId="0" fontId="1" fillId="9" borderId="2" xfId="0" applyFont="1" applyFill="1" applyBorder="1" applyAlignment="1">
      <alignment wrapText="1"/>
    </xf>
    <xf numFmtId="0" fontId="9" fillId="12" borderId="8" xfId="0" applyFont="1" applyFill="1" applyBorder="1"/>
    <xf numFmtId="0" fontId="1" fillId="12" borderId="9" xfId="0" applyFont="1" applyFill="1" applyBorder="1"/>
    <xf numFmtId="0" fontId="1" fillId="12" borderId="10" xfId="0" applyFont="1" applyFill="1" applyBorder="1"/>
    <xf numFmtId="0" fontId="1" fillId="12" borderId="11" xfId="0" applyFont="1" applyFill="1" applyBorder="1"/>
    <xf numFmtId="0" fontId="1" fillId="12" borderId="12" xfId="0" applyFont="1" applyFill="1" applyBorder="1"/>
    <xf numFmtId="0" fontId="1" fillId="12" borderId="13" xfId="0" applyFont="1" applyFill="1" applyBorder="1"/>
    <xf numFmtId="0" fontId="1" fillId="12" borderId="14" xfId="0" applyFont="1" applyFill="1" applyBorder="1"/>
    <xf numFmtId="0" fontId="1" fillId="12" borderId="15" xfId="0" applyFont="1" applyFill="1" applyBorder="1"/>
    <xf numFmtId="0" fontId="1" fillId="5" borderId="9" xfId="0" applyFont="1" applyFill="1" applyBorder="1" applyAlignment="1"/>
    <xf numFmtId="0" fontId="1" fillId="5" borderId="11" xfId="0" applyFont="1" applyFill="1" applyBorder="1" applyAlignment="1"/>
    <xf numFmtId="0" fontId="1" fillId="5" borderId="13" xfId="0" applyFont="1" applyFill="1" applyBorder="1" applyAlignment="1"/>
    <xf numFmtId="0" fontId="1" fillId="5" borderId="14" xfId="0" applyFont="1" applyFill="1" applyBorder="1" applyAlignment="1"/>
    <xf numFmtId="0" fontId="6" fillId="6" borderId="0" xfId="0" applyFont="1" applyFill="1" applyAlignment="1">
      <alignment vertical="center"/>
    </xf>
    <xf numFmtId="0" fontId="9" fillId="5" borderId="11" xfId="0" applyFont="1" applyFill="1" applyBorder="1" applyAlignment="1">
      <alignment vertical="top"/>
    </xf>
    <xf numFmtId="0" fontId="7" fillId="11" borderId="0" xfId="0" applyFont="1" applyFill="1" applyBorder="1"/>
    <xf numFmtId="0" fontId="4" fillId="6" borderId="0" xfId="0" applyFont="1" applyFill="1" applyBorder="1"/>
    <xf numFmtId="0" fontId="9" fillId="6" borderId="0" xfId="0" applyFont="1" applyFill="1" applyBorder="1" applyAlignment="1">
      <alignment vertical="top"/>
    </xf>
    <xf numFmtId="0" fontId="9" fillId="5" borderId="13" xfId="0" applyFont="1" applyFill="1" applyBorder="1" applyAlignment="1">
      <alignment vertical="top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27" xfId="0" applyFont="1" applyFill="1" applyBorder="1"/>
    <xf numFmtId="0" fontId="1" fillId="5" borderId="41" xfId="0" applyFont="1" applyFill="1" applyBorder="1"/>
    <xf numFmtId="0" fontId="1" fillId="5" borderId="42" xfId="0" applyFont="1" applyFill="1" applyBorder="1"/>
    <xf numFmtId="0" fontId="1" fillId="5" borderId="43" xfId="0" applyFont="1" applyFill="1" applyBorder="1"/>
    <xf numFmtId="0" fontId="1" fillId="5" borderId="44" xfId="0" applyFont="1" applyFill="1" applyBorder="1" applyAlignment="1">
      <alignment vertical="center"/>
    </xf>
    <xf numFmtId="0" fontId="1" fillId="5" borderId="40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5" borderId="45" xfId="0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textRotation="255"/>
    </xf>
    <xf numFmtId="0" fontId="9" fillId="5" borderId="14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1" fillId="6" borderId="0" xfId="0" applyFont="1" applyFill="1" applyAlignment="1"/>
    <xf numFmtId="0" fontId="23" fillId="2" borderId="0" xfId="0" applyFont="1" applyFill="1" applyAlignment="1">
      <alignment vertical="center" textRotation="255"/>
    </xf>
    <xf numFmtId="0" fontId="5" fillId="6" borderId="23" xfId="0" applyFont="1" applyFill="1" applyBorder="1" applyAlignment="1">
      <alignment horizontal="right" wrapText="1"/>
    </xf>
    <xf numFmtId="0" fontId="23" fillId="2" borderId="0" xfId="0" applyFont="1" applyFill="1" applyAlignment="1">
      <alignment horizontal="center" vertical="center" textRotation="255"/>
    </xf>
    <xf numFmtId="0" fontId="1" fillId="6" borderId="2" xfId="0" applyFont="1" applyFill="1" applyBorder="1" applyAlignment="1">
      <alignment horizontal="left" wrapText="1"/>
    </xf>
    <xf numFmtId="0" fontId="14" fillId="11" borderId="0" xfId="0" applyFont="1" applyFill="1" applyBorder="1" applyAlignment="1">
      <alignment horizontal="left"/>
    </xf>
    <xf numFmtId="0" fontId="0" fillId="5" borderId="47" xfId="0" applyFill="1" applyBorder="1"/>
    <xf numFmtId="0" fontId="0" fillId="6" borderId="12" xfId="0" applyFill="1" applyBorder="1"/>
    <xf numFmtId="0" fontId="5" fillId="9" borderId="0" xfId="0" applyFont="1" applyFill="1" applyBorder="1" applyAlignment="1">
      <alignment horizontal="right" wrapText="1"/>
    </xf>
    <xf numFmtId="0" fontId="0" fillId="17" borderId="49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 vertical="center" wrapText="1"/>
    </xf>
    <xf numFmtId="0" fontId="0" fillId="17" borderId="49" xfId="0" applyFill="1" applyBorder="1" applyAlignment="1">
      <alignment horizontal="center" wrapText="1"/>
    </xf>
    <xf numFmtId="0" fontId="0" fillId="6" borderId="49" xfId="0" applyFill="1" applyBorder="1" applyAlignment="1">
      <alignment wrapText="1"/>
    </xf>
    <xf numFmtId="0" fontId="0" fillId="17" borderId="49" xfId="0" applyFill="1" applyBorder="1" applyAlignment="1">
      <alignment wrapText="1"/>
    </xf>
    <xf numFmtId="0" fontId="0" fillId="0" borderId="6" xfId="0" applyBorder="1" applyAlignment="1">
      <alignment horizontal="center" wrapText="1"/>
    </xf>
    <xf numFmtId="14" fontId="0" fillId="0" borderId="6" xfId="0" applyNumberFormat="1" applyBorder="1" applyAlignment="1">
      <alignment wrapText="1"/>
    </xf>
    <xf numFmtId="0" fontId="0" fillId="0" borderId="6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1" fillId="6" borderId="12" xfId="0" applyFont="1" applyFill="1" applyBorder="1"/>
    <xf numFmtId="0" fontId="0" fillId="2" borderId="12" xfId="0" applyFill="1" applyBorder="1"/>
    <xf numFmtId="0" fontId="22" fillId="2" borderId="12" xfId="0" applyFont="1" applyFill="1" applyBorder="1" applyAlignment="1"/>
    <xf numFmtId="0" fontId="7" fillId="8" borderId="24" xfId="0" applyFont="1" applyFill="1" applyBorder="1"/>
    <xf numFmtId="0" fontId="7" fillId="8" borderId="20" xfId="0" applyFont="1" applyFill="1" applyBorder="1"/>
    <xf numFmtId="0" fontId="7" fillId="9" borderId="0" xfId="0" applyFont="1" applyFill="1"/>
    <xf numFmtId="0" fontId="1" fillId="2" borderId="1" xfId="0" applyFont="1" applyFill="1" applyBorder="1" applyAlignment="1" applyProtection="1">
      <alignment horizontal="left" wrapText="1"/>
      <protection locked="0"/>
    </xf>
    <xf numFmtId="14" fontId="1" fillId="2" borderId="1" xfId="0" applyNumberFormat="1" applyFont="1" applyFill="1" applyBorder="1" applyAlignment="1" applyProtection="1">
      <alignment horizontal="left" wrapText="1"/>
      <protection locked="0"/>
    </xf>
    <xf numFmtId="0" fontId="1" fillId="13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Protection="1">
      <protection locked="0"/>
    </xf>
    <xf numFmtId="0" fontId="6" fillId="13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13" borderId="1" xfId="0" applyFill="1" applyBorder="1" applyProtection="1">
      <protection locked="0"/>
    </xf>
    <xf numFmtId="0" fontId="11" fillId="11" borderId="0" xfId="0" applyFont="1" applyFill="1"/>
    <xf numFmtId="0" fontId="14" fillId="11" borderId="0" xfId="0" applyFont="1" applyFill="1" applyBorder="1"/>
    <xf numFmtId="0" fontId="14" fillId="11" borderId="19" xfId="0" applyFont="1" applyFill="1" applyBorder="1"/>
    <xf numFmtId="0" fontId="0" fillId="6" borderId="49" xfId="0" applyFill="1" applyBorder="1"/>
    <xf numFmtId="0" fontId="14" fillId="9" borderId="0" xfId="0" applyFont="1" applyFill="1"/>
    <xf numFmtId="0" fontId="12" fillId="6" borderId="0" xfId="0" applyFont="1" applyFill="1"/>
    <xf numFmtId="0" fontId="0" fillId="6" borderId="0" xfId="0" applyFill="1" applyAlignment="1">
      <alignment horizontal="left"/>
    </xf>
    <xf numFmtId="0" fontId="5" fillId="6" borderId="22" xfId="0" applyFont="1" applyFill="1" applyBorder="1" applyAlignment="1">
      <alignment horizontal="right"/>
    </xf>
    <xf numFmtId="0" fontId="5" fillId="6" borderId="23" xfId="0" applyFont="1" applyFill="1" applyBorder="1" applyAlignment="1">
      <alignment horizontal="right"/>
    </xf>
    <xf numFmtId="14" fontId="1" fillId="6" borderId="0" xfId="0" applyNumberFormat="1" applyFont="1" applyFill="1" applyBorder="1" applyAlignment="1">
      <alignment horizontal="left" wrapText="1"/>
    </xf>
    <xf numFmtId="0" fontId="14" fillId="11" borderId="37" xfId="0" applyFont="1" applyFill="1" applyBorder="1"/>
    <xf numFmtId="0" fontId="14" fillId="11" borderId="0" xfId="0" applyFont="1" applyFill="1" applyBorder="1" applyAlignment="1">
      <alignment horizontal="center"/>
    </xf>
    <xf numFmtId="0" fontId="14" fillId="11" borderId="20" xfId="0" applyFont="1" applyFill="1" applyBorder="1"/>
    <xf numFmtId="0" fontId="21" fillId="11" borderId="0" xfId="0" applyFont="1" applyFill="1"/>
    <xf numFmtId="0" fontId="21" fillId="9" borderId="0" xfId="0" applyFont="1" applyFill="1"/>
    <xf numFmtId="0" fontId="23" fillId="9" borderId="0" xfId="0" applyFont="1" applyFill="1" applyAlignment="1">
      <alignment horizontal="center" vertical="center" textRotation="255"/>
    </xf>
    <xf numFmtId="0" fontId="0" fillId="5" borderId="39" xfId="0" applyFill="1" applyBorder="1" applyAlignment="1">
      <alignment horizontal="center"/>
    </xf>
    <xf numFmtId="0" fontId="14" fillId="11" borderId="20" xfId="0" applyFont="1" applyFill="1" applyBorder="1" applyAlignment="1">
      <alignment horizontal="left"/>
    </xf>
    <xf numFmtId="0" fontId="7" fillId="11" borderId="37" xfId="0" applyFont="1" applyFill="1" applyBorder="1"/>
    <xf numFmtId="0" fontId="17" fillId="11" borderId="0" xfId="0" applyFont="1" applyFill="1"/>
    <xf numFmtId="0" fontId="14" fillId="7" borderId="50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left" wrapText="1"/>
    </xf>
    <xf numFmtId="0" fontId="35" fillId="11" borderId="0" xfId="0" applyFont="1" applyFill="1"/>
    <xf numFmtId="14" fontId="1" fillId="13" borderId="1" xfId="0" applyNumberFormat="1" applyFont="1" applyFill="1" applyBorder="1" applyAlignment="1" applyProtection="1">
      <alignment horizontal="left" wrapText="1"/>
      <protection locked="0"/>
    </xf>
    <xf numFmtId="0" fontId="4" fillId="13" borderId="1" xfId="0" applyFont="1" applyFill="1" applyBorder="1" applyProtection="1">
      <protection locked="0"/>
    </xf>
    <xf numFmtId="0" fontId="1" fillId="13" borderId="1" xfId="0" applyFont="1" applyFill="1" applyBorder="1" applyProtection="1">
      <protection locked="0"/>
    </xf>
    <xf numFmtId="0" fontId="1" fillId="13" borderId="4" xfId="0" applyFont="1" applyFill="1" applyBorder="1" applyProtection="1">
      <protection locked="0"/>
    </xf>
    <xf numFmtId="0" fontId="0" fillId="13" borderId="1" xfId="0" applyFill="1" applyBorder="1" applyAlignment="1" applyProtection="1">
      <alignment horizontal="center"/>
      <protection locked="0"/>
    </xf>
    <xf numFmtId="0" fontId="0" fillId="13" borderId="5" xfId="0" applyFill="1" applyBorder="1" applyAlignment="1" applyProtection="1">
      <alignment horizontal="center"/>
      <protection locked="0"/>
    </xf>
    <xf numFmtId="0" fontId="4" fillId="5" borderId="48" xfId="0" applyFont="1" applyFill="1" applyBorder="1" applyAlignment="1">
      <alignment horizontal="right"/>
    </xf>
    <xf numFmtId="0" fontId="0" fillId="2" borderId="1" xfId="0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22" fillId="2" borderId="29" xfId="0" applyFont="1" applyFill="1" applyBorder="1" applyAlignment="1">
      <alignment horizontal="center" wrapText="1"/>
    </xf>
    <xf numFmtId="0" fontId="22" fillId="2" borderId="30" xfId="0" applyFont="1" applyFill="1" applyBorder="1" applyAlignment="1">
      <alignment horizontal="center" wrapText="1"/>
    </xf>
    <xf numFmtId="0" fontId="22" fillId="2" borderId="34" xfId="0" applyFont="1" applyFill="1" applyBorder="1" applyAlignment="1">
      <alignment horizontal="center" wrapText="1"/>
    </xf>
    <xf numFmtId="0" fontId="22" fillId="2" borderId="31" xfId="0" applyFont="1" applyFill="1" applyBorder="1" applyAlignment="1">
      <alignment horizontal="center" wrapText="1"/>
    </xf>
    <xf numFmtId="0" fontId="22" fillId="2" borderId="0" xfId="0" applyFont="1" applyFill="1" applyBorder="1" applyAlignment="1">
      <alignment horizontal="center" wrapText="1"/>
    </xf>
    <xf numFmtId="0" fontId="22" fillId="2" borderId="35" xfId="0" applyFont="1" applyFill="1" applyBorder="1" applyAlignment="1">
      <alignment horizontal="center" wrapText="1"/>
    </xf>
    <xf numFmtId="0" fontId="22" fillId="2" borderId="32" xfId="0" applyFont="1" applyFill="1" applyBorder="1" applyAlignment="1">
      <alignment horizontal="center" wrapText="1"/>
    </xf>
    <xf numFmtId="0" fontId="22" fillId="2" borderId="33" xfId="0" applyFont="1" applyFill="1" applyBorder="1" applyAlignment="1">
      <alignment horizontal="center" wrapText="1"/>
    </xf>
    <xf numFmtId="0" fontId="22" fillId="2" borderId="36" xfId="0" applyFont="1" applyFill="1" applyBorder="1" applyAlignment="1">
      <alignment horizontal="center" wrapText="1"/>
    </xf>
    <xf numFmtId="0" fontId="1" fillId="2" borderId="16" xfId="0" applyFont="1" applyFill="1" applyBorder="1" applyAlignment="1" applyProtection="1">
      <alignment horizontal="center" wrapText="1"/>
      <protection locked="0"/>
    </xf>
    <xf numFmtId="0" fontId="1" fillId="2" borderId="18" xfId="0" applyFont="1" applyFill="1" applyBorder="1" applyAlignment="1" applyProtection="1">
      <alignment horizontal="center" wrapText="1"/>
      <protection locked="0"/>
    </xf>
    <xf numFmtId="0" fontId="0" fillId="2" borderId="16" xfId="0" applyFill="1" applyBorder="1" applyAlignment="1" applyProtection="1">
      <alignment horizontal="left" wrapText="1"/>
      <protection locked="0"/>
    </xf>
    <xf numFmtId="0" fontId="0" fillId="2" borderId="17" xfId="0" applyFill="1" applyBorder="1" applyAlignment="1" applyProtection="1">
      <alignment horizontal="left" wrapText="1"/>
      <protection locked="0"/>
    </xf>
    <xf numFmtId="0" fontId="0" fillId="2" borderId="18" xfId="0" applyFill="1" applyBorder="1" applyAlignment="1" applyProtection="1">
      <alignment horizontal="left" wrapText="1"/>
      <protection locked="0"/>
    </xf>
    <xf numFmtId="0" fontId="1" fillId="9" borderId="2" xfId="0" applyFont="1" applyFill="1" applyBorder="1" applyAlignment="1">
      <alignment horizontal="left" wrapText="1"/>
    </xf>
    <xf numFmtId="0" fontId="14" fillId="8" borderId="0" xfId="0" applyFont="1" applyFill="1" applyAlignment="1">
      <alignment horizontal="left"/>
    </xf>
    <xf numFmtId="0" fontId="1" fillId="6" borderId="0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vertical="center" textRotation="255"/>
    </xf>
    <xf numFmtId="0" fontId="1" fillId="2" borderId="16" xfId="0" applyFont="1" applyFill="1" applyBorder="1" applyAlignment="1" applyProtection="1">
      <alignment horizontal="center"/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6" borderId="2" xfId="0" applyFont="1" applyFill="1" applyBorder="1" applyAlignment="1">
      <alignment horizontal="left" wrapText="1"/>
    </xf>
    <xf numFmtId="0" fontId="1" fillId="13" borderId="4" xfId="0" applyFont="1" applyFill="1" applyBorder="1" applyAlignment="1" applyProtection="1">
      <alignment horizontal="center"/>
      <protection locked="0"/>
    </xf>
    <xf numFmtId="0" fontId="1" fillId="13" borderId="5" xfId="0" applyFont="1" applyFill="1" applyBorder="1" applyAlignment="1" applyProtection="1">
      <alignment horizontal="center"/>
      <protection locked="0"/>
    </xf>
    <xf numFmtId="0" fontId="1" fillId="2" borderId="17" xfId="0" applyFont="1" applyFill="1" applyBorder="1" applyAlignment="1" applyProtection="1">
      <alignment horizontal="center" wrapText="1"/>
      <protection locked="0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" fillId="13" borderId="16" xfId="0" applyFont="1" applyFill="1" applyBorder="1" applyAlignment="1" applyProtection="1">
      <alignment horizontal="center"/>
      <protection locked="0"/>
    </xf>
    <xf numFmtId="0" fontId="1" fillId="13" borderId="17" xfId="0" applyFont="1" applyFill="1" applyBorder="1" applyAlignment="1" applyProtection="1">
      <alignment horizontal="center"/>
      <protection locked="0"/>
    </xf>
    <xf numFmtId="0" fontId="1" fillId="13" borderId="18" xfId="0" applyFont="1" applyFill="1" applyBorder="1" applyAlignment="1" applyProtection="1">
      <alignment horizontal="center"/>
      <protection locked="0"/>
    </xf>
    <xf numFmtId="0" fontId="1" fillId="2" borderId="16" xfId="0" applyFont="1" applyFill="1" applyBorder="1" applyAlignment="1" applyProtection="1">
      <alignment horizontal="left" wrapText="1"/>
      <protection locked="0"/>
    </xf>
    <xf numFmtId="0" fontId="1" fillId="2" borderId="17" xfId="0" applyFont="1" applyFill="1" applyBorder="1" applyAlignment="1" applyProtection="1">
      <alignment horizontal="left" wrapText="1"/>
      <protection locked="0"/>
    </xf>
    <xf numFmtId="0" fontId="1" fillId="2" borderId="18" xfId="0" applyFont="1" applyFill="1" applyBorder="1" applyAlignment="1" applyProtection="1">
      <alignment horizontal="left" wrapText="1"/>
      <protection locked="0"/>
    </xf>
    <xf numFmtId="0" fontId="1" fillId="13" borderId="4" xfId="0" applyFont="1" applyFill="1" applyBorder="1" applyAlignment="1" applyProtection="1">
      <alignment horizontal="left"/>
      <protection locked="0"/>
    </xf>
    <xf numFmtId="0" fontId="1" fillId="13" borderId="5" xfId="0" applyFont="1" applyFill="1" applyBorder="1" applyAlignment="1" applyProtection="1">
      <alignment horizontal="left"/>
      <protection locked="0"/>
    </xf>
    <xf numFmtId="0" fontId="14" fillId="11" borderId="24" xfId="0" applyFont="1" applyFill="1" applyBorder="1" applyAlignment="1">
      <alignment horizontal="left"/>
    </xf>
    <xf numFmtId="0" fontId="14" fillId="11" borderId="0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 wrapText="1"/>
    </xf>
    <xf numFmtId="0" fontId="7" fillId="11" borderId="0" xfId="0" applyFont="1" applyFill="1" applyBorder="1" applyAlignment="1">
      <alignment horizontal="left"/>
    </xf>
    <xf numFmtId="0" fontId="7" fillId="11" borderId="24" xfId="0" applyFont="1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1" fillId="13" borderId="4" xfId="0" applyFont="1" applyFill="1" applyBorder="1" applyAlignment="1" applyProtection="1">
      <alignment horizontal="center" wrapText="1"/>
      <protection locked="0"/>
    </xf>
    <xf numFmtId="0" fontId="1" fillId="13" borderId="5" xfId="0" applyFont="1" applyFill="1" applyBorder="1" applyAlignment="1" applyProtection="1">
      <alignment horizontal="center" wrapText="1"/>
      <protection locked="0"/>
    </xf>
    <xf numFmtId="0" fontId="1" fillId="6" borderId="2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Border="1" applyAlignment="1">
      <alignment horizontal="left" vertical="top" wrapText="1"/>
    </xf>
    <xf numFmtId="0" fontId="33" fillId="8" borderId="16" xfId="0" applyFont="1" applyFill="1" applyBorder="1" applyAlignment="1">
      <alignment horizontal="center"/>
    </xf>
    <xf numFmtId="0" fontId="33" fillId="8" borderId="17" xfId="0" applyFont="1" applyFill="1" applyBorder="1" applyAlignment="1">
      <alignment horizontal="center"/>
    </xf>
    <xf numFmtId="0" fontId="33" fillId="8" borderId="18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/>
    </xf>
    <xf numFmtId="0" fontId="4" fillId="16" borderId="17" xfId="0" applyFont="1" applyFill="1" applyBorder="1" applyAlignment="1">
      <alignment horizontal="center"/>
    </xf>
    <xf numFmtId="0" fontId="4" fillId="16" borderId="18" xfId="0" applyFont="1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4" fillId="16" borderId="26" xfId="0" applyFont="1" applyFill="1" applyBorder="1" applyAlignment="1">
      <alignment horizontal="center"/>
    </xf>
    <xf numFmtId="0" fontId="33" fillId="15" borderId="27" xfId="0" applyFont="1" applyFill="1" applyBorder="1" applyAlignment="1">
      <alignment horizontal="center"/>
    </xf>
    <xf numFmtId="0" fontId="33" fillId="14" borderId="47" xfId="0" applyFont="1" applyFill="1" applyBorder="1" applyAlignment="1">
      <alignment horizontal="center"/>
    </xf>
    <xf numFmtId="0" fontId="34" fillId="14" borderId="27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16" xfId="2"/>
  </cellStyles>
  <dxfs count="10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'Results for involved countries'!$B$2" lockText="1" noThreeD="1"/>
</file>

<file path=xl/ctrlProps/ctrlProp2.xml><?xml version="1.0" encoding="utf-8"?>
<formControlPr xmlns="http://schemas.microsoft.com/office/spreadsheetml/2009/9/main" objectType="CheckBox" fmlaLink="'Results for involved countries'!$B$3" lockText="1" noThreeD="1"/>
</file>

<file path=xl/ctrlProps/ctrlProp3.xml><?xml version="1.0" encoding="utf-8"?>
<formControlPr xmlns="http://schemas.microsoft.com/office/spreadsheetml/2009/9/main" objectType="CheckBox" fmlaLink="'Results for involved countries'!$B$4" lockText="1" noThreeD="1"/>
</file>

<file path=xl/ctrlProps/ctrlProp4.xml><?xml version="1.0" encoding="utf-8"?>
<formControlPr xmlns="http://schemas.microsoft.com/office/spreadsheetml/2009/9/main" objectType="CheckBox" fmlaLink="'Results for involved countries'!$B$5" lockText="1" noThreeD="1"/>
</file>

<file path=xl/ctrlProps/ctrlProp5.xml><?xml version="1.0" encoding="utf-8"?>
<formControlPr xmlns="http://schemas.microsoft.com/office/spreadsheetml/2009/9/main" objectType="CheckBox" fmlaLink="'Results for involved countries'!$B$6" lockText="1" noThreeD="1"/>
</file>

<file path=xl/ctrlProps/ctrlProp6.xml><?xml version="1.0" encoding="utf-8"?>
<formControlPr xmlns="http://schemas.microsoft.com/office/spreadsheetml/2009/9/main" objectType="CheckBox" fmlaLink="'Results for involved countries'!$B$7" lockText="1" noThreeD="1"/>
</file>

<file path=xl/ctrlProps/ctrlProp7.xml><?xml version="1.0" encoding="utf-8"?>
<formControlPr xmlns="http://schemas.microsoft.com/office/spreadsheetml/2009/9/main" objectType="CheckBox" fmlaLink="'Results for involved countries'!$B$8" lockText="1" noThreeD="1"/>
</file>

<file path=xl/ctrlProps/ctrlProp8.xml><?xml version="1.0" encoding="utf-8"?>
<formControlPr xmlns="http://schemas.microsoft.com/office/spreadsheetml/2009/9/main" objectType="CheckBox" fmlaLink="'Results for involved countries'!$B$9" lockText="1" noThreeD="1"/>
</file>

<file path=xl/ctrlProps/ctrlProp9.xml><?xml version="1.0" encoding="utf-8"?>
<formControlPr xmlns="http://schemas.microsoft.com/office/spreadsheetml/2009/9/main" objectType="CheckBox" fmlaLink="'Results for involved countries'!$B$10" lockText="1" noThreeD="1"/>
</file>

<file path=xl/ctrlProps/ctrlProp10.xml><?xml version="1.0" encoding="utf-8"?>
<formControlPr xmlns="http://schemas.microsoft.com/office/spreadsheetml/2009/9/main" objectType="CheckBox" fmlaLink="'Results for involved countries'!$B$11" lockText="1" noThreeD="1"/>
</file>

<file path=xl/ctrlProps/ctrlProp11.xml><?xml version="1.0" encoding="utf-8"?>
<formControlPr xmlns="http://schemas.microsoft.com/office/spreadsheetml/2009/9/main" objectType="CheckBox" fmlaLink="'Results for involved countries'!$B$12" lockText="1" noThreeD="1"/>
</file>

<file path=xl/ctrlProps/ctrlProp12.xml><?xml version="1.0" encoding="utf-8"?>
<formControlPr xmlns="http://schemas.microsoft.com/office/spreadsheetml/2009/9/main" objectType="CheckBox" fmlaLink="'Results for involved countries'!$B$13" lockText="1" noThreeD="1"/>
</file>

<file path=xl/ctrlProps/ctrlProp13.xml><?xml version="1.0" encoding="utf-8"?>
<formControlPr xmlns="http://schemas.microsoft.com/office/spreadsheetml/2009/9/main" objectType="CheckBox" fmlaLink="'Results for involved countries'!$B$14" lockText="1" noThreeD="1"/>
</file>

<file path=xl/ctrlProps/ctrlProp14.xml><?xml version="1.0" encoding="utf-8"?>
<formControlPr xmlns="http://schemas.microsoft.com/office/spreadsheetml/2009/9/main" objectType="CheckBox" fmlaLink="'Results for involved countries'!$B$15" lockText="1" noThreeD="1"/>
</file>

<file path=xl/ctrlProps/ctrlProp15.xml><?xml version="1.0" encoding="utf-8"?>
<formControlPr xmlns="http://schemas.microsoft.com/office/spreadsheetml/2009/9/main" objectType="CheckBox" fmlaLink="'Results for involved countries'!$B$16" lockText="1" noThreeD="1"/>
</file>

<file path=xl/ctrlProps/ctrlProp16.xml><?xml version="1.0" encoding="utf-8"?>
<formControlPr xmlns="http://schemas.microsoft.com/office/spreadsheetml/2009/9/main" objectType="CheckBox" fmlaLink="'Results for involved countries'!$B$17" lockText="1" noThreeD="1"/>
</file>

<file path=xl/ctrlProps/ctrlProp17.xml><?xml version="1.0" encoding="utf-8"?>
<formControlPr xmlns="http://schemas.microsoft.com/office/spreadsheetml/2009/9/main" objectType="CheckBox" fmlaLink="'Results for involved countries'!$B$18" lockText="1" noThreeD="1"/>
</file>

<file path=xl/ctrlProps/ctrlProp18.xml><?xml version="1.0" encoding="utf-8"?>
<formControlPr xmlns="http://schemas.microsoft.com/office/spreadsheetml/2009/9/main" objectType="CheckBox" fmlaLink="'Results for involved countries'!$B$19" lockText="1" noThreeD="1"/>
</file>

<file path=xl/ctrlProps/ctrlProp19.xml><?xml version="1.0" encoding="utf-8"?>
<formControlPr xmlns="http://schemas.microsoft.com/office/spreadsheetml/2009/9/main" objectType="CheckBox" fmlaLink="'Results for involved countries'!$B$20" lockText="1" noThreeD="1"/>
</file>

<file path=xl/ctrlProps/ctrlProp20.xml><?xml version="1.0" encoding="utf-8"?>
<formControlPr xmlns="http://schemas.microsoft.com/office/spreadsheetml/2009/9/main" objectType="CheckBox" fmlaLink="'Results for involved countries'!$B$21" lockText="1" noThreeD="1"/>
</file>

<file path=xl/ctrlProps/ctrlProp21.xml><?xml version="1.0" encoding="utf-8"?>
<formControlPr xmlns="http://schemas.microsoft.com/office/spreadsheetml/2009/9/main" objectType="CheckBox" fmlaLink="'Results for involved countries'!$B$22" lockText="1" noThreeD="1"/>
</file>

<file path=xl/ctrlProps/ctrlProp22.xml><?xml version="1.0" encoding="utf-8"?>
<formControlPr xmlns="http://schemas.microsoft.com/office/spreadsheetml/2009/9/main" objectType="CheckBox" fmlaLink="'Results for involved countries'!$B$23" lockText="1" noThreeD="1"/>
</file>

<file path=xl/ctrlProps/ctrlProp23.xml><?xml version="1.0" encoding="utf-8"?>
<formControlPr xmlns="http://schemas.microsoft.com/office/spreadsheetml/2009/9/main" objectType="CheckBox" fmlaLink="'Results for involved countries'!$B$24" lockText="1" noThreeD="1"/>
</file>

<file path=xl/ctrlProps/ctrlProp24.xml><?xml version="1.0" encoding="utf-8"?>
<formControlPr xmlns="http://schemas.microsoft.com/office/spreadsheetml/2009/9/main" objectType="CheckBox" fmlaLink="'Results for involved countries'!$B$25" lockText="1" noThreeD="1"/>
</file>

<file path=xl/ctrlProps/ctrlProp25.xml><?xml version="1.0" encoding="utf-8"?>
<formControlPr xmlns="http://schemas.microsoft.com/office/spreadsheetml/2009/9/main" objectType="CheckBox" fmlaLink="'Results for involved countries'!$B$26" lockText="1" noThreeD="1"/>
</file>

<file path=xl/ctrlProps/ctrlProp26.xml><?xml version="1.0" encoding="utf-8"?>
<formControlPr xmlns="http://schemas.microsoft.com/office/spreadsheetml/2009/9/main" objectType="CheckBox" fmlaLink="'Results for involved countries'!$B$27" lockText="1" noThreeD="1"/>
</file>

<file path=xl/ctrlProps/ctrlProp27.xml><?xml version="1.0" encoding="utf-8"?>
<formControlPr xmlns="http://schemas.microsoft.com/office/spreadsheetml/2009/9/main" objectType="CheckBox" fmlaLink="'Results for involved countries'!$B$28" lockText="1" noThreeD="1"/>
</file>

<file path=xl/ctrlProps/ctrlProp28.xml><?xml version="1.0" encoding="utf-8"?>
<formControlPr xmlns="http://schemas.microsoft.com/office/spreadsheetml/2009/9/main" objectType="CheckBox" fmlaLink="'Results for involved countries'!$B$29" lockText="1" noThreeD="1"/>
</file>

<file path=xl/ctrlProps/ctrlProp29.xml><?xml version="1.0" encoding="utf-8"?>
<formControlPr xmlns="http://schemas.microsoft.com/office/spreadsheetml/2009/9/main" objectType="CheckBox" fmlaLink="'Results for involved countries'!$B$30" lockText="1" noThreeD="1"/>
</file>

<file path=xl/ctrlProps/ctrlProp30.xml><?xml version="1.0" encoding="utf-8"?>
<formControlPr xmlns="http://schemas.microsoft.com/office/spreadsheetml/2009/9/main" objectType="CheckBox" fmlaLink="'Results for involved countries'!$B$31" lockText="1" noThreeD="1"/>
</file>

<file path=xl/ctrlProps/ctrlProp31.xml><?xml version="1.0" encoding="utf-8"?>
<formControlPr xmlns="http://schemas.microsoft.com/office/spreadsheetml/2009/9/main" objectType="CheckBox" fmlaLink="'Results for involved countries'!$B$32" lockText="1" noThreeD="1"/>
</file>

<file path=xl/ctrlProps/ctrlProp32.xml><?xml version="1.0" encoding="utf-8"?>
<formControlPr xmlns="http://schemas.microsoft.com/office/spreadsheetml/2009/9/main" objectType="CheckBox" fmlaLink="'Compiled format'!$W$4" lockText="1" noThreeD="1"/>
</file>

<file path=xl/ctrlProps/ctrlProp33.xml><?xml version="1.0" encoding="utf-8"?>
<formControlPr xmlns="http://schemas.microsoft.com/office/spreadsheetml/2009/9/main" objectType="CheckBox" fmlaLink="'Compiled format'!$Y$4" lockText="1" noThreeD="1"/>
</file>

<file path=xl/ctrlProps/ctrlProp34.xml><?xml version="1.0" encoding="utf-8"?>
<formControlPr xmlns="http://schemas.microsoft.com/office/spreadsheetml/2009/9/main" objectType="CheckBox" fmlaLink="'Results for involved countries'!$B$2" lockText="1" noThreeD="1"/>
</file>

<file path=xl/ctrlProps/ctrlProp35.xml><?xml version="1.0" encoding="utf-8"?>
<formControlPr xmlns="http://schemas.microsoft.com/office/spreadsheetml/2009/9/main" objectType="CheckBox" fmlaLink="'Results for involved countries'!$B$3" lockText="1" noThreeD="1"/>
</file>

<file path=xl/ctrlProps/ctrlProp36.xml><?xml version="1.0" encoding="utf-8"?>
<formControlPr xmlns="http://schemas.microsoft.com/office/spreadsheetml/2009/9/main" objectType="CheckBox" fmlaLink="'Results for involved countries'!$B$4" lockText="1" noThreeD="1"/>
</file>

<file path=xl/ctrlProps/ctrlProp37.xml><?xml version="1.0" encoding="utf-8"?>
<formControlPr xmlns="http://schemas.microsoft.com/office/spreadsheetml/2009/9/main" objectType="CheckBox" fmlaLink="'Results for involved countries'!$B$5" lockText="1" noThreeD="1"/>
</file>

<file path=xl/ctrlProps/ctrlProp38.xml><?xml version="1.0" encoding="utf-8"?>
<formControlPr xmlns="http://schemas.microsoft.com/office/spreadsheetml/2009/9/main" objectType="CheckBox" fmlaLink="'Results for involved countries'!$B$6" lockText="1" noThreeD="1"/>
</file>

<file path=xl/ctrlProps/ctrlProp39.xml><?xml version="1.0" encoding="utf-8"?>
<formControlPr xmlns="http://schemas.microsoft.com/office/spreadsheetml/2009/9/main" objectType="CheckBox" fmlaLink="'Results for involved countries'!$B$7" lockText="1" noThreeD="1"/>
</file>

<file path=xl/ctrlProps/ctrlProp40.xml><?xml version="1.0" encoding="utf-8"?>
<formControlPr xmlns="http://schemas.microsoft.com/office/spreadsheetml/2009/9/main" objectType="CheckBox" fmlaLink="'Results for involved countries'!$B$8" lockText="1" noThreeD="1"/>
</file>

<file path=xl/ctrlProps/ctrlProp41.xml><?xml version="1.0" encoding="utf-8"?>
<formControlPr xmlns="http://schemas.microsoft.com/office/spreadsheetml/2009/9/main" objectType="CheckBox" fmlaLink="'Results for involved countries'!$B$9" lockText="1" noThreeD="1"/>
</file>

<file path=xl/ctrlProps/ctrlProp42.xml><?xml version="1.0" encoding="utf-8"?>
<formControlPr xmlns="http://schemas.microsoft.com/office/spreadsheetml/2009/9/main" objectType="CheckBox" fmlaLink="'Results for involved countries'!$B$10" lockText="1" noThreeD="1"/>
</file>

<file path=xl/ctrlProps/ctrlProp43.xml><?xml version="1.0" encoding="utf-8"?>
<formControlPr xmlns="http://schemas.microsoft.com/office/spreadsheetml/2009/9/main" objectType="CheckBox" fmlaLink="'Results for involved countries'!$B$11" lockText="1" noThreeD="1"/>
</file>

<file path=xl/ctrlProps/ctrlProp44.xml><?xml version="1.0" encoding="utf-8"?>
<formControlPr xmlns="http://schemas.microsoft.com/office/spreadsheetml/2009/9/main" objectType="CheckBox" fmlaLink="'Results for involved countries'!$B$12" lockText="1" noThreeD="1"/>
</file>

<file path=xl/ctrlProps/ctrlProp45.xml><?xml version="1.0" encoding="utf-8"?>
<formControlPr xmlns="http://schemas.microsoft.com/office/spreadsheetml/2009/9/main" objectType="CheckBox" fmlaLink="'Results for involved countries'!$B$13" lockText="1" noThreeD="1"/>
</file>

<file path=xl/ctrlProps/ctrlProp46.xml><?xml version="1.0" encoding="utf-8"?>
<formControlPr xmlns="http://schemas.microsoft.com/office/spreadsheetml/2009/9/main" objectType="CheckBox" fmlaLink="'Results for involved countries'!$B$14" lockText="1" noThreeD="1"/>
</file>

<file path=xl/ctrlProps/ctrlProp47.xml><?xml version="1.0" encoding="utf-8"?>
<formControlPr xmlns="http://schemas.microsoft.com/office/spreadsheetml/2009/9/main" objectType="CheckBox" fmlaLink="'Results for involved countries'!$B$15" lockText="1" noThreeD="1"/>
</file>

<file path=xl/ctrlProps/ctrlProp48.xml><?xml version="1.0" encoding="utf-8"?>
<formControlPr xmlns="http://schemas.microsoft.com/office/spreadsheetml/2009/9/main" objectType="CheckBox" fmlaLink="'Results for involved countries'!$B$16" lockText="1" noThreeD="1"/>
</file>

<file path=xl/ctrlProps/ctrlProp49.xml><?xml version="1.0" encoding="utf-8"?>
<formControlPr xmlns="http://schemas.microsoft.com/office/spreadsheetml/2009/9/main" objectType="CheckBox" fmlaLink="'Results for involved countries'!$B$17" lockText="1" noThreeD="1"/>
</file>

<file path=xl/ctrlProps/ctrlProp50.xml><?xml version="1.0" encoding="utf-8"?>
<formControlPr xmlns="http://schemas.microsoft.com/office/spreadsheetml/2009/9/main" objectType="CheckBox" fmlaLink="'Results for involved countries'!$B$18" lockText="1" noThreeD="1"/>
</file>

<file path=xl/ctrlProps/ctrlProp51.xml><?xml version="1.0" encoding="utf-8"?>
<formControlPr xmlns="http://schemas.microsoft.com/office/spreadsheetml/2009/9/main" objectType="CheckBox" fmlaLink="'Results for involved countries'!$B$19" lockText="1" noThreeD="1"/>
</file>

<file path=xl/ctrlProps/ctrlProp52.xml><?xml version="1.0" encoding="utf-8"?>
<formControlPr xmlns="http://schemas.microsoft.com/office/spreadsheetml/2009/9/main" objectType="CheckBox" fmlaLink="'Results for involved countries'!$B$20" lockText="1" noThreeD="1"/>
</file>

<file path=xl/ctrlProps/ctrlProp53.xml><?xml version="1.0" encoding="utf-8"?>
<formControlPr xmlns="http://schemas.microsoft.com/office/spreadsheetml/2009/9/main" objectType="CheckBox" fmlaLink="'Results for involved countries'!$B$21" lockText="1" noThreeD="1"/>
</file>

<file path=xl/ctrlProps/ctrlProp54.xml><?xml version="1.0" encoding="utf-8"?>
<formControlPr xmlns="http://schemas.microsoft.com/office/spreadsheetml/2009/9/main" objectType="CheckBox" fmlaLink="'Results for involved countries'!$B$22" lockText="1" noThreeD="1"/>
</file>

<file path=xl/ctrlProps/ctrlProp55.xml><?xml version="1.0" encoding="utf-8"?>
<formControlPr xmlns="http://schemas.microsoft.com/office/spreadsheetml/2009/9/main" objectType="CheckBox" fmlaLink="'Results for involved countries'!$B$23" lockText="1" noThreeD="1"/>
</file>

<file path=xl/ctrlProps/ctrlProp56.xml><?xml version="1.0" encoding="utf-8"?>
<formControlPr xmlns="http://schemas.microsoft.com/office/spreadsheetml/2009/9/main" objectType="CheckBox" fmlaLink="'Results for involved countries'!$B$24" lockText="1" noThreeD="1"/>
</file>

<file path=xl/ctrlProps/ctrlProp57.xml><?xml version="1.0" encoding="utf-8"?>
<formControlPr xmlns="http://schemas.microsoft.com/office/spreadsheetml/2009/9/main" objectType="CheckBox" fmlaLink="'Results for involved countries'!$B$25" lockText="1" noThreeD="1"/>
</file>

<file path=xl/ctrlProps/ctrlProp58.xml><?xml version="1.0" encoding="utf-8"?>
<formControlPr xmlns="http://schemas.microsoft.com/office/spreadsheetml/2009/9/main" objectType="CheckBox" fmlaLink="'Results for involved countries'!$B$26" lockText="1" noThreeD="1"/>
</file>

<file path=xl/ctrlProps/ctrlProp59.xml><?xml version="1.0" encoding="utf-8"?>
<formControlPr xmlns="http://schemas.microsoft.com/office/spreadsheetml/2009/9/main" objectType="CheckBox" fmlaLink="'Results for involved countries'!$B$27" lockText="1" noThreeD="1"/>
</file>

<file path=xl/ctrlProps/ctrlProp60.xml><?xml version="1.0" encoding="utf-8"?>
<formControlPr xmlns="http://schemas.microsoft.com/office/spreadsheetml/2009/9/main" objectType="CheckBox" fmlaLink="'Results for involved countries'!$B$28" lockText="1" noThreeD="1"/>
</file>

<file path=xl/ctrlProps/ctrlProp61.xml><?xml version="1.0" encoding="utf-8"?>
<formControlPr xmlns="http://schemas.microsoft.com/office/spreadsheetml/2009/9/main" objectType="CheckBox" fmlaLink="'Results for involved countries'!$B$29" lockText="1" noThreeD="1"/>
</file>

<file path=xl/ctrlProps/ctrlProp62.xml><?xml version="1.0" encoding="utf-8"?>
<formControlPr xmlns="http://schemas.microsoft.com/office/spreadsheetml/2009/9/main" objectType="CheckBox" fmlaLink="'Results for involved countries'!$B$30" lockText="1" noThreeD="1"/>
</file>

<file path=xl/ctrlProps/ctrlProp63.xml><?xml version="1.0" encoding="utf-8"?>
<formControlPr xmlns="http://schemas.microsoft.com/office/spreadsheetml/2009/9/main" objectType="CheckBox" fmlaLink="'Results for involved countries'!$B$31" lockText="1" noThreeD="1"/>
</file>

<file path=xl/ctrlProps/ctrlProp64.xml><?xml version="1.0" encoding="utf-8"?>
<formControlPr xmlns="http://schemas.microsoft.com/office/spreadsheetml/2009/9/main" objectType="CheckBox" fmlaLink="'Results for involved countries'!$B$32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fmlaLink="'Compiled format'!$AJ$4" lockText="1" noThreeD="1"/>
</file>

<file path=xl/ctrlProps/ctrlProp68.xml><?xml version="1.0" encoding="utf-8"?>
<formControlPr xmlns="http://schemas.microsoft.com/office/spreadsheetml/2009/9/main" objectType="CheckBox" fmlaLink="'Compiled format'!$AK$4" lockText="1" noThreeD="1"/>
</file>

<file path=xl/ctrlProps/ctrlProp69.xml><?xml version="1.0" encoding="utf-8"?>
<formControlPr xmlns="http://schemas.microsoft.com/office/spreadsheetml/2009/9/main" objectType="CheckBox" fmlaLink="'Compiled format'!$AL$4" lockText="1" noThreeD="1"/>
</file>

<file path=xl/ctrlProps/ctrlProp70.xml><?xml version="1.0" encoding="utf-8"?>
<formControlPr xmlns="http://schemas.microsoft.com/office/spreadsheetml/2009/9/main" objectType="CheckBox" fmlaLink="'Compiled format'!$AM$4" lockText="1" noThreeD="1"/>
</file>

<file path=xl/ctrlProps/ctrlProp71.xml><?xml version="1.0" encoding="utf-8"?>
<formControlPr xmlns="http://schemas.microsoft.com/office/spreadsheetml/2009/9/main" objectType="CheckBox" fmlaLink="'Compiled format'!$AN$4" lockText="1" noThreeD="1"/>
</file>

<file path=xl/ctrlProps/ctrlProp72.xml><?xml version="1.0" encoding="utf-8"?>
<formControlPr xmlns="http://schemas.microsoft.com/office/spreadsheetml/2009/9/main" objectType="CheckBox" fmlaLink="'Compiled format'!$AO$4" lockText="1" noThreeD="1"/>
</file>

<file path=xl/ctrlProps/ctrlProp73.xml><?xml version="1.0" encoding="utf-8"?>
<formControlPr xmlns="http://schemas.microsoft.com/office/spreadsheetml/2009/9/main" objectType="CheckBox" fmlaLink="'Compiled format'!$AP$4" lockText="1" noThreeD="1"/>
</file>

<file path=xl/ctrlProps/ctrlProp74.xml><?xml version="1.0" encoding="utf-8"?>
<formControlPr xmlns="http://schemas.microsoft.com/office/spreadsheetml/2009/9/main" objectType="CheckBox" fmlaLink="'Compiled format'!$AQ$4" lockText="1" noThreeD="1"/>
</file>

<file path=xl/ctrlProps/ctrlProp75.xml><?xml version="1.0" encoding="utf-8"?>
<formControlPr xmlns="http://schemas.microsoft.com/office/spreadsheetml/2009/9/main" objectType="CheckBox" fmlaLink="'Compiled format'!$AR$4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fmlaLink="'Compiled format'!$AS$4" lockText="1" noThreeD="1"/>
</file>

<file path=xl/ctrlProps/ctrlProp78.xml><?xml version="1.0" encoding="utf-8"?>
<formControlPr xmlns="http://schemas.microsoft.com/office/spreadsheetml/2009/9/main" objectType="CheckBox" fmlaLink="'Results for involved countries'!$B$2" lockText="1" noThreeD="1"/>
</file>

<file path=xl/ctrlProps/ctrlProp79.xml><?xml version="1.0" encoding="utf-8"?>
<formControlPr xmlns="http://schemas.microsoft.com/office/spreadsheetml/2009/9/main" objectType="CheckBox" fmlaLink="'Results for involved countries'!$B$3" lockText="1" noThreeD="1"/>
</file>

<file path=xl/ctrlProps/ctrlProp80.xml><?xml version="1.0" encoding="utf-8"?>
<formControlPr xmlns="http://schemas.microsoft.com/office/spreadsheetml/2009/9/main" objectType="CheckBox" fmlaLink="'Results for involved countries'!$B$4" lockText="1" noThreeD="1"/>
</file>

<file path=xl/ctrlProps/ctrlProp81.xml><?xml version="1.0" encoding="utf-8"?>
<formControlPr xmlns="http://schemas.microsoft.com/office/spreadsheetml/2009/9/main" objectType="CheckBox" fmlaLink="'Results for involved countries'!$B$5" lockText="1" noThreeD="1"/>
</file>

<file path=xl/ctrlProps/ctrlProp82.xml><?xml version="1.0" encoding="utf-8"?>
<formControlPr xmlns="http://schemas.microsoft.com/office/spreadsheetml/2009/9/main" objectType="CheckBox" fmlaLink="'Results for involved countries'!$B$6" lockText="1" noThreeD="1"/>
</file>

<file path=xl/ctrlProps/ctrlProp83.xml><?xml version="1.0" encoding="utf-8"?>
<formControlPr xmlns="http://schemas.microsoft.com/office/spreadsheetml/2009/9/main" objectType="CheckBox" fmlaLink="'Results for involved countries'!$B$7" lockText="1" noThreeD="1"/>
</file>

<file path=xl/ctrlProps/ctrlProp84.xml><?xml version="1.0" encoding="utf-8"?>
<formControlPr xmlns="http://schemas.microsoft.com/office/spreadsheetml/2009/9/main" objectType="CheckBox" fmlaLink="'Results for involved countries'!$B$8" lockText="1" noThreeD="1"/>
</file>

<file path=xl/ctrlProps/ctrlProp85.xml><?xml version="1.0" encoding="utf-8"?>
<formControlPr xmlns="http://schemas.microsoft.com/office/spreadsheetml/2009/9/main" objectType="CheckBox" fmlaLink="'Results for involved countries'!$B$9" lockText="1" noThreeD="1"/>
</file>

<file path=xl/ctrlProps/ctrlProp86.xml><?xml version="1.0" encoding="utf-8"?>
<formControlPr xmlns="http://schemas.microsoft.com/office/spreadsheetml/2009/9/main" objectType="CheckBox" fmlaLink="'Results for involved countries'!$B$10" lockText="1" noThreeD="1"/>
</file>

<file path=xl/ctrlProps/ctrlProp87.xml><?xml version="1.0" encoding="utf-8"?>
<formControlPr xmlns="http://schemas.microsoft.com/office/spreadsheetml/2009/9/main" objectType="CheckBox" fmlaLink="'Results for involved countries'!$B$11" lockText="1" noThreeD="1"/>
</file>

<file path=xl/ctrlProps/ctrlProp88.xml><?xml version="1.0" encoding="utf-8"?>
<formControlPr xmlns="http://schemas.microsoft.com/office/spreadsheetml/2009/9/main" objectType="CheckBox" fmlaLink="'Results for involved countries'!$B$12" lockText="1" noThreeD="1"/>
</file>

<file path=xl/ctrlProps/ctrlProp89.xml><?xml version="1.0" encoding="utf-8"?>
<formControlPr xmlns="http://schemas.microsoft.com/office/spreadsheetml/2009/9/main" objectType="CheckBox" fmlaLink="'Results for involved countries'!$B$13" lockText="1" noThreeD="1"/>
</file>

<file path=xl/ctrlProps/ctrlProp90.xml><?xml version="1.0" encoding="utf-8"?>
<formControlPr xmlns="http://schemas.microsoft.com/office/spreadsheetml/2009/9/main" objectType="CheckBox" fmlaLink="'Results for involved countries'!$B$14" lockText="1" noThreeD="1"/>
</file>

<file path=xl/ctrlProps/ctrlProp91.xml><?xml version="1.0" encoding="utf-8"?>
<formControlPr xmlns="http://schemas.microsoft.com/office/spreadsheetml/2009/9/main" objectType="CheckBox" fmlaLink="'Results for involved countries'!$B$15" lockText="1" noThreeD="1"/>
</file>

<file path=xl/ctrlProps/ctrlProp92.xml><?xml version="1.0" encoding="utf-8"?>
<formControlPr xmlns="http://schemas.microsoft.com/office/spreadsheetml/2009/9/main" objectType="CheckBox" fmlaLink="'Results for involved countries'!$B$16" lockText="1" noThreeD="1"/>
</file>

<file path=xl/ctrlProps/ctrlProp93.xml><?xml version="1.0" encoding="utf-8"?>
<formControlPr xmlns="http://schemas.microsoft.com/office/spreadsheetml/2009/9/main" objectType="CheckBox" fmlaLink="'Results for involved countries'!$B$17" lockText="1" noThreeD="1"/>
</file>

<file path=xl/ctrlProps/ctrlProp94.xml><?xml version="1.0" encoding="utf-8"?>
<formControlPr xmlns="http://schemas.microsoft.com/office/spreadsheetml/2009/9/main" objectType="CheckBox" fmlaLink="'Results for involved countries'!$B$18" lockText="1" noThreeD="1"/>
</file>

<file path=xl/ctrlProps/ctrlProp95.xml><?xml version="1.0" encoding="utf-8"?>
<formControlPr xmlns="http://schemas.microsoft.com/office/spreadsheetml/2009/9/main" objectType="CheckBox" fmlaLink="'Results for involved countries'!$B$19" lockText="1" noThreeD="1"/>
</file>

<file path=xl/ctrlProps/ctrlProp96.xml><?xml version="1.0" encoding="utf-8"?>
<formControlPr xmlns="http://schemas.microsoft.com/office/spreadsheetml/2009/9/main" objectType="CheckBox" fmlaLink="'Results for involved countries'!$B$20" lockText="1" noThreeD="1"/>
</file>

<file path=xl/ctrlProps/ctrlProp97.xml><?xml version="1.0" encoding="utf-8"?>
<formControlPr xmlns="http://schemas.microsoft.com/office/spreadsheetml/2009/9/main" objectType="CheckBox" fmlaLink="'Results for involved countries'!$B$21" lockText="1" noThreeD="1"/>
</file>

<file path=xl/ctrlProps/ctrlProp98.xml><?xml version="1.0" encoding="utf-8"?>
<formControlPr xmlns="http://schemas.microsoft.com/office/spreadsheetml/2009/9/main" objectType="CheckBox" fmlaLink="'Results for involved countries'!$B$22" lockText="1" noThreeD="1"/>
</file>

<file path=xl/ctrlProps/ctrlProp99.xml><?xml version="1.0" encoding="utf-8"?>
<formControlPr xmlns="http://schemas.microsoft.com/office/spreadsheetml/2009/9/main" objectType="CheckBox" fmlaLink="'Results for involved countries'!$B$23" lockText="1" noThreeD="1"/>
</file>

<file path=xl/ctrlProps/ctrlProp100.xml><?xml version="1.0" encoding="utf-8"?>
<formControlPr xmlns="http://schemas.microsoft.com/office/spreadsheetml/2009/9/main" objectType="CheckBox" fmlaLink="'Results for involved countries'!$B$24" lockText="1" noThreeD="1"/>
</file>

<file path=xl/ctrlProps/ctrlProp101.xml><?xml version="1.0" encoding="utf-8"?>
<formControlPr xmlns="http://schemas.microsoft.com/office/spreadsheetml/2009/9/main" objectType="CheckBox" fmlaLink="'Results for involved countries'!$B$25" lockText="1" noThreeD="1"/>
</file>

<file path=xl/ctrlProps/ctrlProp102.xml><?xml version="1.0" encoding="utf-8"?>
<formControlPr xmlns="http://schemas.microsoft.com/office/spreadsheetml/2009/9/main" objectType="CheckBox" fmlaLink="'Results for involved countries'!$B$26" lockText="1" noThreeD="1"/>
</file>

<file path=xl/ctrlProps/ctrlProp103.xml><?xml version="1.0" encoding="utf-8"?>
<formControlPr xmlns="http://schemas.microsoft.com/office/spreadsheetml/2009/9/main" objectType="CheckBox" fmlaLink="'Results for involved countries'!$B$27" lockText="1" noThreeD="1"/>
</file>

<file path=xl/ctrlProps/ctrlProp104.xml><?xml version="1.0" encoding="utf-8"?>
<formControlPr xmlns="http://schemas.microsoft.com/office/spreadsheetml/2009/9/main" objectType="CheckBox" fmlaLink="'Results for involved countries'!$B$28" lockText="1" noThreeD="1"/>
</file>

<file path=xl/ctrlProps/ctrlProp105.xml><?xml version="1.0" encoding="utf-8"?>
<formControlPr xmlns="http://schemas.microsoft.com/office/spreadsheetml/2009/9/main" objectType="CheckBox" fmlaLink="'Results for involved countries'!$B$29" lockText="1" noThreeD="1"/>
</file>

<file path=xl/ctrlProps/ctrlProp106.xml><?xml version="1.0" encoding="utf-8"?>
<formControlPr xmlns="http://schemas.microsoft.com/office/spreadsheetml/2009/9/main" objectType="CheckBox" fmlaLink="'Results for involved countries'!$B$30" lockText="1" noThreeD="1"/>
</file>

<file path=xl/ctrlProps/ctrlProp107.xml><?xml version="1.0" encoding="utf-8"?>
<formControlPr xmlns="http://schemas.microsoft.com/office/spreadsheetml/2009/9/main" objectType="CheckBox" fmlaLink="'Results for involved countries'!$B$31" lockText="1" noThreeD="1"/>
</file>

<file path=xl/ctrlProps/ctrlProp108.xml><?xml version="1.0" encoding="utf-8"?>
<formControlPr xmlns="http://schemas.microsoft.com/office/spreadsheetml/2009/9/main" objectType="CheckBox" fmlaLink="'Results for involved countries'!$B$32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fmlaLink="'Results for involved countries'!$B$2" lockText="1" noThreeD="1"/>
</file>

<file path=xl/ctrlProps/ctrlProp112.xml><?xml version="1.0" encoding="utf-8"?>
<formControlPr xmlns="http://schemas.microsoft.com/office/spreadsheetml/2009/9/main" objectType="CheckBox" fmlaLink="'Results for involved countries'!$B$3" lockText="1" noThreeD="1"/>
</file>

<file path=xl/ctrlProps/ctrlProp113.xml><?xml version="1.0" encoding="utf-8"?>
<formControlPr xmlns="http://schemas.microsoft.com/office/spreadsheetml/2009/9/main" objectType="CheckBox" fmlaLink="'Results for involved countries'!$B$4" lockText="1" noThreeD="1"/>
</file>

<file path=xl/ctrlProps/ctrlProp114.xml><?xml version="1.0" encoding="utf-8"?>
<formControlPr xmlns="http://schemas.microsoft.com/office/spreadsheetml/2009/9/main" objectType="CheckBox" fmlaLink="'Results for involved countries'!$B$5" lockText="1" noThreeD="1"/>
</file>

<file path=xl/ctrlProps/ctrlProp115.xml><?xml version="1.0" encoding="utf-8"?>
<formControlPr xmlns="http://schemas.microsoft.com/office/spreadsheetml/2009/9/main" objectType="CheckBox" fmlaLink="'Results for involved countries'!$B$6" lockText="1" noThreeD="1"/>
</file>

<file path=xl/ctrlProps/ctrlProp116.xml><?xml version="1.0" encoding="utf-8"?>
<formControlPr xmlns="http://schemas.microsoft.com/office/spreadsheetml/2009/9/main" objectType="CheckBox" fmlaLink="'Results for involved countries'!$B$7" lockText="1" noThreeD="1"/>
</file>

<file path=xl/ctrlProps/ctrlProp117.xml><?xml version="1.0" encoding="utf-8"?>
<formControlPr xmlns="http://schemas.microsoft.com/office/spreadsheetml/2009/9/main" objectType="CheckBox" fmlaLink="'Results for involved countries'!$B$8" lockText="1" noThreeD="1"/>
</file>

<file path=xl/ctrlProps/ctrlProp118.xml><?xml version="1.0" encoding="utf-8"?>
<formControlPr xmlns="http://schemas.microsoft.com/office/spreadsheetml/2009/9/main" objectType="CheckBox" fmlaLink="'Results for involved countries'!$B$9" lockText="1" noThreeD="1"/>
</file>

<file path=xl/ctrlProps/ctrlProp119.xml><?xml version="1.0" encoding="utf-8"?>
<formControlPr xmlns="http://schemas.microsoft.com/office/spreadsheetml/2009/9/main" objectType="CheckBox" fmlaLink="'Results for involved countries'!$B$10" lockText="1" noThreeD="1"/>
</file>

<file path=xl/ctrlProps/ctrlProp120.xml><?xml version="1.0" encoding="utf-8"?>
<formControlPr xmlns="http://schemas.microsoft.com/office/spreadsheetml/2009/9/main" objectType="CheckBox" fmlaLink="'Results for involved countries'!$B$11" lockText="1" noThreeD="1"/>
</file>

<file path=xl/ctrlProps/ctrlProp121.xml><?xml version="1.0" encoding="utf-8"?>
<formControlPr xmlns="http://schemas.microsoft.com/office/spreadsheetml/2009/9/main" objectType="CheckBox" fmlaLink="'Results for involved countries'!$B$12" lockText="1" noThreeD="1"/>
</file>

<file path=xl/ctrlProps/ctrlProp122.xml><?xml version="1.0" encoding="utf-8"?>
<formControlPr xmlns="http://schemas.microsoft.com/office/spreadsheetml/2009/9/main" objectType="CheckBox" fmlaLink="'Results for involved countries'!$B$13" lockText="1" noThreeD="1"/>
</file>

<file path=xl/ctrlProps/ctrlProp123.xml><?xml version="1.0" encoding="utf-8"?>
<formControlPr xmlns="http://schemas.microsoft.com/office/spreadsheetml/2009/9/main" objectType="CheckBox" fmlaLink="'Results for involved countries'!$B$14" lockText="1" noThreeD="1"/>
</file>

<file path=xl/ctrlProps/ctrlProp124.xml><?xml version="1.0" encoding="utf-8"?>
<formControlPr xmlns="http://schemas.microsoft.com/office/spreadsheetml/2009/9/main" objectType="CheckBox" fmlaLink="'Results for involved countries'!$B$15" lockText="1" noThreeD="1"/>
</file>

<file path=xl/ctrlProps/ctrlProp125.xml><?xml version="1.0" encoding="utf-8"?>
<formControlPr xmlns="http://schemas.microsoft.com/office/spreadsheetml/2009/9/main" objectType="CheckBox" fmlaLink="'Results for involved countries'!$B$16" lockText="1" noThreeD="1"/>
</file>

<file path=xl/ctrlProps/ctrlProp126.xml><?xml version="1.0" encoding="utf-8"?>
<formControlPr xmlns="http://schemas.microsoft.com/office/spreadsheetml/2009/9/main" objectType="CheckBox" fmlaLink="'Results for involved countries'!$B$17" lockText="1" noThreeD="1"/>
</file>

<file path=xl/ctrlProps/ctrlProp127.xml><?xml version="1.0" encoding="utf-8"?>
<formControlPr xmlns="http://schemas.microsoft.com/office/spreadsheetml/2009/9/main" objectType="CheckBox" fmlaLink="'Results for involved countries'!$B$18" lockText="1" noThreeD="1"/>
</file>

<file path=xl/ctrlProps/ctrlProp128.xml><?xml version="1.0" encoding="utf-8"?>
<formControlPr xmlns="http://schemas.microsoft.com/office/spreadsheetml/2009/9/main" objectType="CheckBox" fmlaLink="'Results for involved countries'!$B$19" lockText="1" noThreeD="1"/>
</file>

<file path=xl/ctrlProps/ctrlProp129.xml><?xml version="1.0" encoding="utf-8"?>
<formControlPr xmlns="http://schemas.microsoft.com/office/spreadsheetml/2009/9/main" objectType="CheckBox" fmlaLink="'Results for involved countries'!$B$20" lockText="1" noThreeD="1"/>
</file>

<file path=xl/ctrlProps/ctrlProp130.xml><?xml version="1.0" encoding="utf-8"?>
<formControlPr xmlns="http://schemas.microsoft.com/office/spreadsheetml/2009/9/main" objectType="CheckBox" fmlaLink="'Results for involved countries'!$B$21" lockText="1" noThreeD="1"/>
</file>

<file path=xl/ctrlProps/ctrlProp131.xml><?xml version="1.0" encoding="utf-8"?>
<formControlPr xmlns="http://schemas.microsoft.com/office/spreadsheetml/2009/9/main" objectType="CheckBox" fmlaLink="'Results for involved countries'!$B$22" lockText="1" noThreeD="1"/>
</file>

<file path=xl/ctrlProps/ctrlProp132.xml><?xml version="1.0" encoding="utf-8"?>
<formControlPr xmlns="http://schemas.microsoft.com/office/spreadsheetml/2009/9/main" objectType="CheckBox" fmlaLink="'Results for involved countries'!$B$23" lockText="1" noThreeD="1"/>
</file>

<file path=xl/ctrlProps/ctrlProp133.xml><?xml version="1.0" encoding="utf-8"?>
<formControlPr xmlns="http://schemas.microsoft.com/office/spreadsheetml/2009/9/main" objectType="CheckBox" fmlaLink="'Results for involved countries'!$B$24" lockText="1" noThreeD="1"/>
</file>

<file path=xl/ctrlProps/ctrlProp134.xml><?xml version="1.0" encoding="utf-8"?>
<formControlPr xmlns="http://schemas.microsoft.com/office/spreadsheetml/2009/9/main" objectType="CheckBox" fmlaLink="'Results for involved countries'!$B$25" lockText="1" noThreeD="1"/>
</file>

<file path=xl/ctrlProps/ctrlProp135.xml><?xml version="1.0" encoding="utf-8"?>
<formControlPr xmlns="http://schemas.microsoft.com/office/spreadsheetml/2009/9/main" objectType="CheckBox" fmlaLink="'Results for involved countries'!$B$26" lockText="1" noThreeD="1"/>
</file>

<file path=xl/ctrlProps/ctrlProp136.xml><?xml version="1.0" encoding="utf-8"?>
<formControlPr xmlns="http://schemas.microsoft.com/office/spreadsheetml/2009/9/main" objectType="CheckBox" fmlaLink="'Results for involved countries'!$B$27" lockText="1" noThreeD="1"/>
</file>

<file path=xl/ctrlProps/ctrlProp137.xml><?xml version="1.0" encoding="utf-8"?>
<formControlPr xmlns="http://schemas.microsoft.com/office/spreadsheetml/2009/9/main" objectType="CheckBox" fmlaLink="'Results for involved countries'!$B$28" lockText="1" noThreeD="1"/>
</file>

<file path=xl/ctrlProps/ctrlProp138.xml><?xml version="1.0" encoding="utf-8"?>
<formControlPr xmlns="http://schemas.microsoft.com/office/spreadsheetml/2009/9/main" objectType="CheckBox" fmlaLink="'Results for involved countries'!$B$29" lockText="1" noThreeD="1"/>
</file>

<file path=xl/ctrlProps/ctrlProp139.xml><?xml version="1.0" encoding="utf-8"?>
<formControlPr xmlns="http://schemas.microsoft.com/office/spreadsheetml/2009/9/main" objectType="CheckBox" fmlaLink="'Results for involved countries'!$B$30" lockText="1" noThreeD="1"/>
</file>

<file path=xl/ctrlProps/ctrlProp140.xml><?xml version="1.0" encoding="utf-8"?>
<formControlPr xmlns="http://schemas.microsoft.com/office/spreadsheetml/2009/9/main" objectType="CheckBox" fmlaLink="'Results for involved countries'!$B$31" lockText="1" noThreeD="1"/>
</file>

<file path=xl/ctrlProps/ctrlProp141.xml><?xml version="1.0" encoding="utf-8"?>
<formControlPr xmlns="http://schemas.microsoft.com/office/spreadsheetml/2009/9/main" objectType="CheckBox" fmlaLink="'Results for involved countries'!$B$32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fmlaLink="'Compiled format'!$CX$4" lockText="1" noThreeD="1"/>
</file>

<file path=xl/ctrlProps/ctrlProp145.xml><?xml version="1.0" encoding="utf-8"?>
<formControlPr xmlns="http://schemas.microsoft.com/office/spreadsheetml/2009/9/main" objectType="CheckBox" fmlaLink="'Compiled format'!$CY$4" lockText="1" noThreeD="1"/>
</file>

<file path=xl/ctrlProps/ctrlProp146.xml><?xml version="1.0" encoding="utf-8"?>
<formControlPr xmlns="http://schemas.microsoft.com/office/spreadsheetml/2009/9/main" objectType="CheckBox" fmlaLink="'Compiled format'!$CZ$4" lockText="1" noThreeD="1"/>
</file>

<file path=xl/ctrlProps/ctrlProp147.xml><?xml version="1.0" encoding="utf-8"?>
<formControlPr xmlns="http://schemas.microsoft.com/office/spreadsheetml/2009/9/main" objectType="CheckBox" fmlaLink="'Compiled format'!$DA$4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1143000</xdr:colOff>
          <xdr:row>31</xdr:row>
          <xdr:rowOff>9525</xdr:rowOff>
        </xdr:from>
        <xdr:to>
          <xdr:col>8</xdr:col>
          <xdr:colOff>1447800</xdr:colOff>
          <xdr:row>32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1143000</xdr:colOff>
          <xdr:row>31</xdr:row>
          <xdr:rowOff>209550</xdr:rowOff>
        </xdr:from>
        <xdr:to>
          <xdr:col>8</xdr:col>
          <xdr:colOff>1447800</xdr:colOff>
          <xdr:row>32</xdr:row>
          <xdr:rowOff>200025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1143000</xdr:colOff>
          <xdr:row>32</xdr:row>
          <xdr:rowOff>190500</xdr:rowOff>
        </xdr:from>
        <xdr:to>
          <xdr:col>8</xdr:col>
          <xdr:colOff>1447800</xdr:colOff>
          <xdr:row>33</xdr:row>
          <xdr:rowOff>200025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31</xdr:row>
          <xdr:rowOff>19050</xdr:rowOff>
        </xdr:from>
        <xdr:to>
          <xdr:col>9</xdr:col>
          <xdr:colOff>428625</xdr:colOff>
          <xdr:row>32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31</xdr:row>
          <xdr:rowOff>219075</xdr:rowOff>
        </xdr:from>
        <xdr:to>
          <xdr:col>9</xdr:col>
          <xdr:colOff>428625</xdr:colOff>
          <xdr:row>33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32</xdr:row>
          <xdr:rowOff>200025</xdr:rowOff>
        </xdr:from>
        <xdr:to>
          <xdr:col>9</xdr:col>
          <xdr:colOff>428625</xdr:colOff>
          <xdr:row>34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31</xdr:row>
          <xdr:rowOff>19050</xdr:rowOff>
        </xdr:from>
        <xdr:to>
          <xdr:col>10</xdr:col>
          <xdr:colOff>476250</xdr:colOff>
          <xdr:row>32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31</xdr:row>
          <xdr:rowOff>219075</xdr:rowOff>
        </xdr:from>
        <xdr:to>
          <xdr:col>10</xdr:col>
          <xdr:colOff>476250</xdr:colOff>
          <xdr:row>33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32</xdr:row>
          <xdr:rowOff>200025</xdr:rowOff>
        </xdr:from>
        <xdr:to>
          <xdr:col>10</xdr:col>
          <xdr:colOff>476250</xdr:colOff>
          <xdr:row>34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31</xdr:row>
          <xdr:rowOff>19050</xdr:rowOff>
        </xdr:from>
        <xdr:to>
          <xdr:col>11</xdr:col>
          <xdr:colOff>514350</xdr:colOff>
          <xdr:row>32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31</xdr:row>
          <xdr:rowOff>219075</xdr:rowOff>
        </xdr:from>
        <xdr:to>
          <xdr:col>11</xdr:col>
          <xdr:colOff>514350</xdr:colOff>
          <xdr:row>33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32</xdr:row>
          <xdr:rowOff>200025</xdr:rowOff>
        </xdr:from>
        <xdr:to>
          <xdr:col>11</xdr:col>
          <xdr:colOff>514350</xdr:colOff>
          <xdr:row>34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31</xdr:row>
          <xdr:rowOff>19050</xdr:rowOff>
        </xdr:from>
        <xdr:to>
          <xdr:col>12</xdr:col>
          <xdr:colOff>485775</xdr:colOff>
          <xdr:row>32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31</xdr:row>
          <xdr:rowOff>219075</xdr:rowOff>
        </xdr:from>
        <xdr:to>
          <xdr:col>12</xdr:col>
          <xdr:colOff>485775</xdr:colOff>
          <xdr:row>33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32</xdr:row>
          <xdr:rowOff>200025</xdr:rowOff>
        </xdr:from>
        <xdr:to>
          <xdr:col>12</xdr:col>
          <xdr:colOff>485775</xdr:colOff>
          <xdr:row>34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31</xdr:row>
          <xdr:rowOff>19050</xdr:rowOff>
        </xdr:from>
        <xdr:to>
          <xdr:col>13</xdr:col>
          <xdr:colOff>504825</xdr:colOff>
          <xdr:row>32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31</xdr:row>
          <xdr:rowOff>219075</xdr:rowOff>
        </xdr:from>
        <xdr:to>
          <xdr:col>13</xdr:col>
          <xdr:colOff>504825</xdr:colOff>
          <xdr:row>33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32</xdr:row>
          <xdr:rowOff>200025</xdr:rowOff>
        </xdr:from>
        <xdr:to>
          <xdr:col>13</xdr:col>
          <xdr:colOff>504825</xdr:colOff>
          <xdr:row>34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31</xdr:row>
          <xdr:rowOff>19050</xdr:rowOff>
        </xdr:from>
        <xdr:to>
          <xdr:col>14</xdr:col>
          <xdr:colOff>495300</xdr:colOff>
          <xdr:row>32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31</xdr:row>
          <xdr:rowOff>219075</xdr:rowOff>
        </xdr:from>
        <xdr:to>
          <xdr:col>14</xdr:col>
          <xdr:colOff>495300</xdr:colOff>
          <xdr:row>33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32</xdr:row>
          <xdr:rowOff>200025</xdr:rowOff>
        </xdr:from>
        <xdr:to>
          <xdr:col>14</xdr:col>
          <xdr:colOff>495300</xdr:colOff>
          <xdr:row>34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31</xdr:row>
          <xdr:rowOff>19050</xdr:rowOff>
        </xdr:from>
        <xdr:to>
          <xdr:col>15</xdr:col>
          <xdr:colOff>523875</xdr:colOff>
          <xdr:row>32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31</xdr:row>
          <xdr:rowOff>219075</xdr:rowOff>
        </xdr:from>
        <xdr:to>
          <xdr:col>15</xdr:col>
          <xdr:colOff>523875</xdr:colOff>
          <xdr:row>33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32</xdr:row>
          <xdr:rowOff>200025</xdr:rowOff>
        </xdr:from>
        <xdr:to>
          <xdr:col>15</xdr:col>
          <xdr:colOff>523875</xdr:colOff>
          <xdr:row>34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31</xdr:row>
          <xdr:rowOff>19050</xdr:rowOff>
        </xdr:from>
        <xdr:to>
          <xdr:col>16</xdr:col>
          <xdr:colOff>495300</xdr:colOff>
          <xdr:row>32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31</xdr:row>
          <xdr:rowOff>219075</xdr:rowOff>
        </xdr:from>
        <xdr:to>
          <xdr:col>16</xdr:col>
          <xdr:colOff>495300</xdr:colOff>
          <xdr:row>33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32</xdr:row>
          <xdr:rowOff>200025</xdr:rowOff>
        </xdr:from>
        <xdr:to>
          <xdr:col>16</xdr:col>
          <xdr:colOff>495300</xdr:colOff>
          <xdr:row>34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31</xdr:row>
          <xdr:rowOff>19050</xdr:rowOff>
        </xdr:from>
        <xdr:to>
          <xdr:col>17</xdr:col>
          <xdr:colOff>333375</xdr:colOff>
          <xdr:row>32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31</xdr:row>
          <xdr:rowOff>219075</xdr:rowOff>
        </xdr:from>
        <xdr:to>
          <xdr:col>17</xdr:col>
          <xdr:colOff>333375</xdr:colOff>
          <xdr:row>33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32</xdr:row>
          <xdr:rowOff>200025</xdr:rowOff>
        </xdr:from>
        <xdr:to>
          <xdr:col>17</xdr:col>
          <xdr:colOff>333375</xdr:colOff>
          <xdr:row>34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31</xdr:row>
          <xdr:rowOff>19050</xdr:rowOff>
        </xdr:from>
        <xdr:to>
          <xdr:col>18</xdr:col>
          <xdr:colOff>314325</xdr:colOff>
          <xdr:row>32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6</xdr:col>
      <xdr:colOff>97895</xdr:colOff>
      <xdr:row>30</xdr:row>
      <xdr:rowOff>28575</xdr:rowOff>
    </xdr:from>
    <xdr:to>
      <xdr:col>6</xdr:col>
      <xdr:colOff>402695</xdr:colOff>
      <xdr:row>30</xdr:row>
      <xdr:rowOff>171450</xdr:rowOff>
    </xdr:to>
    <xdr:sp macro="" textlink="">
      <xdr:nvSpPr>
        <xdr:cNvPr id="2" name="Right Arrow 1"/>
        <xdr:cNvSpPr/>
      </xdr:nvSpPr>
      <xdr:spPr>
        <a:xfrm>
          <a:off x="8225895" y="8220075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97895</xdr:colOff>
      <xdr:row>50</xdr:row>
      <xdr:rowOff>38100</xdr:rowOff>
    </xdr:from>
    <xdr:to>
      <xdr:col>6</xdr:col>
      <xdr:colOff>402695</xdr:colOff>
      <xdr:row>50</xdr:row>
      <xdr:rowOff>180975</xdr:rowOff>
    </xdr:to>
    <xdr:sp macro="" textlink="">
      <xdr:nvSpPr>
        <xdr:cNvPr id="37" name="Right Arrow 36"/>
        <xdr:cNvSpPr/>
      </xdr:nvSpPr>
      <xdr:spPr>
        <a:xfrm>
          <a:off x="8225895" y="13997517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466725</xdr:colOff>
          <xdr:row>39</xdr:row>
          <xdr:rowOff>0</xdr:rowOff>
        </xdr:from>
        <xdr:to>
          <xdr:col>5</xdr:col>
          <xdr:colOff>1333500</xdr:colOff>
          <xdr:row>39</xdr:row>
          <xdr:rowOff>209550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38</xdr:row>
          <xdr:rowOff>209550</xdr:rowOff>
        </xdr:from>
        <xdr:to>
          <xdr:col>9</xdr:col>
          <xdr:colOff>19050</xdr:colOff>
          <xdr:row>39</xdr:row>
          <xdr:rowOff>200025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6</xdr:col>
      <xdr:colOff>97895</xdr:colOff>
      <xdr:row>35</xdr:row>
      <xdr:rowOff>28575</xdr:rowOff>
    </xdr:from>
    <xdr:to>
      <xdr:col>6</xdr:col>
      <xdr:colOff>402695</xdr:colOff>
      <xdr:row>35</xdr:row>
      <xdr:rowOff>171450</xdr:rowOff>
    </xdr:to>
    <xdr:sp macro="" textlink="">
      <xdr:nvSpPr>
        <xdr:cNvPr id="41" name="Right Arrow 40"/>
        <xdr:cNvSpPr/>
      </xdr:nvSpPr>
      <xdr:spPr>
        <a:xfrm>
          <a:off x="8225895" y="9415992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97895</xdr:colOff>
      <xdr:row>46</xdr:row>
      <xdr:rowOff>19050</xdr:rowOff>
    </xdr:from>
    <xdr:to>
      <xdr:col>6</xdr:col>
      <xdr:colOff>402695</xdr:colOff>
      <xdr:row>46</xdr:row>
      <xdr:rowOff>161925</xdr:rowOff>
    </xdr:to>
    <xdr:sp macro="" textlink="">
      <xdr:nvSpPr>
        <xdr:cNvPr id="39" name="Right Arrow 38"/>
        <xdr:cNvSpPr/>
      </xdr:nvSpPr>
      <xdr:spPr>
        <a:xfrm>
          <a:off x="8225895" y="12898967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17</xdr:col>
      <xdr:colOff>297658</xdr:colOff>
      <xdr:row>0</xdr:row>
      <xdr:rowOff>47626</xdr:rowOff>
    </xdr:from>
    <xdr:to>
      <xdr:col>21</xdr:col>
      <xdr:colOff>416719</xdr:colOff>
      <xdr:row>2</xdr:row>
      <xdr:rowOff>155410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0983" y="47626"/>
          <a:ext cx="2586036" cy="72690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56</xdr:row>
          <xdr:rowOff>0</xdr:rowOff>
        </xdr:from>
        <xdr:to>
          <xdr:col>8</xdr:col>
          <xdr:colOff>219075</xdr:colOff>
          <xdr:row>57</xdr:row>
          <xdr:rowOff>47625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56</xdr:row>
          <xdr:rowOff>0</xdr:rowOff>
        </xdr:from>
        <xdr:to>
          <xdr:col>8</xdr:col>
          <xdr:colOff>219075</xdr:colOff>
          <xdr:row>57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56</xdr:row>
          <xdr:rowOff>0</xdr:rowOff>
        </xdr:from>
        <xdr:to>
          <xdr:col>8</xdr:col>
          <xdr:colOff>219075</xdr:colOff>
          <xdr:row>57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56</xdr:row>
          <xdr:rowOff>0</xdr:rowOff>
        </xdr:from>
        <xdr:to>
          <xdr:col>9</xdr:col>
          <xdr:colOff>123825</xdr:colOff>
          <xdr:row>57</xdr:row>
          <xdr:rowOff>47625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56</xdr:row>
          <xdr:rowOff>0</xdr:rowOff>
        </xdr:from>
        <xdr:to>
          <xdr:col>9</xdr:col>
          <xdr:colOff>123825</xdr:colOff>
          <xdr:row>57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56</xdr:row>
          <xdr:rowOff>0</xdr:rowOff>
        </xdr:from>
        <xdr:to>
          <xdr:col>9</xdr:col>
          <xdr:colOff>123825</xdr:colOff>
          <xdr:row>57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56</xdr:row>
          <xdr:rowOff>0</xdr:rowOff>
        </xdr:from>
        <xdr:to>
          <xdr:col>10</xdr:col>
          <xdr:colOff>171450</xdr:colOff>
          <xdr:row>57</xdr:row>
          <xdr:rowOff>47625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56</xdr:row>
          <xdr:rowOff>0</xdr:rowOff>
        </xdr:from>
        <xdr:to>
          <xdr:col>10</xdr:col>
          <xdr:colOff>171450</xdr:colOff>
          <xdr:row>57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56</xdr:row>
          <xdr:rowOff>0</xdr:rowOff>
        </xdr:from>
        <xdr:to>
          <xdr:col>10</xdr:col>
          <xdr:colOff>171450</xdr:colOff>
          <xdr:row>57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56</xdr:row>
          <xdr:rowOff>0</xdr:rowOff>
        </xdr:from>
        <xdr:to>
          <xdr:col>11</xdr:col>
          <xdr:colOff>209550</xdr:colOff>
          <xdr:row>57</xdr:row>
          <xdr:rowOff>47625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56</xdr:row>
          <xdr:rowOff>0</xdr:rowOff>
        </xdr:from>
        <xdr:to>
          <xdr:col>11</xdr:col>
          <xdr:colOff>209550</xdr:colOff>
          <xdr:row>57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56</xdr:row>
          <xdr:rowOff>0</xdr:rowOff>
        </xdr:from>
        <xdr:to>
          <xdr:col>11</xdr:col>
          <xdr:colOff>209550</xdr:colOff>
          <xdr:row>57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56</xdr:row>
          <xdr:rowOff>0</xdr:rowOff>
        </xdr:from>
        <xdr:to>
          <xdr:col>12</xdr:col>
          <xdr:colOff>180975</xdr:colOff>
          <xdr:row>57</xdr:row>
          <xdr:rowOff>47625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56</xdr:row>
          <xdr:rowOff>0</xdr:rowOff>
        </xdr:from>
        <xdr:to>
          <xdr:col>12</xdr:col>
          <xdr:colOff>180975</xdr:colOff>
          <xdr:row>57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56</xdr:row>
          <xdr:rowOff>0</xdr:rowOff>
        </xdr:from>
        <xdr:to>
          <xdr:col>12</xdr:col>
          <xdr:colOff>180975</xdr:colOff>
          <xdr:row>57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56</xdr:row>
          <xdr:rowOff>0</xdr:rowOff>
        </xdr:from>
        <xdr:to>
          <xdr:col>13</xdr:col>
          <xdr:colOff>200025</xdr:colOff>
          <xdr:row>57</xdr:row>
          <xdr:rowOff>47625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56</xdr:row>
          <xdr:rowOff>0</xdr:rowOff>
        </xdr:from>
        <xdr:to>
          <xdr:col>13</xdr:col>
          <xdr:colOff>200025</xdr:colOff>
          <xdr:row>57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56</xdr:row>
          <xdr:rowOff>0</xdr:rowOff>
        </xdr:from>
        <xdr:to>
          <xdr:col>13</xdr:col>
          <xdr:colOff>200025</xdr:colOff>
          <xdr:row>57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56</xdr:row>
          <xdr:rowOff>0</xdr:rowOff>
        </xdr:from>
        <xdr:to>
          <xdr:col>14</xdr:col>
          <xdr:colOff>190500</xdr:colOff>
          <xdr:row>57</xdr:row>
          <xdr:rowOff>47625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56</xdr:row>
          <xdr:rowOff>0</xdr:rowOff>
        </xdr:from>
        <xdr:to>
          <xdr:col>14</xdr:col>
          <xdr:colOff>190500</xdr:colOff>
          <xdr:row>57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56</xdr:row>
          <xdr:rowOff>0</xdr:rowOff>
        </xdr:from>
        <xdr:to>
          <xdr:col>14</xdr:col>
          <xdr:colOff>190500</xdr:colOff>
          <xdr:row>57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56</xdr:row>
          <xdr:rowOff>0</xdr:rowOff>
        </xdr:from>
        <xdr:to>
          <xdr:col>15</xdr:col>
          <xdr:colOff>219075</xdr:colOff>
          <xdr:row>57</xdr:row>
          <xdr:rowOff>47625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56</xdr:row>
          <xdr:rowOff>0</xdr:rowOff>
        </xdr:from>
        <xdr:to>
          <xdr:col>15</xdr:col>
          <xdr:colOff>219075</xdr:colOff>
          <xdr:row>57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56</xdr:row>
          <xdr:rowOff>0</xdr:rowOff>
        </xdr:from>
        <xdr:to>
          <xdr:col>15</xdr:col>
          <xdr:colOff>219075</xdr:colOff>
          <xdr:row>57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56</xdr:row>
          <xdr:rowOff>0</xdr:rowOff>
        </xdr:from>
        <xdr:to>
          <xdr:col>16</xdr:col>
          <xdr:colOff>209550</xdr:colOff>
          <xdr:row>57</xdr:row>
          <xdr:rowOff>47625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56</xdr:row>
          <xdr:rowOff>0</xdr:rowOff>
        </xdr:from>
        <xdr:to>
          <xdr:col>16</xdr:col>
          <xdr:colOff>209550</xdr:colOff>
          <xdr:row>57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56</xdr:row>
          <xdr:rowOff>0</xdr:rowOff>
        </xdr:from>
        <xdr:to>
          <xdr:col>16</xdr:col>
          <xdr:colOff>209550</xdr:colOff>
          <xdr:row>57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56</xdr:row>
          <xdr:rowOff>0</xdr:rowOff>
        </xdr:from>
        <xdr:to>
          <xdr:col>17</xdr:col>
          <xdr:colOff>47625</xdr:colOff>
          <xdr:row>57</xdr:row>
          <xdr:rowOff>47625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56</xdr:row>
          <xdr:rowOff>0</xdr:rowOff>
        </xdr:from>
        <xdr:to>
          <xdr:col>17</xdr:col>
          <xdr:colOff>47625</xdr:colOff>
          <xdr:row>57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56</xdr:row>
          <xdr:rowOff>0</xdr:rowOff>
        </xdr:from>
        <xdr:to>
          <xdr:col>17</xdr:col>
          <xdr:colOff>47625</xdr:colOff>
          <xdr:row>57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56</xdr:row>
          <xdr:rowOff>0</xdr:rowOff>
        </xdr:from>
        <xdr:to>
          <xdr:col>18</xdr:col>
          <xdr:colOff>28575</xdr:colOff>
          <xdr:row>57</xdr:row>
          <xdr:rowOff>47625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1362075</xdr:colOff>
          <xdr:row>56</xdr:row>
          <xdr:rowOff>0</xdr:rowOff>
        </xdr:from>
        <xdr:to>
          <xdr:col>5</xdr:col>
          <xdr:colOff>1362075</xdr:colOff>
          <xdr:row>57</xdr:row>
          <xdr:rowOff>28575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56</xdr:row>
          <xdr:rowOff>0</xdr:rowOff>
        </xdr:from>
        <xdr:to>
          <xdr:col>9</xdr:col>
          <xdr:colOff>133350</xdr:colOff>
          <xdr:row>57</xdr:row>
          <xdr:rowOff>28575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60</xdr:row>
          <xdr:rowOff>200025</xdr:rowOff>
        </xdr:from>
        <xdr:to>
          <xdr:col>5</xdr:col>
          <xdr:colOff>1066800</xdr:colOff>
          <xdr:row>62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61</xdr:row>
          <xdr:rowOff>209550</xdr:rowOff>
        </xdr:from>
        <xdr:to>
          <xdr:col>5</xdr:col>
          <xdr:colOff>1057275</xdr:colOff>
          <xdr:row>63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62</xdr:row>
          <xdr:rowOff>209550</xdr:rowOff>
        </xdr:from>
        <xdr:to>
          <xdr:col>5</xdr:col>
          <xdr:colOff>1057275</xdr:colOff>
          <xdr:row>63</xdr:row>
          <xdr:rowOff>209550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3467100</xdr:colOff>
          <xdr:row>60</xdr:row>
          <xdr:rowOff>200025</xdr:rowOff>
        </xdr:from>
        <xdr:to>
          <xdr:col>6</xdr:col>
          <xdr:colOff>76200</xdr:colOff>
          <xdr:row>62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3457575</xdr:colOff>
          <xdr:row>61</xdr:row>
          <xdr:rowOff>209550</xdr:rowOff>
        </xdr:from>
        <xdr:to>
          <xdr:col>6</xdr:col>
          <xdr:colOff>76200</xdr:colOff>
          <xdr:row>63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3457575</xdr:colOff>
          <xdr:row>62</xdr:row>
          <xdr:rowOff>209550</xdr:rowOff>
        </xdr:from>
        <xdr:to>
          <xdr:col>6</xdr:col>
          <xdr:colOff>76200</xdr:colOff>
          <xdr:row>63</xdr:row>
          <xdr:rowOff>209550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60</xdr:row>
          <xdr:rowOff>200025</xdr:rowOff>
        </xdr:from>
        <xdr:to>
          <xdr:col>8</xdr:col>
          <xdr:colOff>85725</xdr:colOff>
          <xdr:row>62</xdr:row>
          <xdr:rowOff>9525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61</xdr:row>
          <xdr:rowOff>209550</xdr:rowOff>
        </xdr:from>
        <xdr:to>
          <xdr:col>8</xdr:col>
          <xdr:colOff>85725</xdr:colOff>
          <xdr:row>63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62</xdr:row>
          <xdr:rowOff>209550</xdr:rowOff>
        </xdr:from>
        <xdr:to>
          <xdr:col>8</xdr:col>
          <xdr:colOff>85725</xdr:colOff>
          <xdr:row>63</xdr:row>
          <xdr:rowOff>209550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314325</xdr:colOff>
          <xdr:row>62</xdr:row>
          <xdr:rowOff>9525</xdr:rowOff>
        </xdr:from>
        <xdr:to>
          <xdr:col>10</xdr:col>
          <xdr:colOff>85725</xdr:colOff>
          <xdr:row>63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195791</xdr:colOff>
      <xdr:row>39</xdr:row>
      <xdr:rowOff>4233</xdr:rowOff>
    </xdr:from>
    <xdr:to>
      <xdr:col>13</xdr:col>
      <xdr:colOff>500591</xdr:colOff>
      <xdr:row>39</xdr:row>
      <xdr:rowOff>147108</xdr:rowOff>
    </xdr:to>
    <xdr:sp macro="" textlink="">
      <xdr:nvSpPr>
        <xdr:cNvPr id="83" name="Right Arrow 82"/>
        <xdr:cNvSpPr/>
      </xdr:nvSpPr>
      <xdr:spPr>
        <a:xfrm>
          <a:off x="12345458" y="10058400"/>
          <a:ext cx="304800" cy="142875"/>
        </a:xfrm>
        <a:prstGeom prst="rightArrow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314325</xdr:colOff>
          <xdr:row>61</xdr:row>
          <xdr:rowOff>19050</xdr:rowOff>
        </xdr:from>
        <xdr:to>
          <xdr:col>10</xdr:col>
          <xdr:colOff>85725</xdr:colOff>
          <xdr:row>62</xdr:row>
          <xdr:rowOff>19050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6</xdr:col>
      <xdr:colOff>97895</xdr:colOff>
      <xdr:row>17</xdr:row>
      <xdr:rowOff>76198</xdr:rowOff>
    </xdr:from>
    <xdr:to>
      <xdr:col>6</xdr:col>
      <xdr:colOff>402695</xdr:colOff>
      <xdr:row>17</xdr:row>
      <xdr:rowOff>219073</xdr:rowOff>
    </xdr:to>
    <xdr:sp macro="" textlink="">
      <xdr:nvSpPr>
        <xdr:cNvPr id="85" name="Right Arrow 84"/>
        <xdr:cNvSpPr/>
      </xdr:nvSpPr>
      <xdr:spPr>
        <a:xfrm>
          <a:off x="8225895" y="4891615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97895</xdr:colOff>
      <xdr:row>25</xdr:row>
      <xdr:rowOff>27516</xdr:rowOff>
    </xdr:from>
    <xdr:to>
      <xdr:col>6</xdr:col>
      <xdr:colOff>402695</xdr:colOff>
      <xdr:row>25</xdr:row>
      <xdr:rowOff>170391</xdr:rowOff>
    </xdr:to>
    <xdr:sp macro="" textlink="">
      <xdr:nvSpPr>
        <xdr:cNvPr id="87" name="Right Arrow 86"/>
        <xdr:cNvSpPr/>
      </xdr:nvSpPr>
      <xdr:spPr>
        <a:xfrm>
          <a:off x="8225895" y="7181849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23</xdr:row>
          <xdr:rowOff>0</xdr:rowOff>
        </xdr:from>
        <xdr:to>
          <xdr:col>8</xdr:col>
          <xdr:colOff>219075</xdr:colOff>
          <xdr:row>24</xdr:row>
          <xdr:rowOff>47625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23</xdr:row>
          <xdr:rowOff>0</xdr:rowOff>
        </xdr:from>
        <xdr:to>
          <xdr:col>8</xdr:col>
          <xdr:colOff>219075</xdr:colOff>
          <xdr:row>24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23</xdr:row>
          <xdr:rowOff>0</xdr:rowOff>
        </xdr:from>
        <xdr:to>
          <xdr:col>8</xdr:col>
          <xdr:colOff>219075</xdr:colOff>
          <xdr:row>24</xdr:row>
          <xdr:rowOff>38100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23</xdr:row>
          <xdr:rowOff>0</xdr:rowOff>
        </xdr:from>
        <xdr:to>
          <xdr:col>9</xdr:col>
          <xdr:colOff>123825</xdr:colOff>
          <xdr:row>24</xdr:row>
          <xdr:rowOff>47625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23</xdr:row>
          <xdr:rowOff>0</xdr:rowOff>
        </xdr:from>
        <xdr:to>
          <xdr:col>9</xdr:col>
          <xdr:colOff>123825</xdr:colOff>
          <xdr:row>24</xdr:row>
          <xdr:rowOff>38100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23</xdr:row>
          <xdr:rowOff>0</xdr:rowOff>
        </xdr:from>
        <xdr:to>
          <xdr:col>9</xdr:col>
          <xdr:colOff>123825</xdr:colOff>
          <xdr:row>24</xdr:row>
          <xdr:rowOff>38100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23</xdr:row>
          <xdr:rowOff>0</xdr:rowOff>
        </xdr:from>
        <xdr:to>
          <xdr:col>10</xdr:col>
          <xdr:colOff>171450</xdr:colOff>
          <xdr:row>24</xdr:row>
          <xdr:rowOff>47625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23</xdr:row>
          <xdr:rowOff>0</xdr:rowOff>
        </xdr:from>
        <xdr:to>
          <xdr:col>10</xdr:col>
          <xdr:colOff>171450</xdr:colOff>
          <xdr:row>24</xdr:row>
          <xdr:rowOff>38100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23</xdr:row>
          <xdr:rowOff>0</xdr:rowOff>
        </xdr:from>
        <xdr:to>
          <xdr:col>10</xdr:col>
          <xdr:colOff>171450</xdr:colOff>
          <xdr:row>24</xdr:row>
          <xdr:rowOff>38100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23</xdr:row>
          <xdr:rowOff>0</xdr:rowOff>
        </xdr:from>
        <xdr:to>
          <xdr:col>11</xdr:col>
          <xdr:colOff>209550</xdr:colOff>
          <xdr:row>24</xdr:row>
          <xdr:rowOff>47625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23</xdr:row>
          <xdr:rowOff>0</xdr:rowOff>
        </xdr:from>
        <xdr:to>
          <xdr:col>11</xdr:col>
          <xdr:colOff>209550</xdr:colOff>
          <xdr:row>24</xdr:row>
          <xdr:rowOff>38100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23</xdr:row>
          <xdr:rowOff>0</xdr:rowOff>
        </xdr:from>
        <xdr:to>
          <xdr:col>11</xdr:col>
          <xdr:colOff>209550</xdr:colOff>
          <xdr:row>24</xdr:row>
          <xdr:rowOff>38100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23</xdr:row>
          <xdr:rowOff>0</xdr:rowOff>
        </xdr:from>
        <xdr:to>
          <xdr:col>12</xdr:col>
          <xdr:colOff>180975</xdr:colOff>
          <xdr:row>24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23</xdr:row>
          <xdr:rowOff>0</xdr:rowOff>
        </xdr:from>
        <xdr:to>
          <xdr:col>12</xdr:col>
          <xdr:colOff>180975</xdr:colOff>
          <xdr:row>24</xdr:row>
          <xdr:rowOff>38100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23</xdr:row>
          <xdr:rowOff>0</xdr:rowOff>
        </xdr:from>
        <xdr:to>
          <xdr:col>12</xdr:col>
          <xdr:colOff>180975</xdr:colOff>
          <xdr:row>24</xdr:row>
          <xdr:rowOff>38100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23</xdr:row>
          <xdr:rowOff>0</xdr:rowOff>
        </xdr:from>
        <xdr:to>
          <xdr:col>13</xdr:col>
          <xdr:colOff>200025</xdr:colOff>
          <xdr:row>24</xdr:row>
          <xdr:rowOff>47625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23</xdr:row>
          <xdr:rowOff>0</xdr:rowOff>
        </xdr:from>
        <xdr:to>
          <xdr:col>13</xdr:col>
          <xdr:colOff>200025</xdr:colOff>
          <xdr:row>24</xdr:row>
          <xdr:rowOff>38100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23</xdr:row>
          <xdr:rowOff>0</xdr:rowOff>
        </xdr:from>
        <xdr:to>
          <xdr:col>13</xdr:col>
          <xdr:colOff>200025</xdr:colOff>
          <xdr:row>24</xdr:row>
          <xdr:rowOff>38100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23</xdr:row>
          <xdr:rowOff>0</xdr:rowOff>
        </xdr:from>
        <xdr:to>
          <xdr:col>14</xdr:col>
          <xdr:colOff>190500</xdr:colOff>
          <xdr:row>24</xdr:row>
          <xdr:rowOff>47625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23</xdr:row>
          <xdr:rowOff>0</xdr:rowOff>
        </xdr:from>
        <xdr:to>
          <xdr:col>14</xdr:col>
          <xdr:colOff>190500</xdr:colOff>
          <xdr:row>24</xdr:row>
          <xdr:rowOff>38100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23</xdr:row>
          <xdr:rowOff>0</xdr:rowOff>
        </xdr:from>
        <xdr:to>
          <xdr:col>14</xdr:col>
          <xdr:colOff>190500</xdr:colOff>
          <xdr:row>24</xdr:row>
          <xdr:rowOff>38100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23</xdr:row>
          <xdr:rowOff>0</xdr:rowOff>
        </xdr:from>
        <xdr:to>
          <xdr:col>15</xdr:col>
          <xdr:colOff>219075</xdr:colOff>
          <xdr:row>24</xdr:row>
          <xdr:rowOff>47625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23</xdr:row>
          <xdr:rowOff>0</xdr:rowOff>
        </xdr:from>
        <xdr:to>
          <xdr:col>15</xdr:col>
          <xdr:colOff>219075</xdr:colOff>
          <xdr:row>24</xdr:row>
          <xdr:rowOff>38100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23</xdr:row>
          <xdr:rowOff>0</xdr:rowOff>
        </xdr:from>
        <xdr:to>
          <xdr:col>15</xdr:col>
          <xdr:colOff>219075</xdr:colOff>
          <xdr:row>24</xdr:row>
          <xdr:rowOff>38100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23</xdr:row>
          <xdr:rowOff>0</xdr:rowOff>
        </xdr:from>
        <xdr:to>
          <xdr:col>16</xdr:col>
          <xdr:colOff>209550</xdr:colOff>
          <xdr:row>24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23</xdr:row>
          <xdr:rowOff>0</xdr:rowOff>
        </xdr:from>
        <xdr:to>
          <xdr:col>16</xdr:col>
          <xdr:colOff>209550</xdr:colOff>
          <xdr:row>24</xdr:row>
          <xdr:rowOff>38100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23</xdr:row>
          <xdr:rowOff>0</xdr:rowOff>
        </xdr:from>
        <xdr:to>
          <xdr:col>16</xdr:col>
          <xdr:colOff>209550</xdr:colOff>
          <xdr:row>24</xdr:row>
          <xdr:rowOff>38100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23</xdr:row>
          <xdr:rowOff>0</xdr:rowOff>
        </xdr:from>
        <xdr:to>
          <xdr:col>17</xdr:col>
          <xdr:colOff>47625</xdr:colOff>
          <xdr:row>24</xdr:row>
          <xdr:rowOff>47625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23</xdr:row>
          <xdr:rowOff>0</xdr:rowOff>
        </xdr:from>
        <xdr:to>
          <xdr:col>17</xdr:col>
          <xdr:colOff>47625</xdr:colOff>
          <xdr:row>24</xdr:row>
          <xdr:rowOff>38100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23</xdr:row>
          <xdr:rowOff>0</xdr:rowOff>
        </xdr:from>
        <xdr:to>
          <xdr:col>17</xdr:col>
          <xdr:colOff>47625</xdr:colOff>
          <xdr:row>24</xdr:row>
          <xdr:rowOff>38100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23</xdr:row>
          <xdr:rowOff>0</xdr:rowOff>
        </xdr:from>
        <xdr:to>
          <xdr:col>18</xdr:col>
          <xdr:colOff>28575</xdr:colOff>
          <xdr:row>24</xdr:row>
          <xdr:rowOff>47625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1362075</xdr:colOff>
          <xdr:row>23</xdr:row>
          <xdr:rowOff>0</xdr:rowOff>
        </xdr:from>
        <xdr:to>
          <xdr:col>5</xdr:col>
          <xdr:colOff>1362075</xdr:colOff>
          <xdr:row>24</xdr:row>
          <xdr:rowOff>28575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23</xdr:row>
          <xdr:rowOff>0</xdr:rowOff>
        </xdr:from>
        <xdr:to>
          <xdr:col>9</xdr:col>
          <xdr:colOff>133350</xdr:colOff>
          <xdr:row>24</xdr:row>
          <xdr:rowOff>28575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76200</xdr:colOff>
      <xdr:row>35</xdr:row>
      <xdr:rowOff>95250</xdr:rowOff>
    </xdr:from>
    <xdr:to>
      <xdr:col>6</xdr:col>
      <xdr:colOff>381000</xdr:colOff>
      <xdr:row>35</xdr:row>
      <xdr:rowOff>238125</xdr:rowOff>
    </xdr:to>
    <xdr:sp macro="" textlink="">
      <xdr:nvSpPr>
        <xdr:cNvPr id="38" name="Right Arrow 37"/>
        <xdr:cNvSpPr/>
      </xdr:nvSpPr>
      <xdr:spPr>
        <a:xfrm>
          <a:off x="8191500" y="10801350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106891</xdr:colOff>
      <xdr:row>27</xdr:row>
      <xdr:rowOff>64558</xdr:rowOff>
    </xdr:from>
    <xdr:to>
      <xdr:col>6</xdr:col>
      <xdr:colOff>411691</xdr:colOff>
      <xdr:row>27</xdr:row>
      <xdr:rowOff>207433</xdr:rowOff>
    </xdr:to>
    <xdr:sp macro="" textlink="">
      <xdr:nvSpPr>
        <xdr:cNvPr id="40" name="Right Arrow 39"/>
        <xdr:cNvSpPr/>
      </xdr:nvSpPr>
      <xdr:spPr>
        <a:xfrm>
          <a:off x="8222191" y="24410458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17</xdr:col>
      <xdr:colOff>297658</xdr:colOff>
      <xdr:row>0</xdr:row>
      <xdr:rowOff>47626</xdr:rowOff>
    </xdr:from>
    <xdr:to>
      <xdr:col>17</xdr:col>
      <xdr:colOff>297658</xdr:colOff>
      <xdr:row>4</xdr:row>
      <xdr:rowOff>12535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9958" y="47626"/>
          <a:ext cx="2586036" cy="726909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0</xdr:row>
      <xdr:rowOff>57150</xdr:rowOff>
    </xdr:from>
    <xdr:to>
      <xdr:col>21</xdr:col>
      <xdr:colOff>576261</xdr:colOff>
      <xdr:row>2</xdr:row>
      <xdr:rowOff>164934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0" y="57150"/>
          <a:ext cx="2586036" cy="726909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56</xdr:row>
      <xdr:rowOff>38100</xdr:rowOff>
    </xdr:from>
    <xdr:to>
      <xdr:col>6</xdr:col>
      <xdr:colOff>428625</xdr:colOff>
      <xdr:row>56</xdr:row>
      <xdr:rowOff>180975</xdr:rowOff>
    </xdr:to>
    <xdr:sp macro="" textlink="">
      <xdr:nvSpPr>
        <xdr:cNvPr id="39" name="Right Arrow 38"/>
        <xdr:cNvSpPr/>
      </xdr:nvSpPr>
      <xdr:spPr>
        <a:xfrm>
          <a:off x="8239125" y="18726150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57150</xdr:colOff>
      <xdr:row>73</xdr:row>
      <xdr:rowOff>0</xdr:rowOff>
    </xdr:from>
    <xdr:to>
      <xdr:col>6</xdr:col>
      <xdr:colOff>361950</xdr:colOff>
      <xdr:row>73</xdr:row>
      <xdr:rowOff>142875</xdr:rowOff>
    </xdr:to>
    <xdr:sp macro="" textlink="">
      <xdr:nvSpPr>
        <xdr:cNvPr id="41" name="Right Arrow 40"/>
        <xdr:cNvSpPr/>
      </xdr:nvSpPr>
      <xdr:spPr>
        <a:xfrm>
          <a:off x="8172450" y="25412700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85725</xdr:colOff>
      <xdr:row>31</xdr:row>
      <xdr:rowOff>19050</xdr:rowOff>
    </xdr:from>
    <xdr:to>
      <xdr:col>6</xdr:col>
      <xdr:colOff>390525</xdr:colOff>
      <xdr:row>31</xdr:row>
      <xdr:rowOff>161925</xdr:rowOff>
    </xdr:to>
    <xdr:sp macro="" textlink="">
      <xdr:nvSpPr>
        <xdr:cNvPr id="46" name="Right Arrow 45"/>
        <xdr:cNvSpPr/>
      </xdr:nvSpPr>
      <xdr:spPr>
        <a:xfrm>
          <a:off x="8201025" y="8905875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</xdr:row>
          <xdr:rowOff>0</xdr:rowOff>
        </xdr:from>
        <xdr:to>
          <xdr:col>8</xdr:col>
          <xdr:colOff>219075</xdr:colOff>
          <xdr:row>3</xdr:row>
          <xdr:rowOff>257175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</xdr:row>
          <xdr:rowOff>0</xdr:rowOff>
        </xdr:from>
        <xdr:to>
          <xdr:col>8</xdr:col>
          <xdr:colOff>219075</xdr:colOff>
          <xdr:row>3</xdr:row>
          <xdr:rowOff>247650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</xdr:row>
          <xdr:rowOff>0</xdr:rowOff>
        </xdr:from>
        <xdr:to>
          <xdr:col>8</xdr:col>
          <xdr:colOff>219075</xdr:colOff>
          <xdr:row>3</xdr:row>
          <xdr:rowOff>247650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</xdr:row>
          <xdr:rowOff>0</xdr:rowOff>
        </xdr:from>
        <xdr:to>
          <xdr:col>9</xdr:col>
          <xdr:colOff>123825</xdr:colOff>
          <xdr:row>3</xdr:row>
          <xdr:rowOff>257175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</xdr:row>
          <xdr:rowOff>0</xdr:rowOff>
        </xdr:from>
        <xdr:to>
          <xdr:col>9</xdr:col>
          <xdr:colOff>123825</xdr:colOff>
          <xdr:row>3</xdr:row>
          <xdr:rowOff>247650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3</xdr:row>
          <xdr:rowOff>0</xdr:rowOff>
        </xdr:from>
        <xdr:to>
          <xdr:col>9</xdr:col>
          <xdr:colOff>123825</xdr:colOff>
          <xdr:row>3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</xdr:row>
          <xdr:rowOff>0</xdr:rowOff>
        </xdr:from>
        <xdr:to>
          <xdr:col>10</xdr:col>
          <xdr:colOff>171450</xdr:colOff>
          <xdr:row>3</xdr:row>
          <xdr:rowOff>257175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</xdr:row>
          <xdr:rowOff>0</xdr:rowOff>
        </xdr:from>
        <xdr:to>
          <xdr:col>10</xdr:col>
          <xdr:colOff>171450</xdr:colOff>
          <xdr:row>3</xdr:row>
          <xdr:rowOff>247650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3</xdr:row>
          <xdr:rowOff>0</xdr:rowOff>
        </xdr:from>
        <xdr:to>
          <xdr:col>10</xdr:col>
          <xdr:colOff>171450</xdr:colOff>
          <xdr:row>3</xdr:row>
          <xdr:rowOff>247650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</xdr:row>
          <xdr:rowOff>0</xdr:rowOff>
        </xdr:from>
        <xdr:to>
          <xdr:col>11</xdr:col>
          <xdr:colOff>209550</xdr:colOff>
          <xdr:row>3</xdr:row>
          <xdr:rowOff>257175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</xdr:row>
          <xdr:rowOff>0</xdr:rowOff>
        </xdr:from>
        <xdr:to>
          <xdr:col>11</xdr:col>
          <xdr:colOff>209550</xdr:colOff>
          <xdr:row>3</xdr:row>
          <xdr:rowOff>247650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3</xdr:row>
          <xdr:rowOff>0</xdr:rowOff>
        </xdr:from>
        <xdr:to>
          <xdr:col>11</xdr:col>
          <xdr:colOff>209550</xdr:colOff>
          <xdr:row>3</xdr:row>
          <xdr:rowOff>247650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</xdr:row>
          <xdr:rowOff>0</xdr:rowOff>
        </xdr:from>
        <xdr:to>
          <xdr:col>12</xdr:col>
          <xdr:colOff>180975</xdr:colOff>
          <xdr:row>3</xdr:row>
          <xdr:rowOff>257175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</xdr:row>
          <xdr:rowOff>0</xdr:rowOff>
        </xdr:from>
        <xdr:to>
          <xdr:col>12</xdr:col>
          <xdr:colOff>180975</xdr:colOff>
          <xdr:row>3</xdr:row>
          <xdr:rowOff>247650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3</xdr:row>
          <xdr:rowOff>0</xdr:rowOff>
        </xdr:from>
        <xdr:to>
          <xdr:col>12</xdr:col>
          <xdr:colOff>180975</xdr:colOff>
          <xdr:row>3</xdr:row>
          <xdr:rowOff>247650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</xdr:row>
          <xdr:rowOff>0</xdr:rowOff>
        </xdr:from>
        <xdr:to>
          <xdr:col>13</xdr:col>
          <xdr:colOff>200025</xdr:colOff>
          <xdr:row>3</xdr:row>
          <xdr:rowOff>257175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</xdr:row>
          <xdr:rowOff>0</xdr:rowOff>
        </xdr:from>
        <xdr:to>
          <xdr:col>13</xdr:col>
          <xdr:colOff>200025</xdr:colOff>
          <xdr:row>3</xdr:row>
          <xdr:rowOff>247650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3</xdr:row>
          <xdr:rowOff>0</xdr:rowOff>
        </xdr:from>
        <xdr:to>
          <xdr:col>13</xdr:col>
          <xdr:colOff>200025</xdr:colOff>
          <xdr:row>3</xdr:row>
          <xdr:rowOff>247650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</xdr:row>
          <xdr:rowOff>0</xdr:rowOff>
        </xdr:from>
        <xdr:to>
          <xdr:col>14</xdr:col>
          <xdr:colOff>190500</xdr:colOff>
          <xdr:row>3</xdr:row>
          <xdr:rowOff>257175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</xdr:row>
          <xdr:rowOff>0</xdr:rowOff>
        </xdr:from>
        <xdr:to>
          <xdr:col>14</xdr:col>
          <xdr:colOff>190500</xdr:colOff>
          <xdr:row>3</xdr:row>
          <xdr:rowOff>247650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3</xdr:row>
          <xdr:rowOff>0</xdr:rowOff>
        </xdr:from>
        <xdr:to>
          <xdr:col>14</xdr:col>
          <xdr:colOff>190500</xdr:colOff>
          <xdr:row>3</xdr:row>
          <xdr:rowOff>247650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</xdr:row>
          <xdr:rowOff>0</xdr:rowOff>
        </xdr:from>
        <xdr:to>
          <xdr:col>15</xdr:col>
          <xdr:colOff>219075</xdr:colOff>
          <xdr:row>3</xdr:row>
          <xdr:rowOff>257175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</xdr:row>
          <xdr:rowOff>0</xdr:rowOff>
        </xdr:from>
        <xdr:to>
          <xdr:col>15</xdr:col>
          <xdr:colOff>219075</xdr:colOff>
          <xdr:row>3</xdr:row>
          <xdr:rowOff>247650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219075</xdr:colOff>
          <xdr:row>3</xdr:row>
          <xdr:rowOff>0</xdr:rowOff>
        </xdr:from>
        <xdr:to>
          <xdr:col>15</xdr:col>
          <xdr:colOff>219075</xdr:colOff>
          <xdr:row>3</xdr:row>
          <xdr:rowOff>247650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</xdr:row>
          <xdr:rowOff>0</xdr:rowOff>
        </xdr:from>
        <xdr:to>
          <xdr:col>16</xdr:col>
          <xdr:colOff>209550</xdr:colOff>
          <xdr:row>3</xdr:row>
          <xdr:rowOff>257175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</xdr:row>
          <xdr:rowOff>0</xdr:rowOff>
        </xdr:from>
        <xdr:to>
          <xdr:col>16</xdr:col>
          <xdr:colOff>209550</xdr:colOff>
          <xdr:row>3</xdr:row>
          <xdr:rowOff>247650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209550</xdr:colOff>
          <xdr:row>3</xdr:row>
          <xdr:rowOff>0</xdr:rowOff>
        </xdr:from>
        <xdr:to>
          <xdr:col>16</xdr:col>
          <xdr:colOff>209550</xdr:colOff>
          <xdr:row>3</xdr:row>
          <xdr:rowOff>247650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0</xdr:rowOff>
        </xdr:from>
        <xdr:to>
          <xdr:col>17</xdr:col>
          <xdr:colOff>47625</xdr:colOff>
          <xdr:row>3</xdr:row>
          <xdr:rowOff>257175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0</xdr:rowOff>
        </xdr:from>
        <xdr:to>
          <xdr:col>17</xdr:col>
          <xdr:colOff>47625</xdr:colOff>
          <xdr:row>3</xdr:row>
          <xdr:rowOff>247650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0</xdr:rowOff>
        </xdr:from>
        <xdr:to>
          <xdr:col>17</xdr:col>
          <xdr:colOff>47625</xdr:colOff>
          <xdr:row>3</xdr:row>
          <xdr:rowOff>247650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3</xdr:row>
          <xdr:rowOff>0</xdr:rowOff>
        </xdr:from>
        <xdr:to>
          <xdr:col>18</xdr:col>
          <xdr:colOff>28575</xdr:colOff>
          <xdr:row>3</xdr:row>
          <xdr:rowOff>257175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1362075</xdr:colOff>
          <xdr:row>3</xdr:row>
          <xdr:rowOff>0</xdr:rowOff>
        </xdr:from>
        <xdr:to>
          <xdr:col>5</xdr:col>
          <xdr:colOff>1362075</xdr:colOff>
          <xdr:row>3</xdr:row>
          <xdr:rowOff>238125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3</xdr:row>
          <xdr:rowOff>0</xdr:rowOff>
        </xdr:from>
        <xdr:to>
          <xdr:col>9</xdr:col>
          <xdr:colOff>133350</xdr:colOff>
          <xdr:row>3</xdr:row>
          <xdr:rowOff>238125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297658</xdr:colOff>
      <xdr:row>0</xdr:row>
      <xdr:rowOff>47626</xdr:rowOff>
    </xdr:from>
    <xdr:to>
      <xdr:col>17</xdr:col>
      <xdr:colOff>297658</xdr:colOff>
      <xdr:row>4</xdr:row>
      <xdr:rowOff>3010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9958" y="47626"/>
          <a:ext cx="2586036" cy="726909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0</xdr:row>
      <xdr:rowOff>57150</xdr:rowOff>
    </xdr:from>
    <xdr:to>
      <xdr:col>21</xdr:col>
      <xdr:colOff>623886</xdr:colOff>
      <xdr:row>2</xdr:row>
      <xdr:rowOff>164934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7125" y="57150"/>
          <a:ext cx="2586036" cy="726909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4</xdr:row>
      <xdr:rowOff>57150</xdr:rowOff>
    </xdr:from>
    <xdr:to>
      <xdr:col>6</xdr:col>
      <xdr:colOff>371475</xdr:colOff>
      <xdr:row>4</xdr:row>
      <xdr:rowOff>200025</xdr:rowOff>
    </xdr:to>
    <xdr:sp macro="" textlink="">
      <xdr:nvSpPr>
        <xdr:cNvPr id="38" name="Right Arrow 37"/>
        <xdr:cNvSpPr/>
      </xdr:nvSpPr>
      <xdr:spPr>
        <a:xfrm>
          <a:off x="8181975" y="1133475"/>
          <a:ext cx="304800" cy="142875"/>
        </a:xfrm>
        <a:prstGeom prst="rightArrow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9</xdr:row>
          <xdr:rowOff>104775</xdr:rowOff>
        </xdr:from>
        <xdr:to>
          <xdr:col>5</xdr:col>
          <xdr:colOff>352425</xdr:colOff>
          <xdr:row>9</xdr:row>
          <xdr:rowOff>323850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10</xdr:row>
          <xdr:rowOff>95250</xdr:rowOff>
        </xdr:from>
        <xdr:to>
          <xdr:col>5</xdr:col>
          <xdr:colOff>352425</xdr:colOff>
          <xdr:row>10</xdr:row>
          <xdr:rowOff>314325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114300</xdr:rowOff>
        </xdr:from>
        <xdr:to>
          <xdr:col>6</xdr:col>
          <xdr:colOff>304800</xdr:colOff>
          <xdr:row>9</xdr:row>
          <xdr:rowOff>333375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104775</xdr:rowOff>
        </xdr:from>
        <xdr:to>
          <xdr:col>6</xdr:col>
          <xdr:colOff>304800</xdr:colOff>
          <xdr:row>10</xdr:row>
          <xdr:rowOff>323850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13" Type="http://schemas.openxmlformats.org/officeDocument/2006/relationships/ctrlProp" Target="../ctrlProps/ctrlProp87.xml"/><Relationship Id="rId18" Type="http://schemas.openxmlformats.org/officeDocument/2006/relationships/ctrlProp" Target="../ctrlProps/ctrlProp92.xml"/><Relationship Id="rId26" Type="http://schemas.openxmlformats.org/officeDocument/2006/relationships/ctrlProp" Target="../ctrlProps/ctrlProp100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95.xml"/><Relationship Id="rId34" Type="http://schemas.openxmlformats.org/officeDocument/2006/relationships/ctrlProp" Target="../ctrlProps/ctrlProp108.xml"/><Relationship Id="rId7" Type="http://schemas.openxmlformats.org/officeDocument/2006/relationships/ctrlProp" Target="../ctrlProps/ctrlProp81.xml"/><Relationship Id="rId12" Type="http://schemas.openxmlformats.org/officeDocument/2006/relationships/ctrlProp" Target="../ctrlProps/ctrlProp86.xml"/><Relationship Id="rId17" Type="http://schemas.openxmlformats.org/officeDocument/2006/relationships/ctrlProp" Target="../ctrlProps/ctrlProp91.xml"/><Relationship Id="rId25" Type="http://schemas.openxmlformats.org/officeDocument/2006/relationships/ctrlProp" Target="../ctrlProps/ctrlProp99.xml"/><Relationship Id="rId33" Type="http://schemas.openxmlformats.org/officeDocument/2006/relationships/ctrlProp" Target="../ctrlProps/ctrlProp10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90.xml"/><Relationship Id="rId20" Type="http://schemas.openxmlformats.org/officeDocument/2006/relationships/ctrlProp" Target="../ctrlProps/ctrlProp94.xml"/><Relationship Id="rId29" Type="http://schemas.openxmlformats.org/officeDocument/2006/relationships/ctrlProp" Target="../ctrlProps/ctrlProp10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80.xml"/><Relationship Id="rId11" Type="http://schemas.openxmlformats.org/officeDocument/2006/relationships/ctrlProp" Target="../ctrlProps/ctrlProp85.xml"/><Relationship Id="rId24" Type="http://schemas.openxmlformats.org/officeDocument/2006/relationships/ctrlProp" Target="../ctrlProps/ctrlProp98.xml"/><Relationship Id="rId32" Type="http://schemas.openxmlformats.org/officeDocument/2006/relationships/ctrlProp" Target="../ctrlProps/ctrlProp106.xml"/><Relationship Id="rId5" Type="http://schemas.openxmlformats.org/officeDocument/2006/relationships/ctrlProp" Target="../ctrlProps/ctrlProp79.xml"/><Relationship Id="rId15" Type="http://schemas.openxmlformats.org/officeDocument/2006/relationships/ctrlProp" Target="../ctrlProps/ctrlProp89.xml"/><Relationship Id="rId23" Type="http://schemas.openxmlformats.org/officeDocument/2006/relationships/ctrlProp" Target="../ctrlProps/ctrlProp97.xml"/><Relationship Id="rId28" Type="http://schemas.openxmlformats.org/officeDocument/2006/relationships/ctrlProp" Target="../ctrlProps/ctrlProp102.xml"/><Relationship Id="rId36" Type="http://schemas.openxmlformats.org/officeDocument/2006/relationships/ctrlProp" Target="../ctrlProps/ctrlProp110.xml"/><Relationship Id="rId10" Type="http://schemas.openxmlformats.org/officeDocument/2006/relationships/ctrlProp" Target="../ctrlProps/ctrlProp84.xml"/><Relationship Id="rId19" Type="http://schemas.openxmlformats.org/officeDocument/2006/relationships/ctrlProp" Target="../ctrlProps/ctrlProp93.xml"/><Relationship Id="rId31" Type="http://schemas.openxmlformats.org/officeDocument/2006/relationships/ctrlProp" Target="../ctrlProps/ctrlProp105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Relationship Id="rId14" Type="http://schemas.openxmlformats.org/officeDocument/2006/relationships/ctrlProp" Target="../ctrlProps/ctrlProp88.xml"/><Relationship Id="rId22" Type="http://schemas.openxmlformats.org/officeDocument/2006/relationships/ctrlProp" Target="../ctrlProps/ctrlProp96.xml"/><Relationship Id="rId27" Type="http://schemas.openxmlformats.org/officeDocument/2006/relationships/ctrlProp" Target="../ctrlProps/ctrlProp101.xml"/><Relationship Id="rId30" Type="http://schemas.openxmlformats.org/officeDocument/2006/relationships/ctrlProp" Target="../ctrlProps/ctrlProp104.xml"/><Relationship Id="rId35" Type="http://schemas.openxmlformats.org/officeDocument/2006/relationships/ctrlProp" Target="../ctrlProps/ctrlProp10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5.xml"/><Relationship Id="rId13" Type="http://schemas.openxmlformats.org/officeDocument/2006/relationships/ctrlProp" Target="../ctrlProps/ctrlProp120.xml"/><Relationship Id="rId18" Type="http://schemas.openxmlformats.org/officeDocument/2006/relationships/ctrlProp" Target="../ctrlProps/ctrlProp125.xml"/><Relationship Id="rId26" Type="http://schemas.openxmlformats.org/officeDocument/2006/relationships/ctrlProp" Target="../ctrlProps/ctrlProp133.xml"/><Relationship Id="rId39" Type="http://schemas.openxmlformats.org/officeDocument/2006/relationships/ctrlProp" Target="../ctrlProps/ctrlProp1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28.xml"/><Relationship Id="rId34" Type="http://schemas.openxmlformats.org/officeDocument/2006/relationships/ctrlProp" Target="../ctrlProps/ctrlProp141.xml"/><Relationship Id="rId7" Type="http://schemas.openxmlformats.org/officeDocument/2006/relationships/ctrlProp" Target="../ctrlProps/ctrlProp114.xml"/><Relationship Id="rId12" Type="http://schemas.openxmlformats.org/officeDocument/2006/relationships/ctrlProp" Target="../ctrlProps/ctrlProp119.xml"/><Relationship Id="rId17" Type="http://schemas.openxmlformats.org/officeDocument/2006/relationships/ctrlProp" Target="../ctrlProps/ctrlProp124.xml"/><Relationship Id="rId25" Type="http://schemas.openxmlformats.org/officeDocument/2006/relationships/ctrlProp" Target="../ctrlProps/ctrlProp132.xml"/><Relationship Id="rId33" Type="http://schemas.openxmlformats.org/officeDocument/2006/relationships/ctrlProp" Target="../ctrlProps/ctrlProp140.xml"/><Relationship Id="rId38" Type="http://schemas.openxmlformats.org/officeDocument/2006/relationships/ctrlProp" Target="../ctrlProps/ctrlProp145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23.xml"/><Relationship Id="rId20" Type="http://schemas.openxmlformats.org/officeDocument/2006/relationships/ctrlProp" Target="../ctrlProps/ctrlProp127.xml"/><Relationship Id="rId29" Type="http://schemas.openxmlformats.org/officeDocument/2006/relationships/ctrlProp" Target="../ctrlProps/ctrlProp13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13.xml"/><Relationship Id="rId11" Type="http://schemas.openxmlformats.org/officeDocument/2006/relationships/ctrlProp" Target="../ctrlProps/ctrlProp118.xml"/><Relationship Id="rId24" Type="http://schemas.openxmlformats.org/officeDocument/2006/relationships/ctrlProp" Target="../ctrlProps/ctrlProp131.xml"/><Relationship Id="rId32" Type="http://schemas.openxmlformats.org/officeDocument/2006/relationships/ctrlProp" Target="../ctrlProps/ctrlProp139.xml"/><Relationship Id="rId37" Type="http://schemas.openxmlformats.org/officeDocument/2006/relationships/ctrlProp" Target="../ctrlProps/ctrlProp144.xml"/><Relationship Id="rId40" Type="http://schemas.openxmlformats.org/officeDocument/2006/relationships/ctrlProp" Target="../ctrlProps/ctrlProp147.xml"/><Relationship Id="rId5" Type="http://schemas.openxmlformats.org/officeDocument/2006/relationships/ctrlProp" Target="../ctrlProps/ctrlProp112.xml"/><Relationship Id="rId15" Type="http://schemas.openxmlformats.org/officeDocument/2006/relationships/ctrlProp" Target="../ctrlProps/ctrlProp122.xml"/><Relationship Id="rId23" Type="http://schemas.openxmlformats.org/officeDocument/2006/relationships/ctrlProp" Target="../ctrlProps/ctrlProp130.xml"/><Relationship Id="rId28" Type="http://schemas.openxmlformats.org/officeDocument/2006/relationships/ctrlProp" Target="../ctrlProps/ctrlProp135.xml"/><Relationship Id="rId36" Type="http://schemas.openxmlformats.org/officeDocument/2006/relationships/ctrlProp" Target="../ctrlProps/ctrlProp143.xml"/><Relationship Id="rId10" Type="http://schemas.openxmlformats.org/officeDocument/2006/relationships/ctrlProp" Target="../ctrlProps/ctrlProp117.xml"/><Relationship Id="rId19" Type="http://schemas.openxmlformats.org/officeDocument/2006/relationships/ctrlProp" Target="../ctrlProps/ctrlProp126.xml"/><Relationship Id="rId31" Type="http://schemas.openxmlformats.org/officeDocument/2006/relationships/ctrlProp" Target="../ctrlProps/ctrlProp138.xml"/><Relationship Id="rId4" Type="http://schemas.openxmlformats.org/officeDocument/2006/relationships/ctrlProp" Target="../ctrlProps/ctrlProp111.xml"/><Relationship Id="rId9" Type="http://schemas.openxmlformats.org/officeDocument/2006/relationships/ctrlProp" Target="../ctrlProps/ctrlProp116.xml"/><Relationship Id="rId14" Type="http://schemas.openxmlformats.org/officeDocument/2006/relationships/ctrlProp" Target="../ctrlProps/ctrlProp121.xml"/><Relationship Id="rId22" Type="http://schemas.openxmlformats.org/officeDocument/2006/relationships/ctrlProp" Target="../ctrlProps/ctrlProp129.xml"/><Relationship Id="rId27" Type="http://schemas.openxmlformats.org/officeDocument/2006/relationships/ctrlProp" Target="../ctrlProps/ctrlProp134.xml"/><Relationship Id="rId30" Type="http://schemas.openxmlformats.org/officeDocument/2006/relationships/ctrlProp" Target="../ctrlProps/ctrlProp137.xml"/><Relationship Id="rId35" Type="http://schemas.openxmlformats.org/officeDocument/2006/relationships/ctrlProp" Target="../ctrlProps/ctrlProp1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/>
    <pageSetUpPr fitToPage="1"/>
  </sheetPr>
  <dimension ref="A1:W92"/>
  <sheetViews>
    <sheetView zoomScaleNormal="100" workbookViewId="0">
      <selection activeCell="I18" sqref="I18"/>
    </sheetView>
  </sheetViews>
  <sheetFormatPr defaultColWidth="0" defaultRowHeight="15" zeroHeight="1"/>
  <cols>
    <col min="1" max="1" width="2.5703125" style="1" customWidth="1"/>
    <col min="2" max="2" width="3.28515625" style="1" customWidth="1"/>
    <col min="3" max="3" width="9.5703125" style="81" customWidth="1"/>
    <col min="4" max="4" width="42.85546875" style="1" customWidth="1"/>
    <col min="5" max="5" width="3.42578125" style="1" customWidth="1"/>
    <col min="6" max="6" width="54.85546875" style="1" customWidth="1"/>
    <col min="7" max="7" width="8.28515625" style="1" customWidth="1"/>
    <col min="8" max="8" width="6.7109375" style="1" customWidth="1"/>
    <col min="9" max="9" width="23.5703125" style="1" customWidth="1"/>
    <col min="10" max="10" width="7.5703125" style="1" customWidth="1"/>
    <col min="11" max="11" width="8.85546875" style="1" customWidth="1"/>
    <col min="12" max="12" width="10" style="1" customWidth="1"/>
    <col min="13" max="13" width="9.7109375" style="1" customWidth="1"/>
    <col min="14" max="15" width="9.140625" style="1" customWidth="1"/>
    <col min="16" max="16" width="9" style="1" customWidth="1"/>
    <col min="17" max="17" width="9.5703125" style="1" customWidth="1"/>
    <col min="18" max="18" width="6.7109375" style="1" customWidth="1"/>
    <col min="19" max="19" width="9.28515625" style="1" customWidth="1"/>
    <col min="20" max="20" width="11.85546875" style="1" customWidth="1"/>
    <col min="21" max="21" width="9.140625" style="1" customWidth="1"/>
    <col min="22" max="22" width="11" style="1" customWidth="1"/>
    <col min="23" max="23" width="2.5703125" style="97" customWidth="1"/>
    <col min="24" max="16384" width="9.140625" style="1" hidden="1"/>
  </cols>
  <sheetData>
    <row r="1" spans="1:22">
      <c r="C1" s="1"/>
    </row>
    <row r="2" spans="1:22" ht="33.75">
      <c r="A2" s="22" t="s">
        <v>195</v>
      </c>
      <c r="B2" s="22"/>
      <c r="C2" s="1"/>
      <c r="J2" s="31"/>
    </row>
    <row r="3" spans="1:22">
      <c r="C3" s="1"/>
    </row>
    <row r="4" spans="1:22" ht="20.25">
      <c r="A4" s="109"/>
      <c r="B4" s="34"/>
      <c r="C4" s="21" t="s">
        <v>391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6.5" thickBot="1">
      <c r="A5" s="109"/>
      <c r="B5" s="34"/>
      <c r="C5" s="96" t="s">
        <v>8</v>
      </c>
      <c r="D5" s="96" t="s">
        <v>88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24.75" thickBot="1">
      <c r="A6" s="109"/>
      <c r="B6" s="91" t="str">
        <f t="shared" ref="B6:B7" si="0">IF(NOT(ISBLANK(F6)), CHAR(252), CHAR(251))</f>
        <v>û</v>
      </c>
      <c r="C6" s="33" t="s">
        <v>392</v>
      </c>
      <c r="D6" s="17" t="s">
        <v>7</v>
      </c>
      <c r="E6" s="16"/>
      <c r="F6" s="19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25.5" thickTop="1" thickBot="1">
      <c r="A7" s="109"/>
      <c r="B7" s="91" t="str">
        <f t="shared" si="0"/>
        <v>û</v>
      </c>
      <c r="C7" s="30" t="s">
        <v>393</v>
      </c>
      <c r="D7" s="32" t="s">
        <v>172</v>
      </c>
      <c r="E7" s="16"/>
      <c r="F7" s="19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9.5" thickBot="1">
      <c r="A8" s="109"/>
      <c r="B8" s="34"/>
      <c r="C8" s="20"/>
      <c r="D8" s="16"/>
      <c r="E8" s="16"/>
      <c r="F8" s="41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24.75" thickBot="1">
      <c r="A9" s="109"/>
      <c r="B9" s="91" t="str">
        <f t="shared" ref="B9:B11" si="1">IF(NOT(ISBLANK(F9)), CHAR(252), CHAR(251))</f>
        <v>û</v>
      </c>
      <c r="C9" s="33" t="s">
        <v>394</v>
      </c>
      <c r="D9" s="17" t="s">
        <v>380</v>
      </c>
      <c r="E9" s="16"/>
      <c r="F9" s="19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25.5" thickTop="1" thickBot="1">
      <c r="A10" s="109"/>
      <c r="B10" s="91" t="str">
        <f t="shared" si="1"/>
        <v>û</v>
      </c>
      <c r="C10" s="33" t="s">
        <v>395</v>
      </c>
      <c r="D10" s="17" t="s">
        <v>381</v>
      </c>
      <c r="E10" s="16"/>
      <c r="F10" s="19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25.5" thickTop="1" thickBot="1">
      <c r="A11" s="109"/>
      <c r="B11" s="91" t="str">
        <f t="shared" si="1"/>
        <v>û</v>
      </c>
      <c r="C11" s="33" t="s">
        <v>396</v>
      </c>
      <c r="D11" s="17" t="s">
        <v>85</v>
      </c>
      <c r="E11" s="16"/>
      <c r="F11" s="19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20.25" thickTop="1" thickBot="1">
      <c r="A12" s="109"/>
      <c r="B12" s="99"/>
      <c r="C12" s="20"/>
      <c r="D12" s="16"/>
      <c r="E12" s="16"/>
      <c r="F12" s="4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24.75" thickBot="1">
      <c r="A13" s="109"/>
      <c r="B13" s="91" t="str">
        <f>IF(NOT(ISBLANK(F13)), CHAR(252), CHAR(251))</f>
        <v>û</v>
      </c>
      <c r="C13" s="33" t="s">
        <v>397</v>
      </c>
      <c r="D13" s="17" t="s">
        <v>170</v>
      </c>
      <c r="E13" s="16"/>
      <c r="F13" s="19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8" thickTop="1" thickBot="1">
      <c r="A14" s="109"/>
      <c r="B14" s="99"/>
      <c r="C14" s="15"/>
      <c r="D14" s="16"/>
      <c r="E14" s="16"/>
      <c r="F14" s="41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24.75" thickBot="1">
      <c r="A15" s="109"/>
      <c r="B15" s="91" t="str">
        <f>IF(NOT(ISBLANK(F15)), CHAR(252), CHAR(251))</f>
        <v>û</v>
      </c>
      <c r="C15" s="33" t="s">
        <v>398</v>
      </c>
      <c r="D15" s="17" t="s">
        <v>188</v>
      </c>
      <c r="E15" s="16"/>
      <c r="F15" s="19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8" thickTop="1" thickBot="1">
      <c r="A16" s="109"/>
      <c r="B16" s="99"/>
      <c r="C16" s="15"/>
      <c r="D16" s="16"/>
      <c r="E16" s="16"/>
      <c r="F16" s="41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24.75" thickBot="1">
      <c r="A17" s="109"/>
      <c r="B17" s="91" t="str">
        <f>IF(NOT(ISBLANK(F17)), CHAR(252), CHAR(251))</f>
        <v>û</v>
      </c>
      <c r="C17" s="33" t="s">
        <v>399</v>
      </c>
      <c r="D17" s="17" t="s">
        <v>6</v>
      </c>
      <c r="E17" s="16"/>
      <c r="F17" s="196"/>
      <c r="G17" s="16"/>
      <c r="H17" s="134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ht="25.5" thickTop="1" thickBot="1">
      <c r="A18" s="109"/>
      <c r="B18" s="91" t="str">
        <f>IF(NOT(ISBLANK(F18)), CHAR(252), CHAR(251))</f>
        <v>û</v>
      </c>
      <c r="C18" s="30" t="s">
        <v>400</v>
      </c>
      <c r="D18" s="32" t="s">
        <v>255</v>
      </c>
      <c r="E18" s="16"/>
      <c r="F18" s="196"/>
      <c r="G18" s="16"/>
      <c r="H18" s="44" t="s">
        <v>267</v>
      </c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16"/>
    </row>
    <row r="19" spans="1:22" ht="17.25" thickBot="1">
      <c r="A19" s="109"/>
      <c r="B19" s="34"/>
      <c r="C19" s="15"/>
      <c r="D19" s="18"/>
      <c r="E19" s="16"/>
      <c r="F19" s="42"/>
      <c r="G19" s="16"/>
      <c r="H19" s="64"/>
      <c r="I19" s="246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8"/>
      <c r="U19" s="65"/>
      <c r="V19" s="16"/>
    </row>
    <row r="20" spans="1:22" ht="17.25" thickBot="1">
      <c r="A20" s="109"/>
      <c r="B20" s="106"/>
      <c r="C20" s="15"/>
      <c r="D20" s="18"/>
      <c r="E20" s="16"/>
      <c r="F20" s="42"/>
      <c r="G20" s="16"/>
      <c r="H20" s="66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8"/>
      <c r="V20" s="16"/>
    </row>
    <row r="21" spans="1:22" ht="25.5" customHeight="1" thickBot="1">
      <c r="A21" s="109"/>
      <c r="B21" s="253" t="str">
        <f>IF(NOT(ISBLANK(F21)), CHAR(252), CHAR(251))</f>
        <v>û</v>
      </c>
      <c r="C21" s="250" t="s">
        <v>401</v>
      </c>
      <c r="D21" s="249" t="s">
        <v>268</v>
      </c>
      <c r="E21" s="132" t="s">
        <v>221</v>
      </c>
      <c r="F21" s="19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ht="23.25" customHeight="1" thickTop="1" thickBot="1">
      <c r="A22" s="109"/>
      <c r="B22" s="253"/>
      <c r="C22" s="250"/>
      <c r="D22" s="249"/>
      <c r="E22" s="132" t="s">
        <v>222</v>
      </c>
      <c r="F22" s="19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21.75" customHeight="1" thickTop="1" thickBot="1">
      <c r="A23" s="109"/>
      <c r="B23" s="253"/>
      <c r="C23" s="250"/>
      <c r="D23" s="249"/>
      <c r="E23" s="132" t="s">
        <v>223</v>
      </c>
      <c r="F23" s="19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ht="18" thickTop="1" thickBot="1">
      <c r="A24" s="109"/>
      <c r="B24" s="106"/>
      <c r="C24" s="133"/>
      <c r="D24" s="18"/>
      <c r="E24" s="16"/>
      <c r="F24" s="4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34.5" customHeight="1" thickBot="1">
      <c r="A25" s="109"/>
      <c r="B25" s="108" t="str">
        <f>IF(NOT(ISBLANK(F25)), CHAR(252), CHAR(251))</f>
        <v>û</v>
      </c>
      <c r="C25" s="33" t="s">
        <v>402</v>
      </c>
      <c r="D25" s="135" t="s">
        <v>224</v>
      </c>
      <c r="E25" s="16"/>
      <c r="F25" s="19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6.5" customHeight="1" thickTop="1" thickBot="1">
      <c r="A26" s="109"/>
      <c r="B26" s="34"/>
      <c r="C26" s="30" t="s">
        <v>403</v>
      </c>
      <c r="D26" s="32" t="s">
        <v>377</v>
      </c>
      <c r="E26" s="16"/>
      <c r="F26" s="196"/>
      <c r="G26" s="16"/>
      <c r="H26" s="44" t="s">
        <v>267</v>
      </c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3"/>
      <c r="V26" s="16"/>
    </row>
    <row r="27" spans="1:22" ht="16.5" customHeight="1" thickBot="1">
      <c r="A27" s="109"/>
      <c r="B27" s="106"/>
      <c r="C27" s="15"/>
      <c r="D27" s="176"/>
      <c r="E27" s="16"/>
      <c r="F27" s="16"/>
      <c r="G27" s="16"/>
      <c r="H27" s="64"/>
      <c r="I27" s="246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8"/>
      <c r="U27" s="65"/>
      <c r="V27" s="16"/>
    </row>
    <row r="28" spans="1:22" ht="16.5" customHeight="1">
      <c r="A28" s="109"/>
      <c r="B28" s="34"/>
      <c r="C28" s="15"/>
      <c r="D28" s="42"/>
      <c r="E28" s="16"/>
      <c r="F28" s="16"/>
      <c r="G28" s="16"/>
      <c r="H28" s="66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  <c r="V28" s="16"/>
    </row>
    <row r="29" spans="1:22">
      <c r="A29" s="109"/>
      <c r="B29" s="3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6.5" thickBot="1">
      <c r="A30" s="109"/>
      <c r="B30" s="34"/>
      <c r="C30" s="95" t="s">
        <v>9</v>
      </c>
      <c r="D30" s="95" t="s">
        <v>12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 ht="24.75" thickBot="1">
      <c r="A31" s="109"/>
      <c r="B31" s="91" t="str">
        <f>IF(NOT(ISBLANK(F31)), CHAR(252), CHAR(251))</f>
        <v>û</v>
      </c>
      <c r="C31" s="33" t="s">
        <v>406</v>
      </c>
      <c r="D31" s="25" t="s">
        <v>13</v>
      </c>
      <c r="E31" s="13"/>
      <c r="F31" s="196"/>
      <c r="G31" s="43"/>
      <c r="H31" s="44" t="s">
        <v>93</v>
      </c>
      <c r="I31" s="45"/>
      <c r="J31" s="45"/>
      <c r="K31" s="46"/>
      <c r="L31" s="45"/>
      <c r="M31" s="45"/>
      <c r="N31" s="45"/>
      <c r="O31" s="45"/>
      <c r="P31" s="45"/>
      <c r="Q31" s="45"/>
      <c r="R31" s="45"/>
      <c r="S31" s="45"/>
      <c r="T31" s="45"/>
      <c r="U31" s="47"/>
      <c r="V31" s="43"/>
    </row>
    <row r="32" spans="1:22" ht="18" thickTop="1" thickBot="1">
      <c r="A32" s="109"/>
      <c r="B32" s="34"/>
      <c r="C32" s="29"/>
      <c r="D32" s="26"/>
      <c r="E32" s="13"/>
      <c r="F32" s="48"/>
      <c r="G32" s="43"/>
      <c r="H32" s="49"/>
      <c r="I32" s="50" t="s">
        <v>29</v>
      </c>
      <c r="J32" s="50" t="s">
        <v>32</v>
      </c>
      <c r="K32" s="50" t="s">
        <v>35</v>
      </c>
      <c r="L32" s="50" t="s">
        <v>38</v>
      </c>
      <c r="M32" s="50" t="s">
        <v>41</v>
      </c>
      <c r="N32" s="50" t="s">
        <v>44</v>
      </c>
      <c r="O32" s="50" t="s">
        <v>47</v>
      </c>
      <c r="P32" s="50" t="s">
        <v>49</v>
      </c>
      <c r="Q32" s="50" t="s">
        <v>52</v>
      </c>
      <c r="R32" s="50" t="s">
        <v>55</v>
      </c>
      <c r="S32" s="50" t="s">
        <v>70</v>
      </c>
      <c r="T32" s="197"/>
      <c r="U32" s="51"/>
      <c r="V32" s="43"/>
    </row>
    <row r="33" spans="1:23" ht="16.5">
      <c r="A33" s="109"/>
      <c r="B33" s="34"/>
      <c r="C33" s="29"/>
      <c r="D33" s="13"/>
      <c r="E33" s="13"/>
      <c r="F33" s="43"/>
      <c r="G33" s="43"/>
      <c r="H33" s="49"/>
      <c r="I33" s="50" t="s">
        <v>30</v>
      </c>
      <c r="J33" s="50" t="s">
        <v>33</v>
      </c>
      <c r="K33" s="50" t="s">
        <v>36</v>
      </c>
      <c r="L33" s="50" t="s">
        <v>39</v>
      </c>
      <c r="M33" s="50" t="s">
        <v>42</v>
      </c>
      <c r="N33" s="50" t="s">
        <v>45</v>
      </c>
      <c r="O33" s="50" t="s">
        <v>48</v>
      </c>
      <c r="P33" s="50" t="s">
        <v>50</v>
      </c>
      <c r="Q33" s="50" t="s">
        <v>53</v>
      </c>
      <c r="R33" s="50" t="s">
        <v>56</v>
      </c>
      <c r="S33" s="52"/>
      <c r="T33" s="52"/>
      <c r="U33" s="51"/>
      <c r="V33" s="43"/>
    </row>
    <row r="34" spans="1:23" ht="16.5">
      <c r="A34" s="109"/>
      <c r="B34" s="34"/>
      <c r="C34" s="29"/>
      <c r="D34" s="13"/>
      <c r="E34" s="13"/>
      <c r="F34" s="43"/>
      <c r="G34" s="43"/>
      <c r="H34" s="53"/>
      <c r="I34" s="54" t="s">
        <v>31</v>
      </c>
      <c r="J34" s="54" t="s">
        <v>34</v>
      </c>
      <c r="K34" s="54" t="s">
        <v>37</v>
      </c>
      <c r="L34" s="54" t="s">
        <v>40</v>
      </c>
      <c r="M34" s="54" t="s">
        <v>43</v>
      </c>
      <c r="N34" s="54" t="s">
        <v>46</v>
      </c>
      <c r="O34" s="54" t="s">
        <v>73</v>
      </c>
      <c r="P34" s="54" t="s">
        <v>51</v>
      </c>
      <c r="Q34" s="54" t="s">
        <v>54</v>
      </c>
      <c r="R34" s="54" t="s">
        <v>57</v>
      </c>
      <c r="S34" s="55"/>
      <c r="T34" s="55"/>
      <c r="U34" s="56"/>
      <c r="V34" s="43"/>
    </row>
    <row r="35" spans="1:23" ht="17.25" thickBot="1">
      <c r="A35" s="109"/>
      <c r="B35" s="34"/>
      <c r="C35" s="29"/>
      <c r="D35" s="13"/>
      <c r="E35" s="1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spans="1:23" ht="33.75" thickBot="1">
      <c r="A36" s="109"/>
      <c r="B36" s="91" t="str">
        <f>IF(NOT(ISBLANK(F36)), CHAR(252), CHAR(251))</f>
        <v>û</v>
      </c>
      <c r="C36" s="33" t="s">
        <v>407</v>
      </c>
      <c r="D36" s="27" t="s">
        <v>91</v>
      </c>
      <c r="E36" s="13"/>
      <c r="F36" s="196"/>
      <c r="G36" s="43"/>
      <c r="H36" s="57" t="s">
        <v>94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7"/>
      <c r="V36" s="43"/>
    </row>
    <row r="37" spans="1:23" ht="18" thickTop="1" thickBot="1">
      <c r="A37" s="109"/>
      <c r="B37" s="34"/>
      <c r="C37" s="29"/>
      <c r="D37" s="26"/>
      <c r="E37" s="13"/>
      <c r="F37" s="48"/>
      <c r="G37" s="43"/>
      <c r="H37" s="49"/>
      <c r="I37" s="254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6"/>
      <c r="U37" s="51"/>
      <c r="V37" s="43"/>
    </row>
    <row r="38" spans="1:23" ht="16.5">
      <c r="A38" s="109"/>
      <c r="B38" s="34"/>
      <c r="C38" s="29"/>
      <c r="D38" s="26"/>
      <c r="E38" s="13"/>
      <c r="F38" s="48"/>
      <c r="G38" s="43"/>
      <c r="H38" s="53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6"/>
      <c r="V38" s="43"/>
    </row>
    <row r="39" spans="1:23" ht="17.25" thickBot="1">
      <c r="A39" s="109"/>
      <c r="B39" s="34"/>
      <c r="C39" s="29"/>
      <c r="D39" s="26"/>
      <c r="E39" s="13"/>
      <c r="F39" s="48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3" ht="17.25" customHeight="1" thickBot="1">
      <c r="A40" s="109"/>
      <c r="B40" s="109"/>
      <c r="C40" s="33" t="s">
        <v>408</v>
      </c>
      <c r="D40" s="27" t="s">
        <v>86</v>
      </c>
      <c r="E40" s="13"/>
      <c r="F40" s="60" t="s">
        <v>189</v>
      </c>
      <c r="G40" s="58" t="s">
        <v>78</v>
      </c>
      <c r="H40" s="261" t="s">
        <v>190</v>
      </c>
      <c r="I40" s="262"/>
      <c r="J40" s="262"/>
      <c r="K40" s="262"/>
      <c r="L40" s="262"/>
      <c r="M40" s="263"/>
      <c r="N40" s="43"/>
      <c r="O40" s="136" t="s">
        <v>235</v>
      </c>
      <c r="P40" s="137"/>
      <c r="Q40" s="137"/>
      <c r="R40" s="137"/>
      <c r="S40" s="137"/>
      <c r="T40" s="137"/>
      <c r="U40" s="138"/>
      <c r="V40" s="43"/>
    </row>
    <row r="41" spans="1:23" ht="54" customHeight="1" thickTop="1" thickBot="1">
      <c r="A41" s="109"/>
      <c r="B41" s="91" t="str">
        <f t="shared" ref="B41" si="2">IF(NOT(ISBLANK(F41)), CHAR(252), CHAR(251))</f>
        <v>û</v>
      </c>
      <c r="C41" s="30" t="s">
        <v>409</v>
      </c>
      <c r="D41" s="76" t="s">
        <v>273</v>
      </c>
      <c r="E41" s="13"/>
      <c r="F41" s="196"/>
      <c r="G41" s="43"/>
      <c r="H41" s="264"/>
      <c r="I41" s="265"/>
      <c r="J41" s="265"/>
      <c r="K41" s="265"/>
      <c r="L41" s="265"/>
      <c r="M41" s="266"/>
      <c r="N41" s="43"/>
      <c r="O41" s="139"/>
      <c r="P41" s="244"/>
      <c r="Q41" s="260"/>
      <c r="R41" s="260"/>
      <c r="S41" s="260"/>
      <c r="T41" s="245"/>
      <c r="U41" s="140"/>
      <c r="V41" s="43"/>
    </row>
    <row r="42" spans="1:23" ht="17.25" thickBot="1">
      <c r="A42" s="109"/>
      <c r="B42" s="99"/>
      <c r="C42" s="29"/>
      <c r="D42" s="124"/>
      <c r="E42" s="13"/>
      <c r="F42" s="48"/>
      <c r="G42" s="43"/>
      <c r="H42" s="125"/>
      <c r="I42" s="125"/>
      <c r="J42" s="125"/>
      <c r="K42" s="125"/>
      <c r="L42" s="125"/>
      <c r="M42" s="125"/>
      <c r="N42" s="43"/>
      <c r="O42" s="141"/>
      <c r="P42" s="142"/>
      <c r="Q42" s="142"/>
      <c r="R42" s="142"/>
      <c r="S42" s="142"/>
      <c r="T42" s="142"/>
      <c r="U42" s="143"/>
      <c r="V42" s="43"/>
    </row>
    <row r="43" spans="1:23" ht="50.25" thickBot="1">
      <c r="A43" s="109"/>
      <c r="B43" s="99" t="str">
        <f>IF(NOT(ISBLANK(F43)), CHAR(252), CHAR(251))</f>
        <v>û</v>
      </c>
      <c r="C43" s="33" t="s">
        <v>410</v>
      </c>
      <c r="D43" s="105" t="s">
        <v>317</v>
      </c>
      <c r="E43" s="13"/>
      <c r="F43" s="244"/>
      <c r="G43" s="260"/>
      <c r="H43" s="260"/>
      <c r="I43" s="260"/>
      <c r="J43" s="260"/>
      <c r="K43" s="260"/>
      <c r="L43" s="260"/>
      <c r="M43" s="245"/>
      <c r="N43" s="43"/>
      <c r="O43" s="43"/>
      <c r="P43" s="43"/>
      <c r="Q43" s="43"/>
      <c r="R43" s="43"/>
      <c r="S43" s="43"/>
      <c r="T43" s="43"/>
      <c r="U43" s="43"/>
      <c r="V43" s="43"/>
    </row>
    <row r="44" spans="1:23" ht="17.25" thickTop="1">
      <c r="A44" s="109"/>
      <c r="B44" s="34"/>
      <c r="C44" s="15"/>
      <c r="D44" s="26"/>
      <c r="E44" s="13"/>
      <c r="F44" s="48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3" s="13" customFormat="1">
      <c r="W45" s="97"/>
    </row>
    <row r="46" spans="1:23" ht="16.5" customHeight="1" thickBot="1">
      <c r="A46" s="109"/>
      <c r="B46" s="13"/>
      <c r="C46" s="95" t="s">
        <v>10</v>
      </c>
      <c r="D46" s="95" t="s">
        <v>17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3" ht="24.75" thickBot="1">
      <c r="A47" s="109"/>
      <c r="B47" s="91" t="str">
        <f t="shared" ref="B47:B48" si="3">IF(NOT(ISBLANK(F47)), CHAR(252), CHAR(251))</f>
        <v>û</v>
      </c>
      <c r="C47" s="191" t="s">
        <v>411</v>
      </c>
      <c r="D47" s="25" t="s">
        <v>77</v>
      </c>
      <c r="E47" s="13"/>
      <c r="F47" s="198"/>
      <c r="G47" s="43"/>
      <c r="H47" s="72" t="s">
        <v>107</v>
      </c>
      <c r="I47" s="45"/>
      <c r="J47" s="45"/>
      <c r="K47" s="46"/>
      <c r="L47" s="45"/>
      <c r="M47" s="45"/>
      <c r="N47" s="45"/>
      <c r="O47" s="46"/>
      <c r="P47" s="45"/>
      <c r="Q47" s="45"/>
      <c r="R47" s="45"/>
      <c r="S47" s="45"/>
      <c r="T47" s="45"/>
      <c r="U47" s="47"/>
      <c r="V47" s="43"/>
    </row>
    <row r="48" spans="1:23" ht="25.5" thickTop="1" thickBot="1">
      <c r="A48" s="109"/>
      <c r="B48" s="91" t="str">
        <f t="shared" si="3"/>
        <v>û</v>
      </c>
      <c r="C48" s="192" t="s">
        <v>412</v>
      </c>
      <c r="D48" s="35" t="s">
        <v>106</v>
      </c>
      <c r="E48" s="13"/>
      <c r="F48" s="199"/>
      <c r="G48" s="43"/>
      <c r="H48" s="49"/>
      <c r="I48" s="264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6"/>
      <c r="U48" s="51"/>
      <c r="V48" s="43"/>
    </row>
    <row r="49" spans="1:23" ht="16.5">
      <c r="A49" s="109"/>
      <c r="B49" s="13"/>
      <c r="C49" s="28"/>
      <c r="D49" s="13"/>
      <c r="E49" s="13"/>
      <c r="F49" s="43"/>
      <c r="G49" s="43"/>
      <c r="H49" s="53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6"/>
      <c r="V49" s="43"/>
    </row>
    <row r="50" spans="1:23" ht="17.25" thickBot="1">
      <c r="A50" s="109"/>
      <c r="B50" s="13"/>
      <c r="C50" s="28"/>
      <c r="D50" s="13"/>
      <c r="E50" s="1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3" ht="18.75" customHeight="1" thickBot="1">
      <c r="A51" s="109"/>
      <c r="B51" s="13"/>
      <c r="C51" s="28"/>
      <c r="D51" s="257" t="s">
        <v>115</v>
      </c>
      <c r="E51" s="13"/>
      <c r="F51" s="258"/>
      <c r="G51" s="38"/>
      <c r="H51" s="57" t="s">
        <v>95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7"/>
      <c r="V51" s="43"/>
    </row>
    <row r="52" spans="1:23" ht="25.5" thickTop="1" thickBot="1">
      <c r="A52" s="109"/>
      <c r="B52" s="91" t="str">
        <f>IF(NOT(ISBLANK(F51)), CHAR(252), CHAR(251))</f>
        <v>û</v>
      </c>
      <c r="C52" s="191" t="s">
        <v>413</v>
      </c>
      <c r="D52" s="257"/>
      <c r="E52" s="13"/>
      <c r="F52" s="259"/>
      <c r="G52" s="43"/>
      <c r="H52" s="49"/>
      <c r="I52" s="244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45"/>
      <c r="U52" s="51"/>
      <c r="V52" s="43"/>
    </row>
    <row r="53" spans="1:23" ht="18" thickTop="1" thickBot="1">
      <c r="A53" s="109"/>
      <c r="B53" s="13"/>
      <c r="C53" s="28"/>
      <c r="D53" s="13"/>
      <c r="E53" s="13"/>
      <c r="F53" s="43"/>
      <c r="G53" s="43"/>
      <c r="H53" s="53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6"/>
      <c r="V53" s="43"/>
    </row>
    <row r="54" spans="1:23" ht="24.75" thickBot="1">
      <c r="A54" s="109"/>
      <c r="B54" s="103" t="str">
        <f>IF(NOT(ISBLANK(F54)), CHAR(252), CHAR(251))</f>
        <v>û</v>
      </c>
      <c r="C54" s="191" t="s">
        <v>414</v>
      </c>
      <c r="D54" s="25" t="s">
        <v>184</v>
      </c>
      <c r="E54" s="13"/>
      <c r="F54" s="200"/>
      <c r="G54" s="43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43"/>
    </row>
    <row r="55" spans="1:23" ht="17.25" thickTop="1">
      <c r="A55" s="109"/>
      <c r="B55" s="13"/>
      <c r="C55" s="28"/>
      <c r="D55" s="13"/>
      <c r="E55" s="13"/>
      <c r="F55" s="43"/>
      <c r="G55" s="43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43"/>
    </row>
    <row r="56" spans="1:23" s="13" customFormat="1" ht="16.5">
      <c r="A56" s="109"/>
      <c r="C56" s="115"/>
      <c r="F56" s="43"/>
      <c r="G56" s="43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43"/>
      <c r="W56" s="97"/>
    </row>
    <row r="57" spans="1:23" ht="16.5" thickBot="1">
      <c r="A57" s="109"/>
      <c r="B57" s="13"/>
      <c r="C57" s="95" t="s">
        <v>11</v>
      </c>
      <c r="D57" s="95" t="s">
        <v>18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3" ht="35.25" customHeight="1" thickBot="1">
      <c r="A58" s="109"/>
      <c r="B58" s="103" t="str">
        <f>IF(NOT(ISBLANK(F58)),CHAR(252),CHAR(251))</f>
        <v>û</v>
      </c>
      <c r="C58" s="191" t="s">
        <v>87</v>
      </c>
      <c r="D58" s="105" t="s">
        <v>275</v>
      </c>
      <c r="E58" s="13"/>
      <c r="F58" s="20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13"/>
    </row>
    <row r="59" spans="1:23" ht="21" customHeight="1" thickTop="1" thickBot="1">
      <c r="A59" s="109"/>
      <c r="B59" s="171" t="str">
        <f>IF(NOT(ISBLANK(F59)),CHAR(252),CHAR(251))</f>
        <v>û</v>
      </c>
      <c r="C59" s="192" t="s">
        <v>415</v>
      </c>
      <c r="D59" s="35" t="s">
        <v>376</v>
      </c>
      <c r="E59" s="13"/>
      <c r="F59" s="20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175"/>
      <c r="W59" s="4"/>
    </row>
    <row r="60" spans="1:23" ht="16.5">
      <c r="A60" s="109"/>
      <c r="B60" s="13"/>
      <c r="C60" s="28"/>
      <c r="D60" s="13"/>
      <c r="E60" s="13"/>
      <c r="F60" s="43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175"/>
      <c r="W60" s="4"/>
    </row>
    <row r="61" spans="1:23" ht="16.5">
      <c r="A61" s="109"/>
      <c r="B61" s="13"/>
      <c r="C61" s="28"/>
      <c r="D61" s="13"/>
      <c r="E61" s="13"/>
      <c r="F61" s="43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175"/>
      <c r="W61" s="4"/>
    </row>
    <row r="62" spans="1:23" ht="17.25" thickBot="1">
      <c r="A62" s="109"/>
      <c r="B62" s="13"/>
      <c r="C62" s="28"/>
      <c r="D62" s="251" t="s">
        <v>185</v>
      </c>
      <c r="E62" s="13"/>
      <c r="F62" s="128" t="s">
        <v>471</v>
      </c>
      <c r="G62" s="45" t="s">
        <v>177</v>
      </c>
      <c r="H62" s="45"/>
      <c r="I62" s="45" t="s">
        <v>236</v>
      </c>
      <c r="J62" s="45"/>
      <c r="K62" s="62" t="s">
        <v>182</v>
      </c>
      <c r="L62" s="62"/>
      <c r="M62" s="45"/>
      <c r="N62" s="47"/>
      <c r="O62" s="59"/>
      <c r="P62" s="59"/>
      <c r="Q62" s="59"/>
      <c r="R62" s="59"/>
      <c r="S62" s="59"/>
      <c r="T62" s="59"/>
      <c r="U62" s="59"/>
      <c r="V62" s="175"/>
      <c r="W62" s="4"/>
    </row>
    <row r="63" spans="1:23" ht="17.25" thickBot="1">
      <c r="A63" s="109"/>
      <c r="B63" s="13"/>
      <c r="C63" s="28"/>
      <c r="D63" s="251"/>
      <c r="E63" s="13"/>
      <c r="F63" s="129" t="s">
        <v>470</v>
      </c>
      <c r="G63" s="52" t="s">
        <v>178</v>
      </c>
      <c r="H63" s="52"/>
      <c r="I63" s="52" t="s">
        <v>180</v>
      </c>
      <c r="J63" s="52"/>
      <c r="K63" s="52" t="s">
        <v>186</v>
      </c>
      <c r="L63" s="244"/>
      <c r="M63" s="245"/>
      <c r="N63" s="51"/>
      <c r="O63" s="59"/>
      <c r="P63" s="59"/>
      <c r="Q63" s="59"/>
      <c r="R63" s="59"/>
      <c r="S63" s="59"/>
      <c r="T63" s="59"/>
      <c r="U63" s="59"/>
      <c r="V63" s="175"/>
      <c r="W63" s="4"/>
    </row>
    <row r="64" spans="1:23" ht="17.25" customHeight="1" thickBot="1">
      <c r="A64" s="109"/>
      <c r="B64" s="13"/>
      <c r="C64" s="191" t="s">
        <v>416</v>
      </c>
      <c r="D64" s="252"/>
      <c r="E64" s="13"/>
      <c r="F64" s="130" t="s">
        <v>469</v>
      </c>
      <c r="G64" s="127" t="s">
        <v>179</v>
      </c>
      <c r="H64" s="127"/>
      <c r="I64" s="127" t="s">
        <v>181</v>
      </c>
      <c r="J64" s="127"/>
      <c r="K64" s="127"/>
      <c r="L64" s="127"/>
      <c r="M64" s="127"/>
      <c r="N64" s="68"/>
      <c r="O64" s="61"/>
      <c r="P64" s="61"/>
      <c r="Q64" s="61"/>
      <c r="R64" s="61"/>
      <c r="S64" s="61"/>
      <c r="T64" s="61"/>
      <c r="U64" s="61"/>
      <c r="V64" s="175"/>
      <c r="W64" s="4"/>
    </row>
    <row r="65" spans="1:23" ht="18" thickTop="1" thickBot="1">
      <c r="A65" s="109"/>
      <c r="B65" s="13"/>
      <c r="C65" s="28"/>
      <c r="D65" s="13"/>
      <c r="E65" s="13"/>
      <c r="F65" s="43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175"/>
      <c r="W65" s="4"/>
    </row>
    <row r="66" spans="1:23" ht="30" customHeight="1" thickBot="1">
      <c r="A66" s="109"/>
      <c r="B66" s="103" t="str">
        <f>IF(NOT(ISBLANK(F66)),CHAR(252),CHAR(251))</f>
        <v>û</v>
      </c>
      <c r="C66" s="191" t="s">
        <v>417</v>
      </c>
      <c r="D66" s="105" t="s">
        <v>274</v>
      </c>
      <c r="E66" s="13"/>
      <c r="F66" s="202"/>
      <c r="G66" s="13"/>
      <c r="H66" s="13"/>
      <c r="I66" s="13"/>
      <c r="J66" s="13"/>
      <c r="K66" s="13"/>
      <c r="L66" s="13"/>
      <c r="M66" s="13"/>
      <c r="N66" s="13"/>
      <c r="O66" s="13"/>
      <c r="P66" s="61"/>
      <c r="Q66" s="61"/>
      <c r="R66" s="61"/>
      <c r="S66" s="61"/>
      <c r="T66" s="61"/>
      <c r="U66" s="61"/>
      <c r="V66" s="175"/>
      <c r="W66" s="4"/>
    </row>
    <row r="67" spans="1:23" s="13" customFormat="1" ht="17.25" thickTop="1">
      <c r="C67" s="28"/>
      <c r="D67" s="104"/>
      <c r="W67" s="97"/>
    </row>
    <row r="68" spans="1:23" ht="16.5">
      <c r="C68" s="93"/>
      <c r="D68" s="94"/>
    </row>
    <row r="69" spans="1:23" ht="16.5">
      <c r="C69" s="93"/>
      <c r="D69" s="94"/>
    </row>
    <row r="70" spans="1:23" ht="16.5">
      <c r="C70" s="93"/>
      <c r="D70" s="94"/>
    </row>
    <row r="71" spans="1:23" ht="17.25" thickBot="1">
      <c r="C71" s="93"/>
      <c r="D71" s="94"/>
      <c r="V71" s="189"/>
      <c r="W71" s="4"/>
    </row>
    <row r="72" spans="1:23" s="87" customFormat="1" ht="15" customHeight="1">
      <c r="A72" s="1"/>
      <c r="B72" s="1"/>
      <c r="C72" s="235" t="s">
        <v>160</v>
      </c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7"/>
      <c r="V72" s="189"/>
      <c r="W72" s="4"/>
    </row>
    <row r="73" spans="1:23" s="4" customFormat="1" ht="15" customHeight="1">
      <c r="A73" s="1"/>
      <c r="B73" s="1"/>
      <c r="C73" s="238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40"/>
      <c r="V73" s="189"/>
    </row>
    <row r="74" spans="1:23" s="4" customFormat="1" ht="15" customHeight="1">
      <c r="A74" s="1"/>
      <c r="B74" s="1"/>
      <c r="C74" s="238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40"/>
      <c r="V74" s="189"/>
    </row>
    <row r="75" spans="1:23" s="4" customFormat="1" ht="15" customHeight="1">
      <c r="A75" s="1"/>
      <c r="B75" s="1"/>
      <c r="C75" s="238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40"/>
      <c r="V75" s="189"/>
    </row>
    <row r="76" spans="1:23" s="88" customFormat="1" ht="15.75" customHeight="1" thickBot="1">
      <c r="A76" s="1"/>
      <c r="B76" s="1"/>
      <c r="C76" s="241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3"/>
      <c r="V76" s="189"/>
      <c r="W76" s="4"/>
    </row>
    <row r="77" spans="1:23">
      <c r="V77" s="189"/>
      <c r="W77" s="4"/>
    </row>
    <row r="78" spans="1:23"/>
    <row r="79" spans="1:23" hidden="1"/>
    <row r="80" spans="1:23" hidden="1"/>
    <row r="81" spans="6:6" hidden="1"/>
    <row r="82" spans="6:6" hidden="1"/>
    <row r="83" spans="6:6" ht="16.5" hidden="1">
      <c r="F83" s="69"/>
    </row>
    <row r="84" spans="6:6" ht="16.5" hidden="1">
      <c r="F84" s="69"/>
    </row>
    <row r="85" spans="6:6" ht="16.5" hidden="1">
      <c r="F85" s="69"/>
    </row>
    <row r="86" spans="6:6" ht="16.5" hidden="1">
      <c r="F86" s="69"/>
    </row>
    <row r="87" spans="6:6" ht="16.5" hidden="1">
      <c r="F87" s="69"/>
    </row>
    <row r="88" spans="6:6" ht="16.5" hidden="1">
      <c r="F88" s="69"/>
    </row>
    <row r="89" spans="6:6" ht="16.5" hidden="1">
      <c r="F89" s="69"/>
    </row>
    <row r="90" spans="6:6" ht="16.5" hidden="1">
      <c r="F90" s="69"/>
    </row>
    <row r="91" spans="6:6" ht="16.5" hidden="1">
      <c r="F91" s="69"/>
    </row>
    <row r="92" spans="6:6" ht="16.5" hidden="1">
      <c r="F92" s="69"/>
    </row>
  </sheetData>
  <sheetProtection algorithmName="SHA-512" hashValue="/PFquNwoXRqxnN3u7BjfCCtX1RBq9ZvryutPS9cR8diGo4cdjqyrhGTnGDzcuac9z1GAZ3tbRCO3jpOp+GibjQ==" saltValue="/TyKPFmPwbNqEDCPVOX5qA==" spinCount="100000" sheet="1" objects="1" scenarios="1"/>
  <mergeCells count="17">
    <mergeCell ref="B21:B23"/>
    <mergeCell ref="I37:T37"/>
    <mergeCell ref="D51:D52"/>
    <mergeCell ref="F51:F52"/>
    <mergeCell ref="I52:T52"/>
    <mergeCell ref="H40:M40"/>
    <mergeCell ref="H41:M41"/>
    <mergeCell ref="I48:T48"/>
    <mergeCell ref="F43:M43"/>
    <mergeCell ref="P41:T41"/>
    <mergeCell ref="I27:T27"/>
    <mergeCell ref="C72:U76"/>
    <mergeCell ref="L63:M63"/>
    <mergeCell ref="I19:T19"/>
    <mergeCell ref="D21:D23"/>
    <mergeCell ref="C21:C23"/>
    <mergeCell ref="D62:D64"/>
  </mergeCells>
  <conditionalFormatting sqref="B41:B43">
    <cfRule type="cellIs" dxfId="108" priority="132" operator="equal">
      <formula>CHAR(252)</formula>
    </cfRule>
  </conditionalFormatting>
  <conditionalFormatting sqref="B41:B43">
    <cfRule type="cellIs" dxfId="107" priority="131" operator="equal">
      <formula>CHAR(251)</formula>
    </cfRule>
  </conditionalFormatting>
  <conditionalFormatting sqref="B12 B14 B16">
    <cfRule type="cellIs" dxfId="106" priority="126" operator="equal">
      <formula>CHAR(252)</formula>
    </cfRule>
  </conditionalFormatting>
  <conditionalFormatting sqref="B12 B14 B16">
    <cfRule type="cellIs" dxfId="105" priority="125" operator="equal">
      <formula>CHAR(251)</formula>
    </cfRule>
  </conditionalFormatting>
  <conditionalFormatting sqref="B6:B7">
    <cfRule type="cellIs" dxfId="104" priority="124" operator="equal">
      <formula>CHAR(252)</formula>
    </cfRule>
  </conditionalFormatting>
  <conditionalFormatting sqref="B6:B7">
    <cfRule type="cellIs" dxfId="103" priority="123" operator="equal">
      <formula>CHAR(251)</formula>
    </cfRule>
  </conditionalFormatting>
  <conditionalFormatting sqref="B9:B11">
    <cfRule type="cellIs" dxfId="102" priority="122" operator="equal">
      <formula>CHAR(252)</formula>
    </cfRule>
  </conditionalFormatting>
  <conditionalFormatting sqref="B9:B11">
    <cfRule type="cellIs" dxfId="101" priority="121" operator="equal">
      <formula>CHAR(251)</formula>
    </cfRule>
  </conditionalFormatting>
  <conditionalFormatting sqref="B13">
    <cfRule type="cellIs" dxfId="100" priority="120" operator="equal">
      <formula>CHAR(252)</formula>
    </cfRule>
  </conditionalFormatting>
  <conditionalFormatting sqref="B13">
    <cfRule type="cellIs" dxfId="99" priority="119" operator="equal">
      <formula>CHAR(251)</formula>
    </cfRule>
  </conditionalFormatting>
  <conditionalFormatting sqref="B15">
    <cfRule type="cellIs" dxfId="98" priority="118" operator="equal">
      <formula>CHAR(252)</formula>
    </cfRule>
  </conditionalFormatting>
  <conditionalFormatting sqref="B15">
    <cfRule type="cellIs" dxfId="97" priority="117" operator="equal">
      <formula>CHAR(251)</formula>
    </cfRule>
  </conditionalFormatting>
  <conditionalFormatting sqref="B17">
    <cfRule type="cellIs" dxfId="96" priority="116" operator="equal">
      <formula>CHAR(252)</formula>
    </cfRule>
  </conditionalFormatting>
  <conditionalFormatting sqref="B17">
    <cfRule type="cellIs" dxfId="95" priority="115" operator="equal">
      <formula>CHAR(251)</formula>
    </cfRule>
  </conditionalFormatting>
  <conditionalFormatting sqref="B18">
    <cfRule type="cellIs" dxfId="94" priority="114" operator="equal">
      <formula>CHAR(252)</formula>
    </cfRule>
  </conditionalFormatting>
  <conditionalFormatting sqref="B18">
    <cfRule type="cellIs" dxfId="93" priority="113" operator="equal">
      <formula>CHAR(251)</formula>
    </cfRule>
  </conditionalFormatting>
  <conditionalFormatting sqref="B21 B25">
    <cfRule type="cellIs" dxfId="92" priority="112" operator="equal">
      <formula>CHAR(252)</formula>
    </cfRule>
  </conditionalFormatting>
  <conditionalFormatting sqref="B21 B25">
    <cfRule type="cellIs" dxfId="91" priority="111" operator="equal">
      <formula>CHAR(251)</formula>
    </cfRule>
  </conditionalFormatting>
  <conditionalFormatting sqref="B31">
    <cfRule type="cellIs" dxfId="90" priority="110" operator="equal">
      <formula>CHAR(252)</formula>
    </cfRule>
  </conditionalFormatting>
  <conditionalFormatting sqref="B31">
    <cfRule type="cellIs" dxfId="89" priority="109" operator="equal">
      <formula>CHAR(251)</formula>
    </cfRule>
  </conditionalFormatting>
  <conditionalFormatting sqref="B36">
    <cfRule type="cellIs" dxfId="88" priority="108" operator="equal">
      <formula>CHAR(252)</formula>
    </cfRule>
  </conditionalFormatting>
  <conditionalFormatting sqref="B36">
    <cfRule type="cellIs" dxfId="87" priority="107" operator="equal">
      <formula>CHAR(251)</formula>
    </cfRule>
  </conditionalFormatting>
  <conditionalFormatting sqref="B47:B48">
    <cfRule type="cellIs" dxfId="86" priority="102" operator="equal">
      <formula>CHAR(252)</formula>
    </cfRule>
  </conditionalFormatting>
  <conditionalFormatting sqref="B47:B48">
    <cfRule type="cellIs" dxfId="85" priority="101" operator="equal">
      <formula>CHAR(251)</formula>
    </cfRule>
  </conditionalFormatting>
  <conditionalFormatting sqref="B52">
    <cfRule type="cellIs" dxfId="84" priority="100" operator="equal">
      <formula>CHAR(252)</formula>
    </cfRule>
  </conditionalFormatting>
  <conditionalFormatting sqref="B52">
    <cfRule type="cellIs" dxfId="83" priority="99" operator="equal">
      <formula>CHAR(251)</formula>
    </cfRule>
  </conditionalFormatting>
  <conditionalFormatting sqref="B54">
    <cfRule type="cellIs" dxfId="82" priority="10" operator="equal">
      <formula>CHAR(252)</formula>
    </cfRule>
  </conditionalFormatting>
  <conditionalFormatting sqref="B54">
    <cfRule type="cellIs" dxfId="81" priority="9" operator="equal">
      <formula>CHAR(251)</formula>
    </cfRule>
  </conditionalFormatting>
  <conditionalFormatting sqref="B58">
    <cfRule type="cellIs" dxfId="80" priority="8" operator="equal">
      <formula>CHAR(252)</formula>
    </cfRule>
  </conditionalFormatting>
  <conditionalFormatting sqref="B58">
    <cfRule type="cellIs" dxfId="79" priority="7" operator="equal">
      <formula>CHAR(251)</formula>
    </cfRule>
  </conditionalFormatting>
  <conditionalFormatting sqref="B66">
    <cfRule type="cellIs" dxfId="78" priority="4" operator="equal">
      <formula>CHAR(252)</formula>
    </cfRule>
  </conditionalFormatting>
  <conditionalFormatting sqref="B66">
    <cfRule type="cellIs" dxfId="77" priority="3" operator="equal">
      <formula>CHAR(251)</formula>
    </cfRule>
  </conditionalFormatting>
  <conditionalFormatting sqref="B59">
    <cfRule type="cellIs" dxfId="76" priority="2" operator="equal">
      <formula>CHAR(252)</formula>
    </cfRule>
  </conditionalFormatting>
  <conditionalFormatting sqref="B59">
    <cfRule type="cellIs" dxfId="75" priority="1" operator="equal">
      <formula>CHAR(251)</formula>
    </cfRule>
  </conditionalFormatting>
  <dataValidations count="2">
    <dataValidation allowBlank="1" showErrorMessage="1" promptTitle="Type of innovation" prompt="Please select one option closest describing the type of innovation supported_x000a_" sqref="F27"/>
    <dataValidation type="textLength" errorStyle="warning" operator="lessThan" allowBlank="1" showInputMessage="1" showErrorMessage="1" errorTitle="Max. no. of words" error="The text you are trying to include here is too long. Please try to reduce the length." sqref="F43:M43">
      <formula1>1000</formula1>
    </dataValidation>
  </dataValidations>
  <pageMargins left="0.25" right="0.25" top="0.75" bottom="0.75" header="0.3" footer="0.3"/>
  <pageSetup paperSize="9" scale="36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locked="0" defaultSize="0" autoFill="0" autoLine="0" autoPict="0">
                <anchor moveWithCells="1">
                  <from>
                    <xdr:col>8</xdr:col>
                    <xdr:colOff>1143000</xdr:colOff>
                    <xdr:row>31</xdr:row>
                    <xdr:rowOff>9525</xdr:rowOff>
                  </from>
                  <to>
                    <xdr:col>8</xdr:col>
                    <xdr:colOff>1447800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locked="0" defaultSize="0" autoFill="0" autoLine="0" autoPict="0">
                <anchor moveWithCells="1">
                  <from>
                    <xdr:col>8</xdr:col>
                    <xdr:colOff>1143000</xdr:colOff>
                    <xdr:row>31</xdr:row>
                    <xdr:rowOff>209550</xdr:rowOff>
                  </from>
                  <to>
                    <xdr:col>8</xdr:col>
                    <xdr:colOff>1447800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locked="0" defaultSize="0" autoFill="0" autoLine="0" autoPict="0">
                <anchor moveWithCells="1">
                  <from>
                    <xdr:col>8</xdr:col>
                    <xdr:colOff>1143000</xdr:colOff>
                    <xdr:row>32</xdr:row>
                    <xdr:rowOff>190500</xdr:rowOff>
                  </from>
                  <to>
                    <xdr:col>8</xdr:col>
                    <xdr:colOff>1447800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locked="0" defaultSize="0" autoFill="0" autoLine="0" autoPict="0">
                <anchor moveWithCells="1">
                  <from>
                    <xdr:col>9</xdr:col>
                    <xdr:colOff>123825</xdr:colOff>
                    <xdr:row>31</xdr:row>
                    <xdr:rowOff>19050</xdr:rowOff>
                  </from>
                  <to>
                    <xdr:col>9</xdr:col>
                    <xdr:colOff>428625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8" name="Check Box 15">
              <controlPr locked="0" defaultSize="0" autoFill="0" autoLine="0" autoPict="0">
                <anchor moveWithCells="1">
                  <from>
                    <xdr:col>9</xdr:col>
                    <xdr:colOff>123825</xdr:colOff>
                    <xdr:row>31</xdr:row>
                    <xdr:rowOff>219075</xdr:rowOff>
                  </from>
                  <to>
                    <xdr:col>9</xdr:col>
                    <xdr:colOff>428625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9" name="Check Box 16">
              <controlPr locked="0" defaultSize="0" autoFill="0" autoLine="0" autoPict="0">
                <anchor moveWithCells="1">
                  <from>
                    <xdr:col>9</xdr:col>
                    <xdr:colOff>123825</xdr:colOff>
                    <xdr:row>32</xdr:row>
                    <xdr:rowOff>200025</xdr:rowOff>
                  </from>
                  <to>
                    <xdr:col>9</xdr:col>
                    <xdr:colOff>428625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locked="0" defaultSize="0" autoFill="0" autoLine="0" autoPict="0">
                <anchor moveWithCells="1">
                  <from>
                    <xdr:col>10</xdr:col>
                    <xdr:colOff>171450</xdr:colOff>
                    <xdr:row>31</xdr:row>
                    <xdr:rowOff>19050</xdr:rowOff>
                  </from>
                  <to>
                    <xdr:col>10</xdr:col>
                    <xdr:colOff>476250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1" name="Check Box 18">
              <controlPr locked="0" defaultSize="0" autoFill="0" autoLine="0" autoPict="0">
                <anchor moveWithCells="1">
                  <from>
                    <xdr:col>10</xdr:col>
                    <xdr:colOff>171450</xdr:colOff>
                    <xdr:row>31</xdr:row>
                    <xdr:rowOff>219075</xdr:rowOff>
                  </from>
                  <to>
                    <xdr:col>10</xdr:col>
                    <xdr:colOff>476250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Check Box 19">
              <controlPr locked="0" defaultSize="0" autoFill="0" autoLine="0" autoPict="0">
                <anchor moveWithCells="1">
                  <from>
                    <xdr:col>10</xdr:col>
                    <xdr:colOff>171450</xdr:colOff>
                    <xdr:row>32</xdr:row>
                    <xdr:rowOff>200025</xdr:rowOff>
                  </from>
                  <to>
                    <xdr:col>10</xdr:col>
                    <xdr:colOff>476250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3" name="Check Box 20">
              <controlPr locked="0" defaultSize="0" autoFill="0" autoLine="0" autoPict="0">
                <anchor moveWithCells="1">
                  <from>
                    <xdr:col>11</xdr:col>
                    <xdr:colOff>209550</xdr:colOff>
                    <xdr:row>31</xdr:row>
                    <xdr:rowOff>19050</xdr:rowOff>
                  </from>
                  <to>
                    <xdr:col>11</xdr:col>
                    <xdr:colOff>514350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4" name="Check Box 21">
              <controlPr locked="0" defaultSize="0" autoFill="0" autoLine="0" autoPict="0">
                <anchor moveWithCells="1">
                  <from>
                    <xdr:col>11</xdr:col>
                    <xdr:colOff>209550</xdr:colOff>
                    <xdr:row>31</xdr:row>
                    <xdr:rowOff>219075</xdr:rowOff>
                  </from>
                  <to>
                    <xdr:col>11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5" name="Check Box 22">
              <controlPr locked="0" defaultSize="0" autoFill="0" autoLine="0" autoPict="0">
                <anchor moveWithCells="1">
                  <from>
                    <xdr:col>11</xdr:col>
                    <xdr:colOff>209550</xdr:colOff>
                    <xdr:row>32</xdr:row>
                    <xdr:rowOff>200025</xdr:rowOff>
                  </from>
                  <to>
                    <xdr:col>11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6" name="Check Box 23">
              <controlPr locked="0" defaultSize="0" autoFill="0" autoLine="0" autoPict="0">
                <anchor moveWithCells="1">
                  <from>
                    <xdr:col>12</xdr:col>
                    <xdr:colOff>180975</xdr:colOff>
                    <xdr:row>31</xdr:row>
                    <xdr:rowOff>19050</xdr:rowOff>
                  </from>
                  <to>
                    <xdr:col>12</xdr:col>
                    <xdr:colOff>485775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7" name="Check Box 24">
              <controlPr locked="0" defaultSize="0" autoFill="0" autoLine="0" autoPict="0">
                <anchor moveWithCells="1">
                  <from>
                    <xdr:col>12</xdr:col>
                    <xdr:colOff>180975</xdr:colOff>
                    <xdr:row>31</xdr:row>
                    <xdr:rowOff>219075</xdr:rowOff>
                  </from>
                  <to>
                    <xdr:col>12</xdr:col>
                    <xdr:colOff>485775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locked="0" defaultSize="0" autoFill="0" autoLine="0" autoPict="0">
                <anchor moveWithCells="1">
                  <from>
                    <xdr:col>12</xdr:col>
                    <xdr:colOff>180975</xdr:colOff>
                    <xdr:row>32</xdr:row>
                    <xdr:rowOff>200025</xdr:rowOff>
                  </from>
                  <to>
                    <xdr:col>12</xdr:col>
                    <xdr:colOff>485775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locked="0" defaultSize="0" autoFill="0" autoLine="0" autoPict="0">
                <anchor moveWithCells="1">
                  <from>
                    <xdr:col>13</xdr:col>
                    <xdr:colOff>200025</xdr:colOff>
                    <xdr:row>31</xdr:row>
                    <xdr:rowOff>19050</xdr:rowOff>
                  </from>
                  <to>
                    <xdr:col>13</xdr:col>
                    <xdr:colOff>504825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0" name="Check Box 27">
              <controlPr locked="0" defaultSize="0" autoFill="0" autoLine="0" autoPict="0">
                <anchor moveWithCells="1">
                  <from>
                    <xdr:col>13</xdr:col>
                    <xdr:colOff>200025</xdr:colOff>
                    <xdr:row>31</xdr:row>
                    <xdr:rowOff>219075</xdr:rowOff>
                  </from>
                  <to>
                    <xdr:col>13</xdr:col>
                    <xdr:colOff>504825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1" name="Check Box 28">
              <controlPr locked="0" defaultSize="0" autoFill="0" autoLine="0" autoPict="0">
                <anchor moveWithCells="1">
                  <from>
                    <xdr:col>13</xdr:col>
                    <xdr:colOff>200025</xdr:colOff>
                    <xdr:row>32</xdr:row>
                    <xdr:rowOff>200025</xdr:rowOff>
                  </from>
                  <to>
                    <xdr:col>13</xdr:col>
                    <xdr:colOff>504825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2" name="Check Box 29">
              <controlPr locked="0" defaultSize="0" autoFill="0" autoLine="0" autoPict="0">
                <anchor moveWithCells="1">
                  <from>
                    <xdr:col>14</xdr:col>
                    <xdr:colOff>190500</xdr:colOff>
                    <xdr:row>31</xdr:row>
                    <xdr:rowOff>19050</xdr:rowOff>
                  </from>
                  <to>
                    <xdr:col>14</xdr:col>
                    <xdr:colOff>495300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3" name="Check Box 30">
              <controlPr locked="0" defaultSize="0" autoFill="0" autoLine="0" autoPict="0">
                <anchor moveWithCells="1">
                  <from>
                    <xdr:col>14</xdr:col>
                    <xdr:colOff>190500</xdr:colOff>
                    <xdr:row>31</xdr:row>
                    <xdr:rowOff>219075</xdr:rowOff>
                  </from>
                  <to>
                    <xdr:col>14</xdr:col>
                    <xdr:colOff>495300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locked="0" defaultSize="0" autoFill="0" autoLine="0" autoPict="0">
                <anchor moveWithCells="1">
                  <from>
                    <xdr:col>14</xdr:col>
                    <xdr:colOff>190500</xdr:colOff>
                    <xdr:row>32</xdr:row>
                    <xdr:rowOff>200025</xdr:rowOff>
                  </from>
                  <to>
                    <xdr:col>14</xdr:col>
                    <xdr:colOff>495300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5" name="Check Box 32">
              <controlPr locked="0" defaultSize="0" autoFill="0" autoLine="0" autoPict="0">
                <anchor moveWithCells="1">
                  <from>
                    <xdr:col>15</xdr:col>
                    <xdr:colOff>219075</xdr:colOff>
                    <xdr:row>31</xdr:row>
                    <xdr:rowOff>19050</xdr:rowOff>
                  </from>
                  <to>
                    <xdr:col>15</xdr:col>
                    <xdr:colOff>523875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6" name="Check Box 33">
              <controlPr locked="0" defaultSize="0" autoFill="0" autoLine="0" autoPict="0">
                <anchor moveWithCells="1">
                  <from>
                    <xdr:col>15</xdr:col>
                    <xdr:colOff>219075</xdr:colOff>
                    <xdr:row>31</xdr:row>
                    <xdr:rowOff>219075</xdr:rowOff>
                  </from>
                  <to>
                    <xdr:col>15</xdr:col>
                    <xdr:colOff>523875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7" name="Check Box 34">
              <controlPr locked="0" defaultSize="0" autoFill="0" autoLine="0" autoPict="0">
                <anchor moveWithCells="1">
                  <from>
                    <xdr:col>15</xdr:col>
                    <xdr:colOff>219075</xdr:colOff>
                    <xdr:row>32</xdr:row>
                    <xdr:rowOff>200025</xdr:rowOff>
                  </from>
                  <to>
                    <xdr:col>15</xdr:col>
                    <xdr:colOff>523875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8" name="Check Box 35">
              <controlPr locked="0" defaultSize="0" autoFill="0" autoLine="0" autoPict="0">
                <anchor moveWithCells="1">
                  <from>
                    <xdr:col>16</xdr:col>
                    <xdr:colOff>209550</xdr:colOff>
                    <xdr:row>31</xdr:row>
                    <xdr:rowOff>19050</xdr:rowOff>
                  </from>
                  <to>
                    <xdr:col>16</xdr:col>
                    <xdr:colOff>495300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9" name="Check Box 36">
              <controlPr locked="0" defaultSize="0" autoFill="0" autoLine="0" autoPict="0">
                <anchor moveWithCells="1">
                  <from>
                    <xdr:col>16</xdr:col>
                    <xdr:colOff>209550</xdr:colOff>
                    <xdr:row>31</xdr:row>
                    <xdr:rowOff>219075</xdr:rowOff>
                  </from>
                  <to>
                    <xdr:col>16</xdr:col>
                    <xdr:colOff>495300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0" name="Check Box 37">
              <controlPr locked="0" defaultSize="0" autoFill="0" autoLine="0" autoPict="0">
                <anchor moveWithCells="1">
                  <from>
                    <xdr:col>16</xdr:col>
                    <xdr:colOff>209550</xdr:colOff>
                    <xdr:row>32</xdr:row>
                    <xdr:rowOff>200025</xdr:rowOff>
                  </from>
                  <to>
                    <xdr:col>16</xdr:col>
                    <xdr:colOff>495300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1" name="Check Box 38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31</xdr:row>
                    <xdr:rowOff>19050</xdr:rowOff>
                  </from>
                  <to>
                    <xdr:col>17</xdr:col>
                    <xdr:colOff>333375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2" name="Check Box 39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31</xdr:row>
                    <xdr:rowOff>219075</xdr:rowOff>
                  </from>
                  <to>
                    <xdr:col>17</xdr:col>
                    <xdr:colOff>333375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3" name="Check Box 40">
              <controlPr locked="0" defaultSize="0" autoFill="0" autoLine="0" autoPict="0">
                <anchor moveWithCells="1">
                  <from>
                    <xdr:col>17</xdr:col>
                    <xdr:colOff>47625</xdr:colOff>
                    <xdr:row>32</xdr:row>
                    <xdr:rowOff>200025</xdr:rowOff>
                  </from>
                  <to>
                    <xdr:col>17</xdr:col>
                    <xdr:colOff>333375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4" name="Check Box 41">
              <controlPr locked="0" defaultSize="0" autoFill="0" autoLine="0" autoPict="0">
                <anchor moveWithCells="1">
                  <from>
                    <xdr:col>18</xdr:col>
                    <xdr:colOff>28575</xdr:colOff>
                    <xdr:row>31</xdr:row>
                    <xdr:rowOff>19050</xdr:rowOff>
                  </from>
                  <to>
                    <xdr:col>18</xdr:col>
                    <xdr:colOff>314325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5" name="Check Box 46">
              <controlPr locked="0" defaultSize="0" autoFill="0" autoLine="0" autoPict="0">
                <anchor moveWithCells="1">
                  <from>
                    <xdr:col>5</xdr:col>
                    <xdr:colOff>466725</xdr:colOff>
                    <xdr:row>39</xdr:row>
                    <xdr:rowOff>0</xdr:rowOff>
                  </from>
                  <to>
                    <xdr:col>5</xdr:col>
                    <xdr:colOff>1333500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6" name="Check Box 47">
              <controlPr locked="0" defaultSize="0" autoFill="0" autoLine="0" autoPict="0">
                <anchor moveWithCells="1">
                  <from>
                    <xdr:col>8</xdr:col>
                    <xdr:colOff>723900</xdr:colOff>
                    <xdr:row>38</xdr:row>
                    <xdr:rowOff>209550</xdr:rowOff>
                  </from>
                  <to>
                    <xdr:col>9</xdr:col>
                    <xdr:colOff>19050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7" name="Check Box 77">
              <controlPr defaultSize="0" autoFill="0" autoLine="0" autoPict="0">
                <anchor moveWithCells="1">
                  <from>
                    <xdr:col>8</xdr:col>
                    <xdr:colOff>219075</xdr:colOff>
                    <xdr:row>56</xdr:row>
                    <xdr:rowOff>0</xdr:rowOff>
                  </from>
                  <to>
                    <xdr:col>8</xdr:col>
                    <xdr:colOff>219075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8" name="Check Box 78">
              <controlPr defaultSize="0" autoFill="0" autoLine="0" autoPict="0">
                <anchor moveWithCells="1">
                  <from>
                    <xdr:col>8</xdr:col>
                    <xdr:colOff>219075</xdr:colOff>
                    <xdr:row>56</xdr:row>
                    <xdr:rowOff>0</xdr:rowOff>
                  </from>
                  <to>
                    <xdr:col>8</xdr:col>
                    <xdr:colOff>219075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9" name="Check Box 79">
              <controlPr defaultSize="0" autoFill="0" autoLine="0" autoPict="0">
                <anchor moveWithCells="1">
                  <from>
                    <xdr:col>8</xdr:col>
                    <xdr:colOff>219075</xdr:colOff>
                    <xdr:row>56</xdr:row>
                    <xdr:rowOff>0</xdr:rowOff>
                  </from>
                  <to>
                    <xdr:col>8</xdr:col>
                    <xdr:colOff>219075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0" name="Check Box 80">
              <controlPr defaultSize="0" autoFill="0" autoLine="0" autoPict="0">
                <anchor moveWithCells="1">
                  <from>
                    <xdr:col>9</xdr:col>
                    <xdr:colOff>123825</xdr:colOff>
                    <xdr:row>56</xdr:row>
                    <xdr:rowOff>0</xdr:rowOff>
                  </from>
                  <to>
                    <xdr:col>9</xdr:col>
                    <xdr:colOff>123825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1" name="Check Box 81">
              <controlPr defaultSize="0" autoFill="0" autoLine="0" autoPict="0">
                <anchor moveWithCells="1">
                  <from>
                    <xdr:col>9</xdr:col>
                    <xdr:colOff>123825</xdr:colOff>
                    <xdr:row>56</xdr:row>
                    <xdr:rowOff>0</xdr:rowOff>
                  </from>
                  <to>
                    <xdr:col>9</xdr:col>
                    <xdr:colOff>123825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2" name="Check Box 82">
              <controlPr defaultSize="0" autoFill="0" autoLine="0" autoPict="0">
                <anchor moveWithCells="1">
                  <from>
                    <xdr:col>9</xdr:col>
                    <xdr:colOff>123825</xdr:colOff>
                    <xdr:row>56</xdr:row>
                    <xdr:rowOff>0</xdr:rowOff>
                  </from>
                  <to>
                    <xdr:col>9</xdr:col>
                    <xdr:colOff>123825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3" name="Check Box 83">
              <controlPr defaultSize="0" autoFill="0" autoLine="0" autoPict="0">
                <anchor moveWithCells="1">
                  <from>
                    <xdr:col>10</xdr:col>
                    <xdr:colOff>171450</xdr:colOff>
                    <xdr:row>56</xdr:row>
                    <xdr:rowOff>0</xdr:rowOff>
                  </from>
                  <to>
                    <xdr:col>10</xdr:col>
                    <xdr:colOff>171450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4" name="Check Box 84">
              <controlPr defaultSize="0" autoFill="0" autoLine="0" autoPict="0">
                <anchor moveWithCells="1">
                  <from>
                    <xdr:col>10</xdr:col>
                    <xdr:colOff>171450</xdr:colOff>
                    <xdr:row>56</xdr:row>
                    <xdr:rowOff>0</xdr:rowOff>
                  </from>
                  <to>
                    <xdr:col>10</xdr:col>
                    <xdr:colOff>171450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5" name="Check Box 85">
              <controlPr defaultSize="0" autoFill="0" autoLine="0" autoPict="0">
                <anchor moveWithCells="1">
                  <from>
                    <xdr:col>10</xdr:col>
                    <xdr:colOff>171450</xdr:colOff>
                    <xdr:row>56</xdr:row>
                    <xdr:rowOff>0</xdr:rowOff>
                  </from>
                  <to>
                    <xdr:col>10</xdr:col>
                    <xdr:colOff>171450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6" name="Check Box 86">
              <controlPr defaultSize="0" autoFill="0" autoLine="0" autoPict="0">
                <anchor moveWithCells="1">
                  <from>
                    <xdr:col>11</xdr:col>
                    <xdr:colOff>209550</xdr:colOff>
                    <xdr:row>56</xdr:row>
                    <xdr:rowOff>0</xdr:rowOff>
                  </from>
                  <to>
                    <xdr:col>11</xdr:col>
                    <xdr:colOff>209550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7" name="Check Box 87">
              <controlPr defaultSize="0" autoFill="0" autoLine="0" autoPict="0">
                <anchor moveWithCells="1">
                  <from>
                    <xdr:col>11</xdr:col>
                    <xdr:colOff>209550</xdr:colOff>
                    <xdr:row>56</xdr:row>
                    <xdr:rowOff>0</xdr:rowOff>
                  </from>
                  <to>
                    <xdr:col>11</xdr:col>
                    <xdr:colOff>209550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8" name="Check Box 88">
              <controlPr defaultSize="0" autoFill="0" autoLine="0" autoPict="0">
                <anchor moveWithCells="1">
                  <from>
                    <xdr:col>11</xdr:col>
                    <xdr:colOff>209550</xdr:colOff>
                    <xdr:row>56</xdr:row>
                    <xdr:rowOff>0</xdr:rowOff>
                  </from>
                  <to>
                    <xdr:col>11</xdr:col>
                    <xdr:colOff>209550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9" name="Check Box 89">
              <controlPr defaultSize="0" autoFill="0" autoLine="0" autoPict="0">
                <anchor moveWithCells="1">
                  <from>
                    <xdr:col>12</xdr:col>
                    <xdr:colOff>180975</xdr:colOff>
                    <xdr:row>56</xdr:row>
                    <xdr:rowOff>0</xdr:rowOff>
                  </from>
                  <to>
                    <xdr:col>12</xdr:col>
                    <xdr:colOff>180975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0" name="Check Box 90">
              <controlPr defaultSize="0" autoFill="0" autoLine="0" autoPict="0">
                <anchor moveWithCells="1">
                  <from>
                    <xdr:col>12</xdr:col>
                    <xdr:colOff>180975</xdr:colOff>
                    <xdr:row>56</xdr:row>
                    <xdr:rowOff>0</xdr:rowOff>
                  </from>
                  <to>
                    <xdr:col>12</xdr:col>
                    <xdr:colOff>180975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1" name="Check Box 91">
              <controlPr defaultSize="0" autoFill="0" autoLine="0" autoPict="0">
                <anchor moveWithCells="1">
                  <from>
                    <xdr:col>12</xdr:col>
                    <xdr:colOff>180975</xdr:colOff>
                    <xdr:row>56</xdr:row>
                    <xdr:rowOff>0</xdr:rowOff>
                  </from>
                  <to>
                    <xdr:col>12</xdr:col>
                    <xdr:colOff>180975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2" name="Check Box 92">
              <controlPr defaultSize="0" autoFill="0" autoLine="0" autoPict="0">
                <anchor moveWithCells="1">
                  <from>
                    <xdr:col>13</xdr:col>
                    <xdr:colOff>200025</xdr:colOff>
                    <xdr:row>56</xdr:row>
                    <xdr:rowOff>0</xdr:rowOff>
                  </from>
                  <to>
                    <xdr:col>13</xdr:col>
                    <xdr:colOff>200025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3" name="Check Box 93">
              <controlPr defaultSize="0" autoFill="0" autoLine="0" autoPict="0">
                <anchor moveWithCells="1">
                  <from>
                    <xdr:col>13</xdr:col>
                    <xdr:colOff>200025</xdr:colOff>
                    <xdr:row>56</xdr:row>
                    <xdr:rowOff>0</xdr:rowOff>
                  </from>
                  <to>
                    <xdr:col>13</xdr:col>
                    <xdr:colOff>200025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4" name="Check Box 94">
              <controlPr defaultSize="0" autoFill="0" autoLine="0" autoPict="0">
                <anchor moveWithCells="1">
                  <from>
                    <xdr:col>13</xdr:col>
                    <xdr:colOff>200025</xdr:colOff>
                    <xdr:row>56</xdr:row>
                    <xdr:rowOff>0</xdr:rowOff>
                  </from>
                  <to>
                    <xdr:col>13</xdr:col>
                    <xdr:colOff>200025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5" name="Check Box 95">
              <controlPr defaultSize="0" autoFill="0" autoLine="0" autoPict="0">
                <anchor moveWithCells="1">
                  <from>
                    <xdr:col>14</xdr:col>
                    <xdr:colOff>190500</xdr:colOff>
                    <xdr:row>56</xdr:row>
                    <xdr:rowOff>0</xdr:rowOff>
                  </from>
                  <to>
                    <xdr:col>14</xdr:col>
                    <xdr:colOff>190500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6" name="Check Box 96">
              <controlPr defaultSize="0" autoFill="0" autoLine="0" autoPict="0">
                <anchor moveWithCells="1">
                  <from>
                    <xdr:col>14</xdr:col>
                    <xdr:colOff>190500</xdr:colOff>
                    <xdr:row>56</xdr:row>
                    <xdr:rowOff>0</xdr:rowOff>
                  </from>
                  <to>
                    <xdr:col>14</xdr:col>
                    <xdr:colOff>190500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7" name="Check Box 97">
              <controlPr defaultSize="0" autoFill="0" autoLine="0" autoPict="0">
                <anchor moveWithCells="1">
                  <from>
                    <xdr:col>14</xdr:col>
                    <xdr:colOff>190500</xdr:colOff>
                    <xdr:row>56</xdr:row>
                    <xdr:rowOff>0</xdr:rowOff>
                  </from>
                  <to>
                    <xdr:col>14</xdr:col>
                    <xdr:colOff>190500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8" name="Check Box 98">
              <controlPr defaultSize="0" autoFill="0" autoLine="0" autoPict="0">
                <anchor moveWithCells="1">
                  <from>
                    <xdr:col>15</xdr:col>
                    <xdr:colOff>219075</xdr:colOff>
                    <xdr:row>56</xdr:row>
                    <xdr:rowOff>0</xdr:rowOff>
                  </from>
                  <to>
                    <xdr:col>15</xdr:col>
                    <xdr:colOff>219075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59" name="Check Box 99">
              <controlPr defaultSize="0" autoFill="0" autoLine="0" autoPict="0">
                <anchor moveWithCells="1">
                  <from>
                    <xdr:col>15</xdr:col>
                    <xdr:colOff>219075</xdr:colOff>
                    <xdr:row>56</xdr:row>
                    <xdr:rowOff>0</xdr:rowOff>
                  </from>
                  <to>
                    <xdr:col>15</xdr:col>
                    <xdr:colOff>219075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0" name="Check Box 100">
              <controlPr defaultSize="0" autoFill="0" autoLine="0" autoPict="0">
                <anchor moveWithCells="1">
                  <from>
                    <xdr:col>15</xdr:col>
                    <xdr:colOff>219075</xdr:colOff>
                    <xdr:row>56</xdr:row>
                    <xdr:rowOff>0</xdr:rowOff>
                  </from>
                  <to>
                    <xdr:col>15</xdr:col>
                    <xdr:colOff>219075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1" name="Check Box 101">
              <controlPr defaultSize="0" autoFill="0" autoLine="0" autoPict="0">
                <anchor moveWithCells="1">
                  <from>
                    <xdr:col>16</xdr:col>
                    <xdr:colOff>209550</xdr:colOff>
                    <xdr:row>56</xdr:row>
                    <xdr:rowOff>0</xdr:rowOff>
                  </from>
                  <to>
                    <xdr:col>16</xdr:col>
                    <xdr:colOff>209550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2" name="Check Box 102">
              <controlPr defaultSize="0" autoFill="0" autoLine="0" autoPict="0">
                <anchor moveWithCells="1">
                  <from>
                    <xdr:col>16</xdr:col>
                    <xdr:colOff>209550</xdr:colOff>
                    <xdr:row>56</xdr:row>
                    <xdr:rowOff>0</xdr:rowOff>
                  </from>
                  <to>
                    <xdr:col>16</xdr:col>
                    <xdr:colOff>209550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3" name="Check Box 103">
              <controlPr defaultSize="0" autoFill="0" autoLine="0" autoPict="0">
                <anchor moveWithCells="1">
                  <from>
                    <xdr:col>16</xdr:col>
                    <xdr:colOff>209550</xdr:colOff>
                    <xdr:row>56</xdr:row>
                    <xdr:rowOff>0</xdr:rowOff>
                  </from>
                  <to>
                    <xdr:col>16</xdr:col>
                    <xdr:colOff>209550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4" name="Check Box 104">
              <controlPr defaultSize="0" autoFill="0" autoLine="0" autoPict="0">
                <anchor moveWithCells="1">
                  <from>
                    <xdr:col>17</xdr:col>
                    <xdr:colOff>47625</xdr:colOff>
                    <xdr:row>56</xdr:row>
                    <xdr:rowOff>0</xdr:rowOff>
                  </from>
                  <to>
                    <xdr:col>17</xdr:col>
                    <xdr:colOff>47625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5" name="Check Box 105">
              <controlPr defaultSize="0" autoFill="0" autoLine="0" autoPict="0">
                <anchor moveWithCells="1">
                  <from>
                    <xdr:col>17</xdr:col>
                    <xdr:colOff>47625</xdr:colOff>
                    <xdr:row>56</xdr:row>
                    <xdr:rowOff>0</xdr:rowOff>
                  </from>
                  <to>
                    <xdr:col>17</xdr:col>
                    <xdr:colOff>47625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6" name="Check Box 106">
              <controlPr defaultSize="0" autoFill="0" autoLine="0" autoPict="0">
                <anchor moveWithCells="1">
                  <from>
                    <xdr:col>17</xdr:col>
                    <xdr:colOff>47625</xdr:colOff>
                    <xdr:row>56</xdr:row>
                    <xdr:rowOff>0</xdr:rowOff>
                  </from>
                  <to>
                    <xdr:col>17</xdr:col>
                    <xdr:colOff>47625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7" name="Check Box 107">
              <controlPr defaultSize="0" autoFill="0" autoLine="0" autoPict="0">
                <anchor moveWithCells="1">
                  <from>
                    <xdr:col>18</xdr:col>
                    <xdr:colOff>28575</xdr:colOff>
                    <xdr:row>56</xdr:row>
                    <xdr:rowOff>0</xdr:rowOff>
                  </from>
                  <to>
                    <xdr:col>18</xdr:col>
                    <xdr:colOff>28575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8" name="Check Box 108">
              <controlPr defaultSize="0" autoFill="0" autoLine="0" autoPict="0">
                <anchor moveWithCells="1">
                  <from>
                    <xdr:col>5</xdr:col>
                    <xdr:colOff>1362075</xdr:colOff>
                    <xdr:row>56</xdr:row>
                    <xdr:rowOff>0</xdr:rowOff>
                  </from>
                  <to>
                    <xdr:col>5</xdr:col>
                    <xdr:colOff>1362075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9" name="Check Box 109">
              <controlPr defaultSize="0" autoFill="0" autoLine="0" autoPict="0">
                <anchor moveWithCells="1">
                  <from>
                    <xdr:col>9</xdr:col>
                    <xdr:colOff>133350</xdr:colOff>
                    <xdr:row>56</xdr:row>
                    <xdr:rowOff>0</xdr:rowOff>
                  </from>
                  <to>
                    <xdr:col>9</xdr:col>
                    <xdr:colOff>133350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0" name="Check Box 118">
              <controlPr locked="0" defaultSize="0" autoFill="0" autoLine="0" autoPict="0">
                <anchor moveWithCells="1">
                  <from>
                    <xdr:col>5</xdr:col>
                    <xdr:colOff>781050</xdr:colOff>
                    <xdr:row>60</xdr:row>
                    <xdr:rowOff>200025</xdr:rowOff>
                  </from>
                  <to>
                    <xdr:col>5</xdr:col>
                    <xdr:colOff>1066800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1" name="Check Box 119">
              <controlPr locked="0" defaultSize="0" autoFill="0" autoLine="0" autoPict="0">
                <anchor moveWithCells="1">
                  <from>
                    <xdr:col>5</xdr:col>
                    <xdr:colOff>781050</xdr:colOff>
                    <xdr:row>61</xdr:row>
                    <xdr:rowOff>209550</xdr:rowOff>
                  </from>
                  <to>
                    <xdr:col>5</xdr:col>
                    <xdr:colOff>1057275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2" name="Check Box 120">
              <controlPr locked="0" defaultSize="0" autoFill="0" autoLine="0" autoPict="0">
                <anchor moveWithCells="1">
                  <from>
                    <xdr:col>5</xdr:col>
                    <xdr:colOff>781050</xdr:colOff>
                    <xdr:row>62</xdr:row>
                    <xdr:rowOff>209550</xdr:rowOff>
                  </from>
                  <to>
                    <xdr:col>5</xdr:col>
                    <xdr:colOff>1057275</xdr:colOff>
                    <xdr:row>63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3" name="Check Box 121">
              <controlPr locked="0" defaultSize="0" autoFill="0" autoLine="0" autoPict="0">
                <anchor moveWithCells="1">
                  <from>
                    <xdr:col>5</xdr:col>
                    <xdr:colOff>3467100</xdr:colOff>
                    <xdr:row>60</xdr:row>
                    <xdr:rowOff>200025</xdr:rowOff>
                  </from>
                  <to>
                    <xdr:col>6</xdr:col>
                    <xdr:colOff>76200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4" name="Check Box 122">
              <controlPr locked="0" defaultSize="0" autoFill="0" autoLine="0" autoPict="0">
                <anchor moveWithCells="1">
                  <from>
                    <xdr:col>5</xdr:col>
                    <xdr:colOff>3457575</xdr:colOff>
                    <xdr:row>61</xdr:row>
                    <xdr:rowOff>209550</xdr:rowOff>
                  </from>
                  <to>
                    <xdr:col>6</xdr:col>
                    <xdr:colOff>76200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5" name="Check Box 123">
              <controlPr locked="0" defaultSize="0" autoFill="0" autoLine="0" autoPict="0">
                <anchor moveWithCells="1">
                  <from>
                    <xdr:col>5</xdr:col>
                    <xdr:colOff>3457575</xdr:colOff>
                    <xdr:row>62</xdr:row>
                    <xdr:rowOff>209550</xdr:rowOff>
                  </from>
                  <to>
                    <xdr:col>6</xdr:col>
                    <xdr:colOff>76200</xdr:colOff>
                    <xdr:row>63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6" name="Check Box 124">
              <controlPr locked="0" defaultSize="0" autoFill="0" autoLine="0" autoPict="0">
                <anchor moveWithCells="1">
                  <from>
                    <xdr:col>7</xdr:col>
                    <xdr:colOff>257175</xdr:colOff>
                    <xdr:row>60</xdr:row>
                    <xdr:rowOff>200025</xdr:rowOff>
                  </from>
                  <to>
                    <xdr:col>8</xdr:col>
                    <xdr:colOff>85725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7" name="Check Box 125">
              <controlPr locked="0" defaultSize="0" autoFill="0" autoLine="0" autoPict="0">
                <anchor moveWithCells="1">
                  <from>
                    <xdr:col>7</xdr:col>
                    <xdr:colOff>247650</xdr:colOff>
                    <xdr:row>61</xdr:row>
                    <xdr:rowOff>209550</xdr:rowOff>
                  </from>
                  <to>
                    <xdr:col>8</xdr:col>
                    <xdr:colOff>85725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8" name="Check Box 126">
              <controlPr locked="0" defaultSize="0" autoFill="0" autoLine="0" autoPict="0">
                <anchor moveWithCells="1">
                  <from>
                    <xdr:col>7</xdr:col>
                    <xdr:colOff>247650</xdr:colOff>
                    <xdr:row>62</xdr:row>
                    <xdr:rowOff>209550</xdr:rowOff>
                  </from>
                  <to>
                    <xdr:col>8</xdr:col>
                    <xdr:colOff>85725</xdr:colOff>
                    <xdr:row>63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9" name="Check Box 127">
              <controlPr locked="0" defaultSize="0" autoFill="0" autoLine="0" autoPict="0">
                <anchor moveWithCells="1">
                  <from>
                    <xdr:col>9</xdr:col>
                    <xdr:colOff>314325</xdr:colOff>
                    <xdr:row>62</xdr:row>
                    <xdr:rowOff>9525</xdr:rowOff>
                  </from>
                  <to>
                    <xdr:col>10</xdr:col>
                    <xdr:colOff>85725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0" name="Check Box 152">
              <controlPr locked="0" defaultSize="0" autoFill="0" autoLine="0" autoPict="0">
                <anchor moveWithCells="1">
                  <from>
                    <xdr:col>9</xdr:col>
                    <xdr:colOff>314325</xdr:colOff>
                    <xdr:row>61</xdr:row>
                    <xdr:rowOff>19050</xdr:rowOff>
                  </from>
                  <to>
                    <xdr:col>10</xdr:col>
                    <xdr:colOff>85725</xdr:colOff>
                    <xdr:row>62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promptTitle="Status of the project" prompt="Please select one of the options in the list">
          <x14:formula1>
            <xm:f>Lists!$B$5:$B$10</xm:f>
          </x14:formula1>
          <xm:sqref>F11</xm:sqref>
        </x14:dataValidation>
        <x14:dataValidation type="list" allowBlank="1" showInputMessage="1" showErrorMessage="1" promptTitle="Domain" prompt="Please select the domain the project works in, i.e. agriculture, forestry or rural development">
          <x14:formula1>
            <xm:f>Lists!$B$13:$B$15</xm:f>
          </x14:formula1>
          <xm:sqref>F17</xm:sqref>
        </x14:dataValidation>
        <x14:dataValidation type="list" allowBlank="1" showInputMessage="1" showErrorMessage="1" promptTitle="Geographical coverage" prompt="Please indicate the geographical scale of the project by using the options in the list_x000a_">
          <x14:formula1>
            <xm:f>Lists!$B$23:$B$26</xm:f>
          </x14:formula1>
          <xm:sqref>F31:F32</xm:sqref>
        </x14:dataValidation>
        <x14:dataValidation type="list" allowBlank="1" showInputMessage="1" showErrorMessage="1">
          <x14:formula1>
            <xm:f>Lists!$I$5:$I$7</xm:f>
          </x14:formula1>
          <xm:sqref>F51:F52 F36</xm:sqref>
        </x14:dataValidation>
        <x14:dataValidation type="list" allowBlank="1" showInputMessage="1" showErrorMessage="1" promptTitle="Formal cooperation types" prompt="Please select 1 option_x000a_">
          <x14:formula1>
            <xm:f>Lists!$I$12:$I$16</xm:f>
          </x14:formula1>
          <xm:sqref>F41</xm:sqref>
        </x14:dataValidation>
        <x14:dataValidation type="list" allowBlank="1" showInputMessage="1" showErrorMessage="1" promptTitle="Informal cooperation types" prompt="Please select 1 option_x000a_">
          <x14:formula1>
            <xm:f>Lists!$I$19:$I$21</xm:f>
          </x14:formula1>
          <xm:sqref>H41:M41</xm:sqref>
        </x14:dataValidation>
        <x14:dataValidation type="list" allowBlank="1" showInputMessage="1" showErrorMessage="1" promptTitle="Type of funding" prompt="Please select the option closest describing the funding situation of your project_x000a_">
          <x14:formula1>
            <xm:f>Lists!$I$25:$I$28</xm:f>
          </x14:formula1>
          <xm:sqref>F47</xm:sqref>
        </x14:dataValidation>
        <x14:dataValidation type="list" allowBlank="1" showInputMessage="1" showErrorMessage="1" promptTitle="Public funding source" prompt="When your project is publicly funded, please indicate the source of funding_x000a_">
          <x14:formula1>
            <xm:f>Lists!$I$31:$I$35</xm:f>
          </x14:formula1>
          <xm:sqref>I48:T48</xm:sqref>
        </x14:dataValidation>
        <x14:dataValidation type="list" allowBlank="1" showInputMessage="1" showErrorMessage="1" promptTitle="Type of challenge" prompt="Please select one _x000a_">
          <x14:formula1>
            <xm:f>Lists!$M$25:$M$47</xm:f>
          </x14:formula1>
          <xm:sqref>F21:F24</xm:sqref>
        </x14:dataValidation>
        <x14:dataValidation type="list" allowBlank="1" showInputMessage="1" showErrorMessage="1" promptTitle="Solutions" prompt="Please selection one option _x000a_">
          <x14:formula1>
            <xm:f>Lists!$M$52:$M$61</xm:f>
          </x14:formula1>
          <xm:sqref>F25</xm:sqref>
        </x14:dataValidation>
        <x14:dataValidation type="list" allowBlank="1" showInputMessage="1" showErrorMessage="1" promptTitle="Country of residence" prompt="Please select the relevant nationality from the list. _x000a_">
          <x14:formula1>
            <xm:f>Lists!$G$5:$G$35</xm:f>
          </x14:formula1>
          <xm:sqref>F13</xm:sqref>
        </x14:dataValidation>
        <x14:dataValidation type="list" allowBlank="1" showInputMessage="1" showErrorMessage="1" promptTitle="Type of agriculture/forestry" prompt="Please select the option most applicable_x000a_">
          <x14:formula1>
            <xm:f>Lists!$M$65:$M$75</xm:f>
          </x14:formula1>
          <xm:sqref>F18</xm:sqref>
        </x14:dataValidation>
        <x14:dataValidation type="list" allowBlank="1" showInputMessage="1" showErrorMessage="1" promptTitle="Type of lead partner" prompt="Please indicate the type that describes best the lead partner_x000a_">
          <x14:formula1>
            <xm:f>Lists!$M$12:$M$22</xm:f>
          </x14:formula1>
          <xm:sqref>F66</xm:sqref>
        </x14:dataValidation>
        <x14:dataValidation type="list" allowBlank="1" showInputMessage="1" showErrorMessage="1" promptTitle="Type of innovation" prompt="Please select one option closest describing the type of innovation supported_x000a_">
          <x14:formula1>
            <xm:f>Lists!$I$44:$I$49</xm:f>
          </x14:formula1>
          <xm:sqref>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C000"/>
    <pageSetUpPr fitToPage="1"/>
  </sheetPr>
  <dimension ref="A1:W121"/>
  <sheetViews>
    <sheetView topLeftCell="A96" zoomScaleNormal="100" workbookViewId="0">
      <selection activeCell="Q98" sqref="Q98"/>
    </sheetView>
  </sheetViews>
  <sheetFormatPr defaultColWidth="0" defaultRowHeight="15" zeroHeight="1"/>
  <cols>
    <col min="1" max="1" width="3.140625" style="1" customWidth="1"/>
    <col min="2" max="2" width="3.28515625" style="1" customWidth="1"/>
    <col min="3" max="3" width="9.5703125" style="81" customWidth="1"/>
    <col min="4" max="4" width="42.85546875" style="1" customWidth="1"/>
    <col min="5" max="5" width="3.42578125" style="1" customWidth="1"/>
    <col min="6" max="6" width="54.85546875" style="1" customWidth="1"/>
    <col min="7" max="7" width="8.28515625" style="1" customWidth="1"/>
    <col min="8" max="8" width="6.7109375" style="1" customWidth="1"/>
    <col min="9" max="9" width="8" style="1" customWidth="1"/>
    <col min="10" max="10" width="7.5703125" style="1" customWidth="1"/>
    <col min="11" max="11" width="8.85546875" style="1" customWidth="1"/>
    <col min="12" max="12" width="10" style="1" customWidth="1"/>
    <col min="13" max="13" width="9.7109375" style="1" customWidth="1"/>
    <col min="14" max="15" width="9.140625" style="1" customWidth="1"/>
    <col min="16" max="16" width="9" style="1" customWidth="1"/>
    <col min="17" max="18" width="9.5703125" style="1" customWidth="1"/>
    <col min="19" max="19" width="9.28515625" style="1" customWidth="1"/>
    <col min="20" max="20" width="11.85546875" style="1" customWidth="1"/>
    <col min="21" max="21" width="9.140625" style="1" customWidth="1"/>
    <col min="22" max="22" width="11" style="1" customWidth="1"/>
    <col min="23" max="23" width="2.5703125" style="97" customWidth="1"/>
    <col min="24" max="16384" width="9.140625" style="1" hidden="1"/>
  </cols>
  <sheetData>
    <row r="1" spans="1:22">
      <c r="C1" s="1"/>
    </row>
    <row r="2" spans="1:22" ht="33.75">
      <c r="A2" s="117" t="s">
        <v>196</v>
      </c>
      <c r="B2" s="117"/>
      <c r="C2" s="118"/>
      <c r="D2" s="118"/>
      <c r="E2" s="118"/>
      <c r="F2" s="118"/>
      <c r="G2" s="118"/>
      <c r="H2" s="118"/>
      <c r="I2" s="118"/>
      <c r="J2" s="119"/>
      <c r="K2" s="118"/>
    </row>
    <row r="3" spans="1:22">
      <c r="C3" s="1"/>
    </row>
    <row r="4" spans="1:22" ht="20.25" customHeight="1">
      <c r="A4" s="109"/>
      <c r="B4" s="106"/>
      <c r="C4" s="21" t="s">
        <v>419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2" ht="6.75" customHeight="1" thickBot="1">
      <c r="A5" s="109"/>
      <c r="B5" s="106"/>
      <c r="C5" s="20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24.75" thickBot="1">
      <c r="A6" s="109"/>
      <c r="B6" s="108" t="str">
        <f>IF(NOT(ISBLANK(F6)), CHAR(252), CHAR(251))</f>
        <v>û</v>
      </c>
      <c r="C6" s="90" t="s">
        <v>89</v>
      </c>
      <c r="D6" s="25" t="s">
        <v>237</v>
      </c>
      <c r="E6" s="13"/>
      <c r="F6" s="194"/>
      <c r="G6" s="13" t="s">
        <v>282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18" thickTop="1" thickBot="1">
      <c r="A7" s="109"/>
      <c r="B7" s="99"/>
      <c r="C7" s="204"/>
      <c r="D7" s="209"/>
      <c r="E7" s="13"/>
      <c r="F7" s="4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24.75" thickBot="1">
      <c r="A8" s="109"/>
      <c r="B8" s="108" t="str">
        <f>IF(NOT(ISBLANK(F8)), CHAR(252), CHAR(251))</f>
        <v>û</v>
      </c>
      <c r="C8" s="90" t="s">
        <v>90</v>
      </c>
      <c r="D8" s="25" t="s">
        <v>187</v>
      </c>
      <c r="E8" s="13"/>
      <c r="F8" s="194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8" thickTop="1" thickBot="1">
      <c r="A9" s="109"/>
      <c r="B9" s="99"/>
      <c r="C9" s="204"/>
      <c r="D9" s="209"/>
      <c r="E9" s="13"/>
      <c r="F9" s="4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24.75" thickBot="1">
      <c r="A10" s="109"/>
      <c r="B10" s="108" t="str">
        <f>IF(NOT(ISBLANK(F10)), CHAR(252), CHAR(251))</f>
        <v>û</v>
      </c>
      <c r="C10" s="90" t="s">
        <v>92</v>
      </c>
      <c r="D10" s="25" t="s">
        <v>0</v>
      </c>
      <c r="E10" s="13"/>
      <c r="F10" s="19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8" thickTop="1" thickBot="1">
      <c r="A11" s="109"/>
      <c r="B11" s="99"/>
      <c r="C11" s="79"/>
      <c r="D11" s="26"/>
      <c r="E11" s="13"/>
      <c r="F11" s="2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4.75" thickBot="1">
      <c r="A12" s="109"/>
      <c r="B12" s="108" t="str">
        <f>IF(NOT(ISBLANK(F12)), CHAR(252), CHAR(251))</f>
        <v>û</v>
      </c>
      <c r="C12" s="90" t="s">
        <v>96</v>
      </c>
      <c r="D12" s="25" t="s">
        <v>285</v>
      </c>
      <c r="E12" s="13"/>
      <c r="F12" s="19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5.5" thickTop="1" thickBot="1">
      <c r="A13" s="109"/>
      <c r="B13" s="108" t="str">
        <f t="shared" ref="B13:B14" si="0">IF(NOT(ISBLANK(F13)), CHAR(252), CHAR(251))</f>
        <v>û</v>
      </c>
      <c r="C13" s="79" t="s">
        <v>112</v>
      </c>
      <c r="D13" s="210" t="s">
        <v>286</v>
      </c>
      <c r="E13" s="13"/>
      <c r="F13" s="226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4.75" thickBot="1">
      <c r="A14" s="109"/>
      <c r="B14" s="108" t="str">
        <f t="shared" si="0"/>
        <v>û</v>
      </c>
      <c r="C14" s="205" t="s">
        <v>113</v>
      </c>
      <c r="D14" s="211" t="s">
        <v>289</v>
      </c>
      <c r="E14" s="13"/>
      <c r="F14" s="22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7.25" thickBot="1">
      <c r="A15" s="109"/>
      <c r="B15" s="99"/>
      <c r="C15" s="205"/>
      <c r="D15" s="209"/>
      <c r="E15" s="13"/>
      <c r="F15" s="4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4.75" thickBot="1">
      <c r="A16" s="109"/>
      <c r="B16" s="108" t="str">
        <f>IF(NOT(ISBLANK(F16)), CHAR(252), CHAR(251))</f>
        <v>û</v>
      </c>
      <c r="C16" s="90" t="s">
        <v>421</v>
      </c>
      <c r="D16" s="25" t="s">
        <v>1</v>
      </c>
      <c r="E16" s="13"/>
      <c r="F16" s="196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3" ht="18" thickTop="1" thickBot="1">
      <c r="A17" s="109"/>
      <c r="B17" s="99"/>
      <c r="C17" s="79"/>
      <c r="D17" s="209"/>
      <c r="E17" s="13"/>
      <c r="F17" s="4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3" ht="24.75" thickBot="1">
      <c r="A18" s="109"/>
      <c r="B18" s="108" t="str">
        <f>IF(NOT(ISBLANK(F18)), CHAR(252), CHAR(251))</f>
        <v>û</v>
      </c>
      <c r="C18" s="90" t="s">
        <v>422</v>
      </c>
      <c r="D18" s="25" t="s">
        <v>2</v>
      </c>
      <c r="E18" s="13"/>
      <c r="F18" s="19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3" ht="16.5" thickTop="1" thickBot="1">
      <c r="A19" s="109"/>
      <c r="B19" s="106"/>
      <c r="C19" s="225"/>
      <c r="D19" s="20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3" ht="33.75" thickBot="1">
      <c r="A20" s="109"/>
      <c r="B20" s="108" t="str">
        <f>IF(NOT(ISBLANK(F20)), CHAR(252), CHAR(251))</f>
        <v>û</v>
      </c>
      <c r="C20" s="90" t="s">
        <v>423</v>
      </c>
      <c r="D20" s="172" t="s">
        <v>290</v>
      </c>
      <c r="E20" s="13"/>
      <c r="F20" s="196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3" ht="15.75" thickTop="1">
      <c r="A21" s="109"/>
      <c r="B21" s="106"/>
      <c r="C21" s="39"/>
      <c r="D21" s="20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3">
      <c r="A22" s="109"/>
      <c r="B22" s="10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3" ht="20.25">
      <c r="A23" s="13"/>
      <c r="B23" s="106"/>
      <c r="C23" s="21" t="s">
        <v>420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3" ht="16.5" thickBot="1">
      <c r="A24" s="109"/>
      <c r="B24" s="13"/>
      <c r="C24" s="95" t="s">
        <v>141</v>
      </c>
      <c r="D24" s="95" t="s">
        <v>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3" ht="124.5" customHeight="1" thickBot="1">
      <c r="A25" s="109"/>
      <c r="B25" s="103" t="str">
        <f>IF(NOT(ISBLANK(F25)), CHAR(252), CHAR(251))</f>
        <v>û</v>
      </c>
      <c r="C25" s="40" t="s">
        <v>428</v>
      </c>
      <c r="D25" s="107" t="s">
        <v>356</v>
      </c>
      <c r="E25" s="13"/>
      <c r="F25" s="23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3" ht="16.5" thickTop="1" thickBot="1">
      <c r="A26" s="109"/>
      <c r="B26" s="13"/>
      <c r="C26" s="3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3" ht="53.25" customHeight="1" thickBot="1">
      <c r="A27" s="109"/>
      <c r="B27" s="103" t="str">
        <f>IF(NOT(ISBLANK(F27)), CHAR(252), CHAR(251))</f>
        <v>û</v>
      </c>
      <c r="C27" s="40" t="s">
        <v>429</v>
      </c>
      <c r="D27" s="107" t="s">
        <v>357</v>
      </c>
      <c r="E27" s="13"/>
      <c r="F27" s="23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3" ht="38.25" customHeight="1" thickTop="1" thickBot="1">
      <c r="A28" s="109"/>
      <c r="B28" s="103" t="str">
        <f>IF(NOT(ISBLANK(F28)), CHAR(252), CHAR(251))</f>
        <v>û</v>
      </c>
      <c r="C28" s="75" t="s">
        <v>430</v>
      </c>
      <c r="D28" s="76" t="s">
        <v>283</v>
      </c>
      <c r="E28" s="13"/>
      <c r="F28" s="202"/>
      <c r="G28" s="13"/>
      <c r="H28" s="57" t="s">
        <v>278</v>
      </c>
      <c r="I28" s="78"/>
      <c r="J28" s="78"/>
      <c r="K28" s="78"/>
      <c r="L28" s="78"/>
      <c r="M28" s="78"/>
      <c r="N28" s="62"/>
      <c r="O28" s="62"/>
      <c r="P28" s="62"/>
      <c r="Q28" s="62"/>
      <c r="R28" s="62"/>
      <c r="S28" s="62"/>
      <c r="T28" s="62"/>
      <c r="U28" s="63"/>
      <c r="V28" s="13"/>
    </row>
    <row r="29" spans="1:23" ht="55.5" customHeight="1" thickBot="1">
      <c r="A29" s="109"/>
      <c r="B29" s="13"/>
      <c r="C29" s="39"/>
      <c r="D29" s="74"/>
      <c r="E29" s="13"/>
      <c r="F29" s="61"/>
      <c r="G29" s="13"/>
      <c r="H29" s="64"/>
      <c r="I29" s="246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8"/>
      <c r="U29" s="65"/>
      <c r="V29" s="13"/>
    </row>
    <row r="30" spans="1:23" ht="15.75" thickBot="1">
      <c r="A30" s="109"/>
      <c r="B30" s="13"/>
      <c r="C30" s="39"/>
      <c r="D30" s="13"/>
      <c r="E30" s="13"/>
      <c r="F30" s="13"/>
      <c r="G30" s="13"/>
      <c r="H30" s="66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13"/>
    </row>
    <row r="31" spans="1:23" ht="69" customHeight="1" thickBot="1">
      <c r="A31" s="109"/>
      <c r="B31" s="103" t="str">
        <f>IF(NOT(ISBLANK(F37)), CHAR(252), CHAR(251))</f>
        <v>û</v>
      </c>
      <c r="C31" s="40" t="s">
        <v>431</v>
      </c>
      <c r="D31" s="172" t="s">
        <v>427</v>
      </c>
      <c r="E31" s="13"/>
      <c r="F31" s="234"/>
      <c r="G31" s="13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13"/>
    </row>
    <row r="32" spans="1:23" ht="35.25" customHeight="1" thickTop="1" thickBot="1">
      <c r="A32" s="109"/>
      <c r="B32" s="103" t="str">
        <f>IF(NOT(ISBLANK(F32)), CHAR(252), CHAR(251))</f>
        <v>û</v>
      </c>
      <c r="C32" s="75" t="s">
        <v>432</v>
      </c>
      <c r="D32" s="76" t="s">
        <v>294</v>
      </c>
      <c r="E32" s="13"/>
      <c r="F32" s="227"/>
      <c r="G32" s="13"/>
      <c r="H32" s="57" t="s">
        <v>277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3"/>
      <c r="V32" s="206"/>
      <c r="W32" s="4"/>
    </row>
    <row r="33" spans="1:23" ht="17.25" thickBot="1">
      <c r="A33" s="109"/>
      <c r="B33" s="13"/>
      <c r="C33" s="39"/>
      <c r="D33" s="38"/>
      <c r="E33" s="13"/>
      <c r="F33" s="37"/>
      <c r="G33" s="13"/>
      <c r="H33" s="149"/>
      <c r="I33" s="246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8"/>
      <c r="U33" s="65"/>
      <c r="V33" s="206"/>
      <c r="W33" s="4"/>
    </row>
    <row r="34" spans="1:23" ht="20.25" customHeight="1">
      <c r="A34" s="109"/>
      <c r="B34" s="13"/>
      <c r="C34" s="39"/>
      <c r="D34" s="13"/>
      <c r="E34" s="13"/>
      <c r="F34" s="13"/>
      <c r="G34" s="13"/>
      <c r="H34" s="153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8"/>
      <c r="V34" s="13"/>
    </row>
    <row r="35" spans="1:23" ht="32.25" customHeight="1" thickBot="1">
      <c r="A35" s="109"/>
      <c r="B35" s="109"/>
      <c r="C35" s="150"/>
      <c r="D35" s="61"/>
      <c r="E35" s="13"/>
      <c r="F35" s="13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3" ht="36" customHeight="1" thickBot="1">
      <c r="A36" s="109"/>
      <c r="B36" s="165" t="str">
        <f>IF(NOT(ISBLANK(F36)), CHAR(252), CHAR(251))</f>
        <v>û</v>
      </c>
      <c r="C36" s="40" t="s">
        <v>433</v>
      </c>
      <c r="D36" s="172" t="s">
        <v>295</v>
      </c>
      <c r="E36" s="13"/>
      <c r="F36" s="227"/>
      <c r="G36" s="36"/>
      <c r="H36" s="57" t="s">
        <v>276</v>
      </c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3"/>
    </row>
    <row r="37" spans="1:23" ht="34.5" customHeight="1" thickTop="1" thickBot="1">
      <c r="A37" s="109"/>
      <c r="B37" s="109"/>
      <c r="C37" s="150"/>
      <c r="D37" s="74"/>
      <c r="E37" s="13"/>
      <c r="F37" s="74"/>
      <c r="G37" s="36"/>
      <c r="H37" s="149"/>
      <c r="I37" s="246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8"/>
      <c r="U37" s="65"/>
      <c r="V37" s="13"/>
    </row>
    <row r="38" spans="1:23" ht="15.75" customHeight="1">
      <c r="A38" s="109"/>
      <c r="B38" s="109"/>
      <c r="C38" s="150"/>
      <c r="D38" s="74"/>
      <c r="E38" s="13"/>
      <c r="F38" s="74"/>
      <c r="G38" s="36"/>
      <c r="H38" s="153"/>
      <c r="I38" s="166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8"/>
      <c r="V38" s="206"/>
      <c r="W38" s="4"/>
    </row>
    <row r="39" spans="1:23">
      <c r="A39" s="109"/>
      <c r="B39" s="13"/>
      <c r="C39" s="3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3" ht="3.75" customHeight="1">
      <c r="A40" s="109"/>
      <c r="B40" s="13"/>
      <c r="C40" s="1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3" s="69" customFormat="1" ht="3" customHeight="1">
      <c r="A41" s="109"/>
      <c r="B41" s="43"/>
      <c r="C41" s="116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97"/>
    </row>
    <row r="42" spans="1:23" s="43" customFormat="1" ht="16.5" hidden="1">
      <c r="A42" s="106"/>
      <c r="C42" s="116"/>
      <c r="W42" s="97"/>
    </row>
    <row r="43" spans="1:23" s="43" customFormat="1" ht="5.25" customHeight="1">
      <c r="A43" s="168"/>
      <c r="B43" s="106"/>
      <c r="C43" s="208"/>
      <c r="W43" s="97"/>
    </row>
    <row r="44" spans="1:23" ht="15.75" customHeight="1" thickBot="1">
      <c r="A44" s="168"/>
      <c r="B44" s="13"/>
      <c r="C44" s="95" t="s">
        <v>142</v>
      </c>
      <c r="D44" s="95" t="s">
        <v>147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3" s="69" customFormat="1" ht="60.75" customHeight="1" thickBot="1">
      <c r="A45" s="168"/>
      <c r="B45" s="103" t="str">
        <f>IF(NOT(ISBLANK(F45)), CHAR(252), CHAR(251))</f>
        <v>û</v>
      </c>
      <c r="C45" s="90" t="s">
        <v>434</v>
      </c>
      <c r="D45" s="80" t="s">
        <v>325</v>
      </c>
      <c r="E45" s="43"/>
      <c r="F45" s="267"/>
      <c r="G45" s="268"/>
      <c r="H45" s="268"/>
      <c r="I45" s="268"/>
      <c r="J45" s="268"/>
      <c r="K45" s="268"/>
      <c r="L45" s="269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98"/>
    </row>
    <row r="46" spans="1:23" s="69" customFormat="1" ht="18" thickTop="1" thickBot="1">
      <c r="A46" s="168"/>
      <c r="B46" s="43"/>
      <c r="C46" s="79"/>
      <c r="D46" s="59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98"/>
    </row>
    <row r="47" spans="1:23" s="69" customFormat="1" ht="101.25" customHeight="1" thickBot="1">
      <c r="A47" s="168"/>
      <c r="B47" s="103" t="str">
        <f>IF(NOT(ISBLANK(F47)), CHAR(252), CHAR(251))</f>
        <v>û</v>
      </c>
      <c r="C47" s="90" t="s">
        <v>435</v>
      </c>
      <c r="D47" s="80" t="s">
        <v>326</v>
      </c>
      <c r="E47" s="43"/>
      <c r="F47" s="267"/>
      <c r="G47" s="268"/>
      <c r="H47" s="268"/>
      <c r="I47" s="268"/>
      <c r="J47" s="268"/>
      <c r="K47" s="268"/>
      <c r="L47" s="269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98"/>
    </row>
    <row r="48" spans="1:23" s="69" customFormat="1" ht="18" thickTop="1" thickBot="1">
      <c r="A48" s="168"/>
      <c r="B48" s="43"/>
      <c r="C48" s="79"/>
      <c r="D48" s="48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98"/>
    </row>
    <row r="49" spans="1:23" s="69" customFormat="1" ht="82.5" customHeight="1" thickBot="1">
      <c r="A49" s="168"/>
      <c r="B49" s="103" t="str">
        <f>IF(NOT(ISBLANK(F49)), CHAR(252), CHAR(251))</f>
        <v>û</v>
      </c>
      <c r="C49" s="90" t="s">
        <v>436</v>
      </c>
      <c r="D49" s="80" t="s">
        <v>327</v>
      </c>
      <c r="E49" s="43"/>
      <c r="F49" s="267"/>
      <c r="G49" s="268"/>
      <c r="H49" s="268"/>
      <c r="I49" s="268"/>
      <c r="J49" s="268"/>
      <c r="K49" s="268"/>
      <c r="L49" s="269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98"/>
    </row>
    <row r="50" spans="1:23" s="69" customFormat="1" ht="21.75" customHeight="1" thickTop="1" thickBot="1">
      <c r="A50" s="168"/>
      <c r="B50" s="43"/>
      <c r="C50" s="79"/>
      <c r="D50" s="48"/>
      <c r="E50" s="43"/>
      <c r="F50" s="59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98"/>
    </row>
    <row r="51" spans="1:23" s="69" customFormat="1" ht="100.5" customHeight="1" thickBot="1">
      <c r="A51" s="168"/>
      <c r="B51" s="103" t="str">
        <f>IF(NOT(ISBLANK(F51)), CHAR(252), CHAR(251))</f>
        <v>û</v>
      </c>
      <c r="C51" s="90" t="s">
        <v>437</v>
      </c>
      <c r="D51" s="80" t="s">
        <v>328</v>
      </c>
      <c r="E51" s="43"/>
      <c r="F51" s="267"/>
      <c r="G51" s="268"/>
      <c r="H51" s="268"/>
      <c r="I51" s="268"/>
      <c r="J51" s="268"/>
      <c r="K51" s="268"/>
      <c r="L51" s="269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98"/>
    </row>
    <row r="52" spans="1:23" ht="19.5" customHeight="1" thickTop="1" thickBot="1">
      <c r="A52" s="109"/>
      <c r="B52" s="13"/>
      <c r="C52" s="79"/>
      <c r="D52" s="74"/>
      <c r="E52" s="13"/>
      <c r="F52" s="151"/>
      <c r="G52" s="36"/>
      <c r="H52" s="152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4"/>
    </row>
    <row r="53" spans="1:23" ht="37.5" customHeight="1" thickBot="1">
      <c r="A53" s="109"/>
      <c r="B53" s="103" t="str">
        <f>IF(NOT(ISBLANK(F53)), CHAR(252), CHAR(251))</f>
        <v>û</v>
      </c>
      <c r="C53" s="90" t="s">
        <v>438</v>
      </c>
      <c r="D53" s="105" t="s">
        <v>114</v>
      </c>
      <c r="E53" s="13"/>
      <c r="F53" s="20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3" ht="66.75" customHeight="1" thickTop="1" thickBot="1">
      <c r="A54" s="109"/>
      <c r="B54" s="103" t="str">
        <f>IF(NOT(ISBLANK(F54)), CHAR(252), CHAR(251))</f>
        <v>û</v>
      </c>
      <c r="C54" s="213" t="s">
        <v>439</v>
      </c>
      <c r="D54" s="101" t="s">
        <v>358</v>
      </c>
      <c r="E54" s="13"/>
      <c r="F54" s="23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3" s="69" customFormat="1" ht="18.75" customHeight="1">
      <c r="A55" s="168"/>
      <c r="B55" s="43"/>
      <c r="C55" s="116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98"/>
    </row>
    <row r="56" spans="1:23" ht="16.5" customHeight="1" thickBot="1">
      <c r="A56" s="168"/>
      <c r="B56" s="13"/>
      <c r="C56" s="95" t="s">
        <v>143</v>
      </c>
      <c r="D56" s="95" t="s">
        <v>149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3" s="69" customFormat="1" ht="25.5" customHeight="1" thickBot="1">
      <c r="A57" s="168"/>
      <c r="B57" s="253" t="str">
        <f>IF(NOT(ISBLANK(F57)), CHAR(252), CHAR(251))</f>
        <v>û</v>
      </c>
      <c r="C57" s="272" t="s">
        <v>440</v>
      </c>
      <c r="D57" s="257" t="s">
        <v>279</v>
      </c>
      <c r="E57" s="43"/>
      <c r="F57" s="270"/>
      <c r="G57" s="126"/>
      <c r="H57" s="57" t="s">
        <v>359</v>
      </c>
      <c r="I57" s="144"/>
      <c r="J57" s="144"/>
      <c r="K57" s="144"/>
      <c r="L57" s="144"/>
      <c r="M57" s="45"/>
      <c r="N57" s="45"/>
      <c r="O57" s="45"/>
      <c r="P57" s="45"/>
      <c r="Q57" s="45"/>
      <c r="R57" s="45"/>
      <c r="S57" s="45"/>
      <c r="T57" s="45"/>
      <c r="U57" s="47"/>
      <c r="V57" s="43"/>
      <c r="W57" s="98"/>
    </row>
    <row r="58" spans="1:23" s="69" customFormat="1" ht="45" customHeight="1" thickTop="1" thickBot="1">
      <c r="A58" s="168"/>
      <c r="B58" s="253"/>
      <c r="C58" s="272"/>
      <c r="D58" s="257"/>
      <c r="E58" s="43"/>
      <c r="F58" s="271"/>
      <c r="G58" s="126"/>
      <c r="H58" s="145"/>
      <c r="I58" s="267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9"/>
      <c r="U58" s="51"/>
      <c r="V58" s="43"/>
      <c r="W58" s="98"/>
    </row>
    <row r="59" spans="1:23" s="69" customFormat="1" ht="21" customHeight="1" thickTop="1">
      <c r="A59" s="168"/>
      <c r="B59" s="43"/>
      <c r="C59" s="214"/>
      <c r="D59" s="131"/>
      <c r="E59" s="43"/>
      <c r="F59" s="125"/>
      <c r="G59" s="126"/>
      <c r="H59" s="146"/>
      <c r="I59" s="147"/>
      <c r="J59" s="147"/>
      <c r="K59" s="147"/>
      <c r="L59" s="147"/>
      <c r="M59" s="55"/>
      <c r="N59" s="55"/>
      <c r="O59" s="55"/>
      <c r="P59" s="55"/>
      <c r="Q59" s="55"/>
      <c r="R59" s="55"/>
      <c r="S59" s="55"/>
      <c r="T59" s="55"/>
      <c r="U59" s="56"/>
      <c r="V59" s="43"/>
      <c r="W59" s="98"/>
    </row>
    <row r="60" spans="1:23" s="69" customFormat="1" ht="6.75" customHeight="1">
      <c r="A60" s="168"/>
      <c r="B60" s="43"/>
      <c r="C60" s="79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98"/>
    </row>
    <row r="61" spans="1:23" s="69" customFormat="1" ht="17.25" thickBot="1">
      <c r="A61" s="168"/>
      <c r="B61" s="43"/>
      <c r="C61" s="79"/>
      <c r="D61" s="82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98"/>
    </row>
    <row r="62" spans="1:23" s="69" customFormat="1" ht="112.5" customHeight="1" thickBot="1">
      <c r="A62" s="168"/>
      <c r="B62" s="103" t="str">
        <f>IF(NOT(ISBLANK(F62)), CHAR(252), CHAR(251))</f>
        <v>û</v>
      </c>
      <c r="C62" s="90" t="s">
        <v>441</v>
      </c>
      <c r="D62" s="80" t="s">
        <v>337</v>
      </c>
      <c r="E62" s="43"/>
      <c r="F62" s="267"/>
      <c r="G62" s="268"/>
      <c r="H62" s="268"/>
      <c r="I62" s="268"/>
      <c r="J62" s="268"/>
      <c r="K62" s="268"/>
      <c r="L62" s="269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98"/>
    </row>
    <row r="63" spans="1:23" s="69" customFormat="1" ht="34.5" thickTop="1" thickBot="1">
      <c r="A63" s="168"/>
      <c r="B63" s="103" t="str">
        <f>IF(NOT(ISBLANK(F63)), CHAR(252), CHAR(251))</f>
        <v>û</v>
      </c>
      <c r="C63" s="215" t="s">
        <v>442</v>
      </c>
      <c r="D63" s="76" t="s">
        <v>154</v>
      </c>
      <c r="E63" s="43"/>
      <c r="F63" s="264"/>
      <c r="G63" s="265"/>
      <c r="H63" s="265"/>
      <c r="I63" s="265"/>
      <c r="J63" s="265"/>
      <c r="K63" s="265"/>
      <c r="L63" s="266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98"/>
    </row>
    <row r="64" spans="1:23" s="69" customFormat="1" ht="17.25" thickBot="1">
      <c r="A64" s="168"/>
      <c r="B64" s="218"/>
      <c r="C64" s="204"/>
      <c r="D64" s="74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98"/>
    </row>
    <row r="65" spans="1:23" s="69" customFormat="1" ht="75.75" customHeight="1" thickBot="1">
      <c r="A65" s="168"/>
      <c r="B65" s="103" t="str">
        <f>IF(NOT(ISBLANK(F65)), CHAR(252), CHAR(251))</f>
        <v>û</v>
      </c>
      <c r="C65" s="90" t="s">
        <v>443</v>
      </c>
      <c r="D65" s="80" t="s">
        <v>360</v>
      </c>
      <c r="E65" s="43"/>
      <c r="F65" s="267"/>
      <c r="G65" s="268"/>
      <c r="H65" s="268"/>
      <c r="I65" s="268"/>
      <c r="J65" s="268"/>
      <c r="K65" s="268"/>
      <c r="L65" s="269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98"/>
    </row>
    <row r="66" spans="1:23" s="69" customFormat="1" ht="17.25" thickTop="1">
      <c r="A66" s="168"/>
      <c r="B66" s="43"/>
      <c r="C66" s="216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98"/>
    </row>
    <row r="67" spans="1:23" s="69" customFormat="1" ht="16.5">
      <c r="A67" s="168"/>
      <c r="B67" s="43"/>
      <c r="C67" s="217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98"/>
    </row>
    <row r="68" spans="1:23" ht="16.5" customHeight="1" thickBot="1">
      <c r="A68" s="168"/>
      <c r="B68" s="13"/>
      <c r="C68" s="95" t="s">
        <v>144</v>
      </c>
      <c r="D68" s="95" t="s">
        <v>151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3" s="69" customFormat="1" ht="77.25" customHeight="1" thickBot="1">
      <c r="A69" s="168"/>
      <c r="B69" s="103" t="str">
        <f>IF(NOT(ISBLANK(F69)), CHAR(252), CHAR(251))</f>
        <v>û</v>
      </c>
      <c r="C69" s="90" t="s">
        <v>424</v>
      </c>
      <c r="D69" s="80" t="s">
        <v>472</v>
      </c>
      <c r="E69" s="43"/>
      <c r="F69" s="267"/>
      <c r="G69" s="268"/>
      <c r="H69" s="268"/>
      <c r="I69" s="268"/>
      <c r="J69" s="268"/>
      <c r="K69" s="268"/>
      <c r="L69" s="269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98"/>
    </row>
    <row r="70" spans="1:23" s="69" customFormat="1" ht="25.5" thickTop="1" thickBot="1">
      <c r="A70" s="168"/>
      <c r="B70" s="103" t="str">
        <f t="shared" ref="B70:B72" si="1">IF(NOT(ISBLANK(F70)), CHAR(252), CHAR(251))</f>
        <v>û</v>
      </c>
      <c r="C70" s="215" t="s">
        <v>445</v>
      </c>
      <c r="D70" s="76" t="s">
        <v>153</v>
      </c>
      <c r="E70" s="43"/>
      <c r="F70" s="228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98"/>
    </row>
    <row r="71" spans="1:23" s="69" customFormat="1" ht="32.25" customHeight="1" thickBot="1">
      <c r="A71" s="168"/>
      <c r="B71" s="103" t="str">
        <f t="shared" si="1"/>
        <v>û</v>
      </c>
      <c r="C71" s="215" t="s">
        <v>446</v>
      </c>
      <c r="D71" s="89" t="s">
        <v>152</v>
      </c>
      <c r="E71" s="43"/>
      <c r="F71" s="229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98"/>
    </row>
    <row r="72" spans="1:23" s="69" customFormat="1" ht="50.25" thickBot="1">
      <c r="A72" s="168"/>
      <c r="B72" s="103" t="str">
        <f t="shared" si="1"/>
        <v>û</v>
      </c>
      <c r="C72" s="215" t="s">
        <v>447</v>
      </c>
      <c r="D72" s="76" t="s">
        <v>280</v>
      </c>
      <c r="E72" s="43"/>
      <c r="F72" s="194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98"/>
    </row>
    <row r="73" spans="1:23" s="69" customFormat="1" ht="17.25" thickBot="1">
      <c r="A73" s="168"/>
      <c r="B73" s="43"/>
      <c r="C73" s="79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98"/>
    </row>
    <row r="74" spans="1:23" s="69" customFormat="1" ht="26.25" customHeight="1" thickBot="1">
      <c r="A74" s="168"/>
      <c r="B74" s="253" t="str">
        <f>IF(NOT(ISBLANK(F74)), CHAR(252), CHAR(251))</f>
        <v>û</v>
      </c>
      <c r="C74" s="272" t="s">
        <v>425</v>
      </c>
      <c r="D74" s="257" t="s">
        <v>296</v>
      </c>
      <c r="E74" s="43"/>
      <c r="F74" s="258"/>
      <c r="G74" s="126"/>
      <c r="H74" s="57" t="s">
        <v>361</v>
      </c>
      <c r="I74" s="144"/>
      <c r="J74" s="144"/>
      <c r="K74" s="144"/>
      <c r="L74" s="144"/>
      <c r="M74" s="45"/>
      <c r="N74" s="45"/>
      <c r="O74" s="45"/>
      <c r="P74" s="45"/>
      <c r="Q74" s="45"/>
      <c r="R74" s="45"/>
      <c r="S74" s="45"/>
      <c r="T74" s="45"/>
      <c r="U74" s="47"/>
      <c r="V74" s="43"/>
      <c r="W74" s="98"/>
    </row>
    <row r="75" spans="1:23" s="69" customFormat="1" ht="35.25" customHeight="1" thickTop="1" thickBot="1">
      <c r="A75" s="168"/>
      <c r="B75" s="253"/>
      <c r="C75" s="272"/>
      <c r="D75" s="257"/>
      <c r="E75" s="43"/>
      <c r="F75" s="259"/>
      <c r="G75" s="126"/>
      <c r="H75" s="145"/>
      <c r="I75" s="267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9"/>
      <c r="U75" s="51"/>
      <c r="V75" s="43"/>
      <c r="W75" s="98"/>
    </row>
    <row r="76" spans="1:23" s="69" customFormat="1" ht="12.75" customHeight="1" thickTop="1">
      <c r="A76" s="168"/>
      <c r="B76" s="43"/>
      <c r="C76" s="204"/>
      <c r="D76" s="48"/>
      <c r="E76" s="43"/>
      <c r="F76" s="126"/>
      <c r="G76" s="126"/>
      <c r="H76" s="146"/>
      <c r="I76" s="147"/>
      <c r="J76" s="147"/>
      <c r="K76" s="147"/>
      <c r="L76" s="147"/>
      <c r="M76" s="55"/>
      <c r="N76" s="55"/>
      <c r="O76" s="55"/>
      <c r="P76" s="55"/>
      <c r="Q76" s="55"/>
      <c r="R76" s="55"/>
      <c r="S76" s="55"/>
      <c r="T76" s="55"/>
      <c r="U76" s="56"/>
      <c r="V76" s="43"/>
      <c r="W76" s="98"/>
    </row>
    <row r="77" spans="1:23" s="69" customFormat="1" ht="17.25" thickBot="1">
      <c r="A77" s="168"/>
      <c r="B77" s="43"/>
      <c r="C77" s="79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98"/>
    </row>
    <row r="78" spans="1:23" s="69" customFormat="1" ht="90" customHeight="1" thickBot="1">
      <c r="A78" s="168"/>
      <c r="B78" s="103" t="str">
        <f>IF(NOT(ISBLANK(F78)), CHAR(252), CHAR(251))</f>
        <v>û</v>
      </c>
      <c r="C78" s="90" t="s">
        <v>426</v>
      </c>
      <c r="D78" s="80" t="s">
        <v>448</v>
      </c>
      <c r="E78" s="43"/>
      <c r="F78" s="267"/>
      <c r="G78" s="268"/>
      <c r="H78" s="268"/>
      <c r="I78" s="268"/>
      <c r="J78" s="268"/>
      <c r="K78" s="268"/>
      <c r="L78" s="269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98"/>
    </row>
    <row r="79" spans="1:23" s="69" customFormat="1" ht="17.25" thickTop="1">
      <c r="A79" s="168"/>
      <c r="B79" s="43"/>
      <c r="C79" s="79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98"/>
    </row>
    <row r="80" spans="1:23" s="69" customFormat="1" ht="16.5">
      <c r="A80" s="168"/>
      <c r="B80" s="43"/>
      <c r="C80" s="207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98"/>
    </row>
    <row r="81" spans="1:22" ht="16.5" customHeight="1" thickBot="1">
      <c r="A81" s="168"/>
      <c r="B81" s="13"/>
      <c r="C81" s="95" t="s">
        <v>145</v>
      </c>
      <c r="D81" s="95" t="s">
        <v>156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62.25" customHeight="1">
      <c r="A82" s="168"/>
      <c r="B82" s="168"/>
      <c r="C82" s="273" t="s">
        <v>449</v>
      </c>
      <c r="D82" s="274" t="s">
        <v>297</v>
      </c>
      <c r="E82" s="13"/>
      <c r="F82" s="277"/>
      <c r="G82" s="232" t="s">
        <v>455</v>
      </c>
      <c r="H82" s="219">
        <v>0</v>
      </c>
      <c r="I82" s="219">
        <v>1</v>
      </c>
      <c r="J82" s="219">
        <v>2</v>
      </c>
      <c r="K82" s="219">
        <v>3</v>
      </c>
      <c r="L82" s="219">
        <v>4</v>
      </c>
      <c r="M82" s="219">
        <v>5</v>
      </c>
      <c r="N82" s="219">
        <v>6</v>
      </c>
      <c r="O82" s="219">
        <v>7</v>
      </c>
      <c r="P82" s="219">
        <v>8</v>
      </c>
      <c r="Q82" s="219">
        <v>9</v>
      </c>
      <c r="R82" s="219">
        <v>10</v>
      </c>
      <c r="S82" s="83"/>
      <c r="T82" s="83"/>
      <c r="U82" s="84"/>
      <c r="V82" s="13"/>
    </row>
    <row r="83" spans="1:22" ht="21" customHeight="1" thickBot="1">
      <c r="A83" s="168"/>
      <c r="B83" s="168"/>
      <c r="C83" s="272"/>
      <c r="D83" s="257"/>
      <c r="E83" s="13"/>
      <c r="F83" s="277"/>
      <c r="G83" s="174"/>
      <c r="H83" s="85" t="s">
        <v>243</v>
      </c>
      <c r="I83" s="85"/>
      <c r="J83" s="85"/>
      <c r="K83" s="85"/>
      <c r="L83" s="85"/>
      <c r="M83" s="85"/>
      <c r="N83" s="85"/>
      <c r="O83" s="85"/>
      <c r="P83" s="85"/>
      <c r="Q83" s="85" t="s">
        <v>444</v>
      </c>
      <c r="R83" s="85"/>
      <c r="S83" s="85"/>
      <c r="T83" s="85"/>
      <c r="U83" s="86"/>
      <c r="V83" s="13"/>
    </row>
    <row r="84" spans="1:22" ht="25.5" customHeight="1" thickTop="1" thickBot="1">
      <c r="A84" s="168"/>
      <c r="B84" s="169" t="str">
        <f>IF(NOT(ISBLANK(F84)), CHAR(252), CHAR(251))</f>
        <v>û</v>
      </c>
      <c r="C84" s="220" t="s">
        <v>450</v>
      </c>
      <c r="D84" s="76" t="s">
        <v>298</v>
      </c>
      <c r="E84" s="13"/>
      <c r="F84" s="230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13"/>
    </row>
    <row r="85" spans="1:22" ht="25.5" customHeight="1" thickBot="1">
      <c r="A85" s="168"/>
      <c r="B85" s="169" t="str">
        <f>IF(NOT(ISBLANK(F85)), CHAR(252), CHAR(251))</f>
        <v>û</v>
      </c>
      <c r="C85" s="220" t="s">
        <v>451</v>
      </c>
      <c r="D85" s="170" t="s">
        <v>299</v>
      </c>
      <c r="E85" s="13"/>
      <c r="F85" s="23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13"/>
    </row>
    <row r="86" spans="1:22" ht="25.5" customHeight="1" thickBot="1">
      <c r="A86" s="168"/>
      <c r="B86" s="169" t="str">
        <f>IF(NOT(ISBLANK(F86)), CHAR(252), CHAR(251))</f>
        <v>û</v>
      </c>
      <c r="C86" s="220" t="s">
        <v>452</v>
      </c>
      <c r="D86" s="170" t="s">
        <v>300</v>
      </c>
      <c r="E86" s="13"/>
      <c r="F86" s="23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13"/>
    </row>
    <row r="87" spans="1:22" ht="37.5" customHeight="1" thickBot="1">
      <c r="A87" s="168"/>
      <c r="B87" s="169" t="str">
        <f>IF(NOT(ISBLANK(F87)), CHAR(252), CHAR(251))</f>
        <v>û</v>
      </c>
      <c r="C87" s="220" t="s">
        <v>453</v>
      </c>
      <c r="D87" s="74" t="s">
        <v>344</v>
      </c>
      <c r="E87" s="13"/>
      <c r="F87" s="23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13"/>
    </row>
    <row r="88" spans="1:22" ht="44.25" customHeight="1" thickBot="1">
      <c r="A88" s="168"/>
      <c r="B88" s="169" t="str">
        <f>IF(NOT(ISBLANK(F88)), CHAR(252), CHAR(251))</f>
        <v>û</v>
      </c>
      <c r="C88" s="220" t="s">
        <v>454</v>
      </c>
      <c r="D88" s="76" t="s">
        <v>467</v>
      </c>
      <c r="E88" s="13"/>
      <c r="F88" s="233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13"/>
      <c r="S88" s="61"/>
      <c r="T88" s="61"/>
      <c r="U88" s="61"/>
      <c r="V88" s="13"/>
    </row>
    <row r="89" spans="1:22" ht="17.25" thickBot="1">
      <c r="A89" s="168"/>
      <c r="B89" s="13"/>
      <c r="C89" s="17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87" customHeight="1" thickBot="1">
      <c r="A90" s="168"/>
      <c r="B90" s="103" t="str">
        <f>IF(NOT(ISBLANK(F90)), CHAR(252), CHAR(251))</f>
        <v>û</v>
      </c>
      <c r="C90" s="90" t="s">
        <v>457</v>
      </c>
      <c r="D90" s="80" t="s">
        <v>466</v>
      </c>
      <c r="E90" s="13"/>
      <c r="F90" s="267"/>
      <c r="G90" s="268"/>
      <c r="H90" s="268"/>
      <c r="I90" s="268"/>
      <c r="J90" s="268"/>
      <c r="K90" s="268"/>
      <c r="L90" s="269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8" thickTop="1" thickBot="1">
      <c r="A91" s="168"/>
      <c r="B91" s="13"/>
      <c r="C91" s="39"/>
      <c r="D91" s="8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26" customHeight="1" thickBot="1">
      <c r="A92" s="168"/>
      <c r="B92" s="103" t="str">
        <f>IF(NOT(ISBLANK(F92)), CHAR(252), CHAR(251))</f>
        <v>û</v>
      </c>
      <c r="C92" s="90" t="s">
        <v>456</v>
      </c>
      <c r="D92" s="80" t="s">
        <v>362</v>
      </c>
      <c r="E92" s="13"/>
      <c r="F92" s="267"/>
      <c r="G92" s="268"/>
      <c r="H92" s="268"/>
      <c r="I92" s="268"/>
      <c r="J92" s="268"/>
      <c r="K92" s="268"/>
      <c r="L92" s="269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9.5" customHeight="1" thickTop="1">
      <c r="A93" s="168"/>
      <c r="B93" s="13"/>
      <c r="C93" s="19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5.75" customHeight="1" thickBot="1">
      <c r="A94" s="168"/>
      <c r="B94" s="13"/>
      <c r="C94" s="95" t="s">
        <v>458</v>
      </c>
      <c r="D94" s="95" t="s">
        <v>158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34.5" customHeight="1" thickBot="1">
      <c r="A95" s="168"/>
      <c r="B95" s="253" t="str">
        <f>IF(NOT(ISBLANK(F97)), CHAR(252), CHAR(251))</f>
        <v>û</v>
      </c>
      <c r="C95" s="275" t="s">
        <v>459</v>
      </c>
      <c r="D95" s="274" t="s">
        <v>460</v>
      </c>
      <c r="E95" s="148" t="s">
        <v>221</v>
      </c>
      <c r="F95" s="267"/>
      <c r="G95" s="268"/>
      <c r="H95" s="268"/>
      <c r="I95" s="268"/>
      <c r="J95" s="268"/>
      <c r="K95" s="268"/>
      <c r="L95" s="269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38.25" customHeight="1" thickBot="1">
      <c r="A96" s="168"/>
      <c r="B96" s="253"/>
      <c r="C96" s="275"/>
      <c r="D96" s="274"/>
      <c r="E96" s="148" t="s">
        <v>222</v>
      </c>
      <c r="F96" s="267"/>
      <c r="G96" s="268"/>
      <c r="H96" s="268"/>
      <c r="I96" s="268"/>
      <c r="J96" s="268"/>
      <c r="K96" s="268"/>
      <c r="L96" s="269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3" ht="34.5" customHeight="1" thickBot="1">
      <c r="A97" s="168"/>
      <c r="B97" s="253"/>
      <c r="C97" s="276"/>
      <c r="D97" s="257"/>
      <c r="E97" s="148" t="s">
        <v>223</v>
      </c>
      <c r="F97" s="267"/>
      <c r="G97" s="268"/>
      <c r="H97" s="268"/>
      <c r="I97" s="268"/>
      <c r="J97" s="268"/>
      <c r="K97" s="268"/>
      <c r="L97" s="269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3" ht="75.75" customHeight="1" thickTop="1" thickBot="1">
      <c r="A98" s="168"/>
      <c r="B98" s="103" t="str">
        <f>IF(NOT(ISBLANK(F98)), CHAR(252), CHAR(251))</f>
        <v>û</v>
      </c>
      <c r="C98" s="221" t="s">
        <v>461</v>
      </c>
      <c r="D98" s="101" t="s">
        <v>351</v>
      </c>
      <c r="E98" s="13"/>
      <c r="F98" s="267"/>
      <c r="G98" s="268"/>
      <c r="H98" s="268"/>
      <c r="I98" s="268"/>
      <c r="J98" s="268"/>
      <c r="K98" s="268"/>
      <c r="L98" s="269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3" ht="17.25" thickBot="1">
      <c r="A99" s="168"/>
      <c r="B99" s="13"/>
      <c r="C99" s="39"/>
      <c r="D99" s="10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3" ht="51.75" customHeight="1" thickBot="1">
      <c r="A100" s="168"/>
      <c r="B100" s="103" t="str">
        <f>IF(NOT(ISBLANK(F100)), CHAR(252), CHAR(251))</f>
        <v>û</v>
      </c>
      <c r="C100" s="40" t="s">
        <v>462</v>
      </c>
      <c r="D100" s="105" t="s">
        <v>191</v>
      </c>
      <c r="E100" s="13"/>
      <c r="F100" s="267"/>
      <c r="G100" s="268"/>
      <c r="H100" s="268"/>
      <c r="I100" s="268"/>
      <c r="J100" s="268"/>
      <c r="K100" s="268"/>
      <c r="L100" s="269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3" ht="102" customHeight="1" thickTop="1" thickBot="1">
      <c r="A101" s="168"/>
      <c r="B101" s="103" t="str">
        <f>IF(NOT(ISBLANK(F101)), CHAR(252), CHAR(251))</f>
        <v>û</v>
      </c>
      <c r="C101" s="221" t="s">
        <v>463</v>
      </c>
      <c r="D101" s="101" t="s">
        <v>353</v>
      </c>
      <c r="E101" s="13"/>
      <c r="F101" s="267"/>
      <c r="G101" s="268"/>
      <c r="H101" s="268"/>
      <c r="I101" s="268"/>
      <c r="J101" s="268"/>
      <c r="K101" s="268"/>
      <c r="L101" s="269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3" ht="17.25" thickBot="1">
      <c r="A102" s="168"/>
      <c r="B102" s="13"/>
      <c r="C102" s="39"/>
      <c r="D102" s="10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3" ht="75" customHeight="1" thickBot="1">
      <c r="A103" s="168"/>
      <c r="B103" s="103" t="str">
        <f>IF(NOT(ISBLANK(F103)), CHAR(252), CHAR(251))</f>
        <v>û</v>
      </c>
      <c r="C103" s="40" t="s">
        <v>464</v>
      </c>
      <c r="D103" s="105" t="s">
        <v>354</v>
      </c>
      <c r="E103" s="13"/>
      <c r="F103" s="267"/>
      <c r="G103" s="268"/>
      <c r="H103" s="268"/>
      <c r="I103" s="268"/>
      <c r="J103" s="268"/>
      <c r="K103" s="268"/>
      <c r="L103" s="269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3" ht="18" thickTop="1" thickBot="1">
      <c r="A104" s="168"/>
      <c r="B104" s="13"/>
      <c r="C104" s="39"/>
      <c r="D104" s="10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3" ht="87.75" customHeight="1" thickBot="1">
      <c r="A105" s="168"/>
      <c r="B105" s="103" t="str">
        <f>IF(NOT(ISBLANK(F105)), CHAR(252), CHAR(251))</f>
        <v>û</v>
      </c>
      <c r="C105" s="40" t="s">
        <v>465</v>
      </c>
      <c r="D105" s="105" t="s">
        <v>355</v>
      </c>
      <c r="E105" s="13"/>
      <c r="F105" s="267"/>
      <c r="G105" s="268"/>
      <c r="H105" s="268"/>
      <c r="I105" s="268"/>
      <c r="J105" s="268"/>
      <c r="K105" s="268"/>
      <c r="L105" s="269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3" ht="17.25" thickTop="1">
      <c r="A106" s="168"/>
      <c r="B106" s="13"/>
      <c r="C106" s="222"/>
      <c r="D106" s="10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3" ht="16.5">
      <c r="A107" s="168"/>
      <c r="B107" s="13"/>
      <c r="C107" s="92"/>
      <c r="D107" s="10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3" ht="16.5">
      <c r="C108" s="93"/>
      <c r="D108" s="94"/>
    </row>
    <row r="109" spans="1:23" s="14" customFormat="1" ht="21" thickBot="1">
      <c r="C109" s="110" t="s">
        <v>171</v>
      </c>
      <c r="D109" s="111"/>
      <c r="W109" s="97"/>
    </row>
    <row r="110" spans="1:23" ht="33.75" thickBot="1">
      <c r="A110" s="13"/>
      <c r="B110" s="103" t="str">
        <f t="shared" ref="B110:B112" si="2">IF(NOT(ISBLANK(F110)), CHAR(252), CHAR(251))</f>
        <v>û</v>
      </c>
      <c r="C110" s="223">
        <v>1</v>
      </c>
      <c r="D110" s="224" t="s">
        <v>161</v>
      </c>
      <c r="E110" s="13"/>
      <c r="F110" s="20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3" ht="24.75" thickBot="1">
      <c r="A111" s="13"/>
      <c r="B111" s="103" t="str">
        <f t="shared" si="2"/>
        <v>û</v>
      </c>
      <c r="C111" s="223">
        <v>2</v>
      </c>
      <c r="D111" s="224" t="s">
        <v>162</v>
      </c>
      <c r="E111" s="13"/>
      <c r="F111" s="20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3" ht="33.75" thickBot="1">
      <c r="A112" s="13"/>
      <c r="B112" s="103" t="str">
        <f t="shared" si="2"/>
        <v>û</v>
      </c>
      <c r="C112" s="223">
        <v>3</v>
      </c>
      <c r="D112" s="224" t="s">
        <v>192</v>
      </c>
      <c r="E112" s="13"/>
      <c r="F112" s="20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3" s="13" customFormat="1" ht="16.5">
      <c r="B113" s="99"/>
      <c r="C113" s="92"/>
      <c r="D113" s="104"/>
      <c r="F113" s="61"/>
      <c r="W113" s="97"/>
    </row>
    <row r="114" spans="1:23" ht="17.25" thickBot="1">
      <c r="C114" s="93"/>
      <c r="D114" s="94"/>
    </row>
    <row r="115" spans="1:23" s="87" customFormat="1" ht="15" customHeight="1">
      <c r="A115" s="1"/>
      <c r="B115" s="1"/>
      <c r="C115" s="235" t="s">
        <v>160</v>
      </c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7"/>
      <c r="V115" s="189"/>
      <c r="W115" s="4"/>
    </row>
    <row r="116" spans="1:23" s="4" customFormat="1" ht="15" customHeight="1">
      <c r="A116" s="1"/>
      <c r="B116" s="1"/>
      <c r="C116" s="238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40"/>
      <c r="V116" s="189"/>
    </row>
    <row r="117" spans="1:23" s="4" customFormat="1" ht="15" customHeight="1">
      <c r="A117" s="1"/>
      <c r="B117" s="1"/>
      <c r="C117" s="238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40"/>
      <c r="V117" s="189"/>
    </row>
    <row r="118" spans="1:23" s="4" customFormat="1" ht="15" customHeight="1">
      <c r="A118" s="1"/>
      <c r="B118" s="1"/>
      <c r="C118" s="238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40"/>
      <c r="V118" s="189"/>
    </row>
    <row r="119" spans="1:23" s="88" customFormat="1" ht="15.75" customHeight="1" thickBot="1">
      <c r="A119" s="1"/>
      <c r="B119" s="1"/>
      <c r="C119" s="241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3"/>
      <c r="V119" s="189"/>
      <c r="W119" s="4"/>
    </row>
    <row r="120" spans="1:23">
      <c r="V120" s="189"/>
      <c r="W120" s="4"/>
    </row>
    <row r="121" spans="1:23"/>
  </sheetData>
  <sheetProtection algorithmName="SHA-512" hashValue="lkme3yYFkOwxQyATUgduvZlWCd6XdEV0RtstTn4nFgK47UeSo/dOjgvKUTxqRH/iMTSTdZwGcoI/xJbbDRQkWw==" saltValue="UviX0cbKmT3hEE34AfFRZg==" spinCount="100000" sheet="1" objects="1" scenarios="1"/>
  <dataConsolidate/>
  <mergeCells count="39">
    <mergeCell ref="F92:L92"/>
    <mergeCell ref="I29:T29"/>
    <mergeCell ref="F47:L47"/>
    <mergeCell ref="F63:L63"/>
    <mergeCell ref="F65:L65"/>
    <mergeCell ref="F90:L90"/>
    <mergeCell ref="F82:F83"/>
    <mergeCell ref="I33:T33"/>
    <mergeCell ref="I58:T58"/>
    <mergeCell ref="I75:T75"/>
    <mergeCell ref="I37:T37"/>
    <mergeCell ref="F78:L78"/>
    <mergeCell ref="B95:B97"/>
    <mergeCell ref="C74:C75"/>
    <mergeCell ref="D74:D75"/>
    <mergeCell ref="B74:B75"/>
    <mergeCell ref="C82:C83"/>
    <mergeCell ref="D82:D83"/>
    <mergeCell ref="D95:D97"/>
    <mergeCell ref="C95:C97"/>
    <mergeCell ref="D57:D58"/>
    <mergeCell ref="F57:F58"/>
    <mergeCell ref="B57:B58"/>
    <mergeCell ref="F74:F75"/>
    <mergeCell ref="F45:L45"/>
    <mergeCell ref="F49:L49"/>
    <mergeCell ref="F51:L51"/>
    <mergeCell ref="F62:L62"/>
    <mergeCell ref="F69:L69"/>
    <mergeCell ref="C57:C58"/>
    <mergeCell ref="F101:L101"/>
    <mergeCell ref="F103:L103"/>
    <mergeCell ref="F105:L105"/>
    <mergeCell ref="C115:U119"/>
    <mergeCell ref="F95:L95"/>
    <mergeCell ref="F96:L96"/>
    <mergeCell ref="F97:L97"/>
    <mergeCell ref="F98:L98"/>
    <mergeCell ref="F100:L100"/>
  </mergeCells>
  <conditionalFormatting sqref="B103 B95 B31 B6:B18 B47">
    <cfRule type="cellIs" dxfId="74" priority="21" operator="equal">
      <formula>CHAR(252)</formula>
    </cfRule>
  </conditionalFormatting>
  <conditionalFormatting sqref="B103 B95 B31 B6:B18 B47">
    <cfRule type="cellIs" dxfId="73" priority="20" operator="equal">
      <formula>CHAR(251)</formula>
    </cfRule>
  </conditionalFormatting>
  <conditionalFormatting sqref="B110:B113">
    <cfRule type="cellIs" dxfId="72" priority="16" operator="equal">
      <formula>CHAR(251)</formula>
    </cfRule>
  </conditionalFormatting>
  <conditionalFormatting sqref="B25">
    <cfRule type="cellIs" dxfId="71" priority="103" operator="equal">
      <formula>CHAR(252)</formula>
    </cfRule>
  </conditionalFormatting>
  <conditionalFormatting sqref="B25">
    <cfRule type="cellIs" dxfId="70" priority="102" operator="equal">
      <formula>CHAR(251)</formula>
    </cfRule>
  </conditionalFormatting>
  <conditionalFormatting sqref="B32">
    <cfRule type="cellIs" dxfId="69" priority="99" operator="equal">
      <formula>CHAR(252)</formula>
    </cfRule>
  </conditionalFormatting>
  <conditionalFormatting sqref="B32">
    <cfRule type="cellIs" dxfId="68" priority="98" operator="equal">
      <formula>CHAR(251)</formula>
    </cfRule>
  </conditionalFormatting>
  <conditionalFormatting sqref="B27">
    <cfRule type="cellIs" dxfId="67" priority="93" operator="equal">
      <formula>CHAR(252)</formula>
    </cfRule>
  </conditionalFormatting>
  <conditionalFormatting sqref="B27">
    <cfRule type="cellIs" dxfId="66" priority="92" operator="equal">
      <formula>CHAR(251)</formula>
    </cfRule>
  </conditionalFormatting>
  <conditionalFormatting sqref="B28">
    <cfRule type="cellIs" dxfId="65" priority="87" operator="equal">
      <formula>CHAR(252)</formula>
    </cfRule>
  </conditionalFormatting>
  <conditionalFormatting sqref="B28">
    <cfRule type="cellIs" dxfId="64" priority="86" operator="equal">
      <formula>CHAR(251)</formula>
    </cfRule>
  </conditionalFormatting>
  <conditionalFormatting sqref="B53">
    <cfRule type="cellIs" dxfId="63" priority="85" operator="equal">
      <formula>CHAR(252)</formula>
    </cfRule>
  </conditionalFormatting>
  <conditionalFormatting sqref="B53">
    <cfRule type="cellIs" dxfId="62" priority="84" operator="equal">
      <formula>CHAR(251)</formula>
    </cfRule>
  </conditionalFormatting>
  <conditionalFormatting sqref="B54">
    <cfRule type="cellIs" dxfId="61" priority="83" operator="equal">
      <formula>CHAR(252)</formula>
    </cfRule>
  </conditionalFormatting>
  <conditionalFormatting sqref="B54">
    <cfRule type="cellIs" dxfId="60" priority="82" operator="equal">
      <formula>CHAR(251)</formula>
    </cfRule>
  </conditionalFormatting>
  <conditionalFormatting sqref="B51">
    <cfRule type="cellIs" dxfId="59" priority="65" operator="equal">
      <formula>CHAR(252)</formula>
    </cfRule>
  </conditionalFormatting>
  <conditionalFormatting sqref="B51">
    <cfRule type="cellIs" dxfId="58" priority="64" operator="equal">
      <formula>CHAR(251)</formula>
    </cfRule>
  </conditionalFormatting>
  <conditionalFormatting sqref="B45">
    <cfRule type="cellIs" dxfId="57" priority="63" operator="equal">
      <formula>CHAR(252)</formula>
    </cfRule>
  </conditionalFormatting>
  <conditionalFormatting sqref="B45">
    <cfRule type="cellIs" dxfId="56" priority="62" operator="equal">
      <formula>CHAR(251)</formula>
    </cfRule>
  </conditionalFormatting>
  <conditionalFormatting sqref="B65">
    <cfRule type="cellIs" dxfId="55" priority="61" operator="equal">
      <formula>CHAR(252)</formula>
    </cfRule>
  </conditionalFormatting>
  <conditionalFormatting sqref="B65">
    <cfRule type="cellIs" dxfId="54" priority="60" operator="equal">
      <formula>CHAR(251)</formula>
    </cfRule>
  </conditionalFormatting>
  <conditionalFormatting sqref="B57">
    <cfRule type="cellIs" dxfId="53" priority="59" operator="equal">
      <formula>CHAR(252)</formula>
    </cfRule>
  </conditionalFormatting>
  <conditionalFormatting sqref="B57">
    <cfRule type="cellIs" dxfId="52" priority="58" operator="equal">
      <formula>CHAR(251)</formula>
    </cfRule>
  </conditionalFormatting>
  <conditionalFormatting sqref="B49">
    <cfRule type="cellIs" dxfId="51" priority="57" operator="equal">
      <formula>CHAR(252)</formula>
    </cfRule>
  </conditionalFormatting>
  <conditionalFormatting sqref="B49">
    <cfRule type="cellIs" dxfId="50" priority="56" operator="equal">
      <formula>CHAR(251)</formula>
    </cfRule>
  </conditionalFormatting>
  <conditionalFormatting sqref="B62">
    <cfRule type="cellIs" dxfId="49" priority="55" operator="equal">
      <formula>CHAR(252)</formula>
    </cfRule>
  </conditionalFormatting>
  <conditionalFormatting sqref="B62">
    <cfRule type="cellIs" dxfId="48" priority="54" operator="equal">
      <formula>CHAR(251)</formula>
    </cfRule>
  </conditionalFormatting>
  <conditionalFormatting sqref="B63:B64">
    <cfRule type="cellIs" dxfId="47" priority="53" operator="equal">
      <formula>CHAR(252)</formula>
    </cfRule>
  </conditionalFormatting>
  <conditionalFormatting sqref="B63:B64">
    <cfRule type="cellIs" dxfId="46" priority="52" operator="equal">
      <formula>CHAR(251)</formula>
    </cfRule>
  </conditionalFormatting>
  <conditionalFormatting sqref="B69">
    <cfRule type="cellIs" dxfId="45" priority="51" operator="equal">
      <formula>CHAR(252)</formula>
    </cfRule>
  </conditionalFormatting>
  <conditionalFormatting sqref="B69">
    <cfRule type="cellIs" dxfId="44" priority="50" operator="equal">
      <formula>CHAR(251)</formula>
    </cfRule>
  </conditionalFormatting>
  <conditionalFormatting sqref="B70:B72">
    <cfRule type="cellIs" dxfId="43" priority="49" operator="equal">
      <formula>CHAR(252)</formula>
    </cfRule>
  </conditionalFormatting>
  <conditionalFormatting sqref="B70:B72">
    <cfRule type="cellIs" dxfId="42" priority="48" operator="equal">
      <formula>CHAR(251)</formula>
    </cfRule>
  </conditionalFormatting>
  <conditionalFormatting sqref="B74">
    <cfRule type="cellIs" dxfId="41" priority="47" operator="equal">
      <formula>CHAR(252)</formula>
    </cfRule>
  </conditionalFormatting>
  <conditionalFormatting sqref="B74">
    <cfRule type="cellIs" dxfId="40" priority="46" operator="equal">
      <formula>CHAR(251)</formula>
    </cfRule>
  </conditionalFormatting>
  <conditionalFormatting sqref="B78">
    <cfRule type="cellIs" dxfId="39" priority="45" operator="equal">
      <formula>CHAR(252)</formula>
    </cfRule>
  </conditionalFormatting>
  <conditionalFormatting sqref="B78">
    <cfRule type="cellIs" dxfId="38" priority="44" operator="equal">
      <formula>CHAR(251)</formula>
    </cfRule>
  </conditionalFormatting>
  <conditionalFormatting sqref="B90">
    <cfRule type="cellIs" dxfId="37" priority="37" operator="equal">
      <formula>CHAR(252)</formula>
    </cfRule>
  </conditionalFormatting>
  <conditionalFormatting sqref="B90">
    <cfRule type="cellIs" dxfId="36" priority="36" operator="equal">
      <formula>CHAR(251)</formula>
    </cfRule>
  </conditionalFormatting>
  <conditionalFormatting sqref="B92">
    <cfRule type="cellIs" dxfId="35" priority="35" operator="equal">
      <formula>CHAR(252)</formula>
    </cfRule>
  </conditionalFormatting>
  <conditionalFormatting sqref="B92">
    <cfRule type="cellIs" dxfId="34" priority="34" operator="equal">
      <formula>CHAR(251)</formula>
    </cfRule>
  </conditionalFormatting>
  <conditionalFormatting sqref="B100">
    <cfRule type="cellIs" dxfId="33" priority="29" operator="equal">
      <formula>CHAR(252)</formula>
    </cfRule>
  </conditionalFormatting>
  <conditionalFormatting sqref="B100">
    <cfRule type="cellIs" dxfId="32" priority="28" operator="equal">
      <formula>CHAR(251)</formula>
    </cfRule>
  </conditionalFormatting>
  <conditionalFormatting sqref="B98">
    <cfRule type="cellIs" dxfId="31" priority="27" operator="equal">
      <formula>CHAR(252)</formula>
    </cfRule>
  </conditionalFormatting>
  <conditionalFormatting sqref="B98">
    <cfRule type="cellIs" dxfId="30" priority="26" operator="equal">
      <formula>CHAR(251)</formula>
    </cfRule>
  </conditionalFormatting>
  <conditionalFormatting sqref="B101">
    <cfRule type="cellIs" dxfId="29" priority="25" operator="equal">
      <formula>CHAR(252)</formula>
    </cfRule>
  </conditionalFormatting>
  <conditionalFormatting sqref="B101">
    <cfRule type="cellIs" dxfId="28" priority="24" operator="equal">
      <formula>CHAR(251)</formula>
    </cfRule>
  </conditionalFormatting>
  <conditionalFormatting sqref="B105">
    <cfRule type="cellIs" dxfId="27" priority="19" operator="equal">
      <formula>CHAR(252)</formula>
    </cfRule>
  </conditionalFormatting>
  <conditionalFormatting sqref="B105">
    <cfRule type="cellIs" dxfId="26" priority="18" operator="equal">
      <formula>CHAR(251)</formula>
    </cfRule>
  </conditionalFormatting>
  <conditionalFormatting sqref="B110:B113">
    <cfRule type="cellIs" dxfId="25" priority="17" operator="equal">
      <formula>CHAR(252)</formula>
    </cfRule>
  </conditionalFormatting>
  <conditionalFormatting sqref="B20">
    <cfRule type="cellIs" dxfId="24" priority="15" operator="equal">
      <formula>CHAR(252)</formula>
    </cfRule>
  </conditionalFormatting>
  <conditionalFormatting sqref="B20:B21">
    <cfRule type="cellIs" dxfId="23" priority="14" operator="equal">
      <formula>CHAR(251)</formula>
    </cfRule>
  </conditionalFormatting>
  <conditionalFormatting sqref="B19">
    <cfRule type="cellIs" dxfId="22" priority="13" operator="equal">
      <formula>CHAR(251)</formula>
    </cfRule>
  </conditionalFormatting>
  <conditionalFormatting sqref="B36">
    <cfRule type="cellIs" dxfId="21" priority="10" operator="equal">
      <formula>CHAR(252)</formula>
    </cfRule>
  </conditionalFormatting>
  <conditionalFormatting sqref="B36">
    <cfRule type="cellIs" dxfId="20" priority="9" operator="equal">
      <formula>CHAR(251)</formula>
    </cfRule>
  </conditionalFormatting>
  <conditionalFormatting sqref="B84 B86">
    <cfRule type="cellIs" dxfId="19" priority="8" operator="equal">
      <formula>CHAR(252)</formula>
    </cfRule>
  </conditionalFormatting>
  <conditionalFormatting sqref="B84 B86">
    <cfRule type="cellIs" dxfId="18" priority="7" operator="equal">
      <formula>CHAR(251)</formula>
    </cfRule>
  </conditionalFormatting>
  <conditionalFormatting sqref="B85">
    <cfRule type="cellIs" dxfId="17" priority="6" operator="equal">
      <formula>CHAR(252)</formula>
    </cfRule>
  </conditionalFormatting>
  <conditionalFormatting sqref="B85">
    <cfRule type="cellIs" dxfId="16" priority="5" operator="equal">
      <formula>CHAR(251)</formula>
    </cfRule>
  </conditionalFormatting>
  <conditionalFormatting sqref="B87">
    <cfRule type="cellIs" dxfId="15" priority="4" operator="equal">
      <formula>CHAR(252)</formula>
    </cfRule>
  </conditionalFormatting>
  <conditionalFormatting sqref="B87">
    <cfRule type="cellIs" dxfId="14" priority="3" operator="equal">
      <formula>CHAR(251)</formula>
    </cfRule>
  </conditionalFormatting>
  <conditionalFormatting sqref="B88">
    <cfRule type="cellIs" dxfId="13" priority="2" operator="equal">
      <formula>CHAR(252)</formula>
    </cfRule>
  </conditionalFormatting>
  <conditionalFormatting sqref="B88">
    <cfRule type="cellIs" dxfId="12" priority="1" operator="equal">
      <formula>CHAR(251)</formula>
    </cfRule>
  </conditionalFormatting>
  <dataValidations count="11">
    <dataValidation type="textLength" errorStyle="warning" operator="lessThanOrEqual" allowBlank="1" showErrorMessage="1" errorTitle="Too many words" error="Please try to rephrase" prompt="Please select the most suitable option" sqref="F72">
      <formula1>250</formula1>
    </dataValidation>
    <dataValidation allowBlank="1" showErrorMessage="1" promptTitle="Scale of success" prompt="Please select one option between 0 and 10" sqref="F82:F83"/>
    <dataValidation allowBlank="1" showErrorMessage="1" promptTitle="Degree of effectiveness" prompt="Please select the most appropriate answering option_x000a_" sqref="F64:L64"/>
    <dataValidation type="textLength" errorStyle="warning" operator="lessThanOrEqual" allowBlank="1" showInputMessage="1" showErrorMessage="1" errorTitle="Max. no. of words" error="The text you are trying to include here is too long. Please try to reduce the length." sqref="F25">
      <formula1>1500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F27">
      <formula1>1500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F101:L101 I37:T37 F45:L45 F49:L49 F51:L51 I58:T58 F65:L65 F69:L69 F78:L78 F90:L90 F92:L92 F98:L98 I29">
      <formula1>1000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F31 F54 I75:T75 F105:L105">
      <formula1>500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I33:T33">
      <formula1>250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F47:L47 F62:L62">
      <formula1>2000</formula1>
    </dataValidation>
    <dataValidation type="textLength" errorStyle="warning" operator="lessThanOrEqual" allowBlank="1" showErrorMessage="1" errorTitle="Too many words" error="Please try to rephrase_x000a_" promptTitle="Scale of success" prompt="Please select one option between 0 and 10" sqref="F88">
      <formula1>250</formula1>
    </dataValidation>
    <dataValidation type="textLength" errorStyle="warning" operator="lessThanOrEqual" allowBlank="1" showInputMessage="1" showErrorMessage="1" errorTitle="Max. no. of words" error="The text you are trying to include here is too long. Please try to reduce the length." sqref="F103:L103">
      <formula1>500</formula1>
    </dataValidation>
  </dataValidations>
  <pageMargins left="0.7" right="0.7" top="0.75" bottom="0.75" header="0.3" footer="0.3"/>
  <pageSetup paperSize="9" scale="3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8</xdr:col>
                    <xdr:colOff>219075</xdr:colOff>
                    <xdr:row>23</xdr:row>
                    <xdr:rowOff>0</xdr:rowOff>
                  </from>
                  <to>
                    <xdr:col>8</xdr:col>
                    <xdr:colOff>219075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8</xdr:col>
                    <xdr:colOff>219075</xdr:colOff>
                    <xdr:row>23</xdr:row>
                    <xdr:rowOff>0</xdr:rowOff>
                  </from>
                  <to>
                    <xdr:col>8</xdr:col>
                    <xdr:colOff>219075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8</xdr:col>
                    <xdr:colOff>219075</xdr:colOff>
                    <xdr:row>23</xdr:row>
                    <xdr:rowOff>0</xdr:rowOff>
                  </from>
                  <to>
                    <xdr:col>8</xdr:col>
                    <xdr:colOff>219075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9</xdr:col>
                    <xdr:colOff>123825</xdr:colOff>
                    <xdr:row>23</xdr:row>
                    <xdr:rowOff>0</xdr:rowOff>
                  </from>
                  <to>
                    <xdr:col>9</xdr:col>
                    <xdr:colOff>123825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9</xdr:col>
                    <xdr:colOff>123825</xdr:colOff>
                    <xdr:row>23</xdr:row>
                    <xdr:rowOff>0</xdr:rowOff>
                  </from>
                  <to>
                    <xdr:col>9</xdr:col>
                    <xdr:colOff>123825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9</xdr:col>
                    <xdr:colOff>123825</xdr:colOff>
                    <xdr:row>23</xdr:row>
                    <xdr:rowOff>0</xdr:rowOff>
                  </from>
                  <to>
                    <xdr:col>9</xdr:col>
                    <xdr:colOff>123825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10</xdr:col>
                    <xdr:colOff>171450</xdr:colOff>
                    <xdr:row>23</xdr:row>
                    <xdr:rowOff>0</xdr:rowOff>
                  </from>
                  <to>
                    <xdr:col>10</xdr:col>
                    <xdr:colOff>171450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10</xdr:col>
                    <xdr:colOff>171450</xdr:colOff>
                    <xdr:row>23</xdr:row>
                    <xdr:rowOff>0</xdr:rowOff>
                  </from>
                  <to>
                    <xdr:col>10</xdr:col>
                    <xdr:colOff>171450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10</xdr:col>
                    <xdr:colOff>171450</xdr:colOff>
                    <xdr:row>23</xdr:row>
                    <xdr:rowOff>0</xdr:rowOff>
                  </from>
                  <to>
                    <xdr:col>10</xdr:col>
                    <xdr:colOff>171450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11</xdr:col>
                    <xdr:colOff>209550</xdr:colOff>
                    <xdr:row>23</xdr:row>
                    <xdr:rowOff>0</xdr:rowOff>
                  </from>
                  <to>
                    <xdr:col>11</xdr:col>
                    <xdr:colOff>209550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11</xdr:col>
                    <xdr:colOff>209550</xdr:colOff>
                    <xdr:row>23</xdr:row>
                    <xdr:rowOff>0</xdr:rowOff>
                  </from>
                  <to>
                    <xdr:col>11</xdr:col>
                    <xdr:colOff>209550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11</xdr:col>
                    <xdr:colOff>209550</xdr:colOff>
                    <xdr:row>23</xdr:row>
                    <xdr:rowOff>0</xdr:rowOff>
                  </from>
                  <to>
                    <xdr:col>11</xdr:col>
                    <xdr:colOff>209550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12</xdr:col>
                    <xdr:colOff>180975</xdr:colOff>
                    <xdr:row>23</xdr:row>
                    <xdr:rowOff>0</xdr:rowOff>
                  </from>
                  <to>
                    <xdr:col>12</xdr:col>
                    <xdr:colOff>180975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12</xdr:col>
                    <xdr:colOff>180975</xdr:colOff>
                    <xdr:row>23</xdr:row>
                    <xdr:rowOff>0</xdr:rowOff>
                  </from>
                  <to>
                    <xdr:col>12</xdr:col>
                    <xdr:colOff>180975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12</xdr:col>
                    <xdr:colOff>180975</xdr:colOff>
                    <xdr:row>23</xdr:row>
                    <xdr:rowOff>0</xdr:rowOff>
                  </from>
                  <to>
                    <xdr:col>12</xdr:col>
                    <xdr:colOff>180975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13</xdr:col>
                    <xdr:colOff>200025</xdr:colOff>
                    <xdr:row>23</xdr:row>
                    <xdr:rowOff>0</xdr:rowOff>
                  </from>
                  <to>
                    <xdr:col>13</xdr:col>
                    <xdr:colOff>200025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13</xdr:col>
                    <xdr:colOff>200025</xdr:colOff>
                    <xdr:row>23</xdr:row>
                    <xdr:rowOff>0</xdr:rowOff>
                  </from>
                  <to>
                    <xdr:col>13</xdr:col>
                    <xdr:colOff>200025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13</xdr:col>
                    <xdr:colOff>200025</xdr:colOff>
                    <xdr:row>23</xdr:row>
                    <xdr:rowOff>0</xdr:rowOff>
                  </from>
                  <to>
                    <xdr:col>13</xdr:col>
                    <xdr:colOff>200025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14</xdr:col>
                    <xdr:colOff>190500</xdr:colOff>
                    <xdr:row>23</xdr:row>
                    <xdr:rowOff>0</xdr:rowOff>
                  </from>
                  <to>
                    <xdr:col>14</xdr:col>
                    <xdr:colOff>190500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14</xdr:col>
                    <xdr:colOff>190500</xdr:colOff>
                    <xdr:row>23</xdr:row>
                    <xdr:rowOff>0</xdr:rowOff>
                  </from>
                  <to>
                    <xdr:col>14</xdr:col>
                    <xdr:colOff>190500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14</xdr:col>
                    <xdr:colOff>190500</xdr:colOff>
                    <xdr:row>23</xdr:row>
                    <xdr:rowOff>0</xdr:rowOff>
                  </from>
                  <to>
                    <xdr:col>14</xdr:col>
                    <xdr:colOff>190500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15</xdr:col>
                    <xdr:colOff>219075</xdr:colOff>
                    <xdr:row>23</xdr:row>
                    <xdr:rowOff>0</xdr:rowOff>
                  </from>
                  <to>
                    <xdr:col>15</xdr:col>
                    <xdr:colOff>219075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15</xdr:col>
                    <xdr:colOff>219075</xdr:colOff>
                    <xdr:row>23</xdr:row>
                    <xdr:rowOff>0</xdr:rowOff>
                  </from>
                  <to>
                    <xdr:col>15</xdr:col>
                    <xdr:colOff>219075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15</xdr:col>
                    <xdr:colOff>219075</xdr:colOff>
                    <xdr:row>23</xdr:row>
                    <xdr:rowOff>0</xdr:rowOff>
                  </from>
                  <to>
                    <xdr:col>15</xdr:col>
                    <xdr:colOff>219075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16</xdr:col>
                    <xdr:colOff>209550</xdr:colOff>
                    <xdr:row>23</xdr:row>
                    <xdr:rowOff>0</xdr:rowOff>
                  </from>
                  <to>
                    <xdr:col>16</xdr:col>
                    <xdr:colOff>209550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16</xdr:col>
                    <xdr:colOff>209550</xdr:colOff>
                    <xdr:row>23</xdr:row>
                    <xdr:rowOff>0</xdr:rowOff>
                  </from>
                  <to>
                    <xdr:col>16</xdr:col>
                    <xdr:colOff>209550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16</xdr:col>
                    <xdr:colOff>209550</xdr:colOff>
                    <xdr:row>23</xdr:row>
                    <xdr:rowOff>0</xdr:rowOff>
                  </from>
                  <to>
                    <xdr:col>16</xdr:col>
                    <xdr:colOff>209550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17</xdr:col>
                    <xdr:colOff>47625</xdr:colOff>
                    <xdr:row>23</xdr:row>
                    <xdr:rowOff>0</xdr:rowOff>
                  </from>
                  <to>
                    <xdr:col>17</xdr:col>
                    <xdr:colOff>47625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17</xdr:col>
                    <xdr:colOff>47625</xdr:colOff>
                    <xdr:row>23</xdr:row>
                    <xdr:rowOff>0</xdr:rowOff>
                  </from>
                  <to>
                    <xdr:col>17</xdr:col>
                    <xdr:colOff>47625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17</xdr:col>
                    <xdr:colOff>47625</xdr:colOff>
                    <xdr:row>23</xdr:row>
                    <xdr:rowOff>0</xdr:rowOff>
                  </from>
                  <to>
                    <xdr:col>17</xdr:col>
                    <xdr:colOff>47625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18</xdr:col>
                    <xdr:colOff>28575</xdr:colOff>
                    <xdr:row>23</xdr:row>
                    <xdr:rowOff>0</xdr:rowOff>
                  </from>
                  <to>
                    <xdr:col>18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1362075</xdr:colOff>
                    <xdr:row>23</xdr:row>
                    <xdr:rowOff>0</xdr:rowOff>
                  </from>
                  <to>
                    <xdr:col>5</xdr:col>
                    <xdr:colOff>1362075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9</xdr:col>
                    <xdr:colOff>133350</xdr:colOff>
                    <xdr:row>23</xdr:row>
                    <xdr:rowOff>0</xdr:rowOff>
                  </from>
                  <to>
                    <xdr:col>9</xdr:col>
                    <xdr:colOff>133350</xdr:colOff>
                    <xdr:row>24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promptTitle="Gender balance" prompt="Please select the most applicable option">
          <x14:formula1>
            <xm:f>Lists!$B$29:$B$31</xm:f>
          </x14:formula1>
          <xm:sqref>F53</xm:sqref>
        </x14:dataValidation>
        <x14:dataValidation type="list" allowBlank="1" showInputMessage="1" showErrorMessage="1">
          <x14:formula1>
            <xm:f>Lists!$I$5:$I$6</xm:f>
          </x14:formula1>
          <xm:sqref>F36 F28 F110:F113 F32 F18</xm:sqref>
        </x14:dataValidation>
        <x14:dataValidation type="list" allowBlank="1" showInputMessage="1" showErrorMessage="1" prompt="Please select the most suitable option">
          <x14:formula1>
            <xm:f>Lists!$I$5:$I$7</xm:f>
          </x14:formula1>
          <xm:sqref>F70:F71</xm:sqref>
        </x14:dataValidation>
        <x14:dataValidation type="list" allowBlank="1" showInputMessage="1" showErrorMessage="1" promptTitle="Method of interview" prompt="Please indicate how you conducted the interview_x000a_">
          <x14:formula1>
            <xm:f>Lists!$M$5:$M$8</xm:f>
          </x14:formula1>
          <xm:sqref>F16</xm:sqref>
        </x14:dataValidation>
        <x14:dataValidation type="list" allowBlank="1" showInputMessage="1" showErrorMessage="1" promptTitle="Gender" prompt="Please select the correct answer from the list_x000a_">
          <x14:formula1>
            <xm:f>Lists!$B$18:$B$20</xm:f>
          </x14:formula1>
          <xm:sqref>F14</xm:sqref>
        </x14:dataValidation>
        <x14:dataValidation type="list" allowBlank="1" showInputMessage="1" showErrorMessage="1">
          <x14:formula1>
            <xm:f>Lists!$E$58:$E$61</xm:f>
          </x14:formula1>
          <xm:sqref>F59</xm:sqref>
        </x14:dataValidation>
        <x14:dataValidation type="list" allowBlank="1" showInputMessage="1" showErrorMessage="1" promptTitle="Involvement in objective setting" prompt="Please select one option_x000a_">
          <x14:formula1>
            <xm:f>Lists!$E$58:$E$61</xm:f>
          </x14:formula1>
          <xm:sqref>F57:F58</xm:sqref>
        </x14:dataValidation>
        <x14:dataValidation type="list" allowBlank="1" showInputMessage="1" showErrorMessage="1" promptTitle="External communication" prompt="Please select one option">
          <x14:formula1>
            <xm:f>Lists!$E$58:$E$61</xm:f>
          </x14:formula1>
          <xm:sqref>F74</xm:sqref>
        </x14:dataValidation>
        <x14:dataValidation type="list" allowBlank="1" showInputMessage="1" showErrorMessage="1" promptTitle="Scale of success" prompt="Please select one option between 0 and 10">
          <x14:formula1>
            <xm:f>Lists!$G$57:$G$67</xm:f>
          </x14:formula1>
          <xm:sqref>F84:F87</xm:sqref>
        </x14:dataValidation>
        <x14:dataValidation type="list" allowBlank="1" showInputMessage="1" showErrorMessage="1" promptTitle="Degree of effectiveness" prompt="Please select the most appropriate answering option_x000a_">
          <x14:formula1>
            <xm:f>Lists!$B$58:$B$62</xm:f>
          </x14:formula1>
          <xm:sqref>F63</xm:sqref>
        </x14:dataValidation>
        <x14:dataValidation type="list" allowBlank="1" showInputMessage="1" showErrorMessage="1" promptTitle="Organisation type" prompt="Please select the option most suitable_x000a_">
          <x14:formula1>
            <xm:f>Lists!$M$12:$M$22</xm:f>
          </x14:formula1>
          <xm:sqref>F13</xm:sqref>
        </x14:dataValidation>
        <x14:dataValidation type="list" allowBlank="1" showInputMessage="1" showErrorMessage="1">
          <x14:formula1>
            <xm:f>Lists!$P$5:$P$7</xm:f>
          </x14:formula1>
          <xm:sqref>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7030A0"/>
    <pageSetUpPr fitToPage="1"/>
  </sheetPr>
  <dimension ref="A1:W31"/>
  <sheetViews>
    <sheetView tabSelected="1" zoomScaleNormal="100" workbookViewId="0">
      <selection activeCell="P11" sqref="P11"/>
    </sheetView>
  </sheetViews>
  <sheetFormatPr defaultColWidth="0" defaultRowHeight="15" zeroHeight="1"/>
  <cols>
    <col min="1" max="1" width="2.7109375" style="1" customWidth="1"/>
    <col min="2" max="2" width="3.28515625" style="1" customWidth="1"/>
    <col min="3" max="3" width="9.5703125" style="81" customWidth="1"/>
    <col min="4" max="4" width="42.85546875" style="1" customWidth="1"/>
    <col min="5" max="5" width="3.42578125" style="1" customWidth="1"/>
    <col min="6" max="6" width="54.85546875" style="1" customWidth="1"/>
    <col min="7" max="7" width="8.28515625" style="1" customWidth="1"/>
    <col min="8" max="8" width="6.7109375" style="1" customWidth="1"/>
    <col min="9" max="9" width="9.140625" style="1" customWidth="1"/>
    <col min="10" max="10" width="7.5703125" style="1" customWidth="1"/>
    <col min="11" max="11" width="10.28515625" style="1" customWidth="1"/>
    <col min="12" max="12" width="16.140625" style="1" customWidth="1"/>
    <col min="13" max="13" width="9.7109375" style="1" customWidth="1"/>
    <col min="14" max="15" width="9.140625" style="1" customWidth="1"/>
    <col min="16" max="16" width="9" style="1" customWidth="1"/>
    <col min="17" max="17" width="9.5703125" style="1" customWidth="1"/>
    <col min="18" max="18" width="6.7109375" style="1" customWidth="1"/>
    <col min="19" max="19" width="9.28515625" style="1" customWidth="1"/>
    <col min="20" max="20" width="11.85546875" style="1" customWidth="1"/>
    <col min="21" max="21" width="9.140625" style="1" customWidth="1"/>
    <col min="22" max="22" width="11" style="1" customWidth="1"/>
    <col min="23" max="23" width="2.5703125" style="97" customWidth="1"/>
    <col min="24" max="16384" width="9.140625" style="1" hidden="1"/>
  </cols>
  <sheetData>
    <row r="1" spans="1:23">
      <c r="C1" s="1"/>
    </row>
    <row r="2" spans="1:23" ht="33.75">
      <c r="A2" s="112" t="s">
        <v>197</v>
      </c>
      <c r="B2" s="112"/>
      <c r="C2" s="113"/>
      <c r="D2" s="113"/>
      <c r="E2" s="113"/>
      <c r="F2" s="113"/>
      <c r="G2" s="113"/>
      <c r="H2" s="113"/>
      <c r="I2" s="113"/>
      <c r="J2" s="114"/>
      <c r="K2" s="113"/>
      <c r="L2" s="113"/>
    </row>
    <row r="3" spans="1:23">
      <c r="C3" s="1"/>
    </row>
    <row r="4" spans="1:23" s="69" customFormat="1" ht="21" thickBot="1">
      <c r="A4" s="109"/>
      <c r="B4" s="106"/>
      <c r="C4" s="21" t="s">
        <v>468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98"/>
    </row>
    <row r="5" spans="1:23" s="69" customFormat="1" ht="18" customHeight="1" thickBot="1">
      <c r="A5" s="109"/>
      <c r="B5" s="253" t="str">
        <f>IF(NOT(ISBLANK(F5)), CHAR(252), CHAR(251))</f>
        <v>û</v>
      </c>
      <c r="C5" s="273" t="s">
        <v>146</v>
      </c>
      <c r="D5" s="274" t="s">
        <v>193</v>
      </c>
      <c r="E5" s="43"/>
      <c r="F5" s="278"/>
      <c r="G5" s="43"/>
      <c r="H5" s="44" t="s">
        <v>390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7"/>
      <c r="V5" s="43"/>
      <c r="W5" s="98"/>
    </row>
    <row r="6" spans="1:23" s="69" customFormat="1" ht="51" customHeight="1" thickBot="1">
      <c r="A6" s="109"/>
      <c r="B6" s="253"/>
      <c r="C6" s="272"/>
      <c r="D6" s="257"/>
      <c r="E6" s="43"/>
      <c r="F6" s="279"/>
      <c r="G6" s="43"/>
      <c r="H6" s="49"/>
      <c r="I6" s="244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45"/>
      <c r="U6" s="51"/>
      <c r="V6" s="43"/>
      <c r="W6" s="98"/>
    </row>
    <row r="7" spans="1:23" s="69" customFormat="1" ht="18" thickTop="1" thickBot="1">
      <c r="A7" s="109"/>
      <c r="B7" s="43"/>
      <c r="C7" s="79"/>
      <c r="D7" s="48"/>
      <c r="E7" s="43"/>
      <c r="F7" s="59"/>
      <c r="G7" s="43"/>
      <c r="H7" s="53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6"/>
      <c r="V7" s="43"/>
      <c r="W7" s="98"/>
    </row>
    <row r="8" spans="1:23" s="69" customFormat="1" ht="33.75" thickBot="1">
      <c r="A8" s="109"/>
      <c r="B8" s="103" t="str">
        <f>IF(NOT(ISBLANK(F8)), CHAR(252), CHAR(251))</f>
        <v>û</v>
      </c>
      <c r="C8" s="90" t="s">
        <v>148</v>
      </c>
      <c r="D8" s="80" t="s">
        <v>125</v>
      </c>
      <c r="E8" s="43"/>
      <c r="F8" s="228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98"/>
    </row>
    <row r="9" spans="1:23" s="69" customFormat="1" ht="18" thickTop="1" thickBot="1">
      <c r="A9" s="109"/>
      <c r="B9" s="43"/>
      <c r="C9" s="79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98"/>
    </row>
    <row r="10" spans="1:23" s="69" customFormat="1" ht="34.5" customHeight="1" thickBot="1">
      <c r="A10" s="109"/>
      <c r="B10" s="43"/>
      <c r="C10" s="272" t="s">
        <v>150</v>
      </c>
      <c r="D10" s="280" t="s">
        <v>254</v>
      </c>
      <c r="E10" s="43"/>
      <c r="F10" s="160" t="s">
        <v>250</v>
      </c>
      <c r="G10" s="162" t="s">
        <v>252</v>
      </c>
      <c r="H10" s="158"/>
      <c r="I10" s="154"/>
      <c r="J10" s="158"/>
      <c r="K10" s="154"/>
      <c r="L10" s="155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98"/>
    </row>
    <row r="11" spans="1:23" s="69" customFormat="1" ht="34.5" customHeight="1" thickTop="1" thickBot="1">
      <c r="A11" s="109"/>
      <c r="B11" s="43"/>
      <c r="C11" s="272"/>
      <c r="D11" s="280"/>
      <c r="E11" s="43"/>
      <c r="F11" s="161" t="s">
        <v>251</v>
      </c>
      <c r="G11" s="163" t="s">
        <v>253</v>
      </c>
      <c r="H11" s="156"/>
      <c r="I11" s="157"/>
      <c r="J11" s="156"/>
      <c r="K11" s="157"/>
      <c r="L11" s="159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98"/>
    </row>
    <row r="12" spans="1:23" s="69" customFormat="1" ht="17.25" thickTop="1">
      <c r="A12" s="109"/>
      <c r="B12" s="43"/>
      <c r="C12" s="79"/>
      <c r="D12" s="43"/>
      <c r="E12" s="43"/>
      <c r="F12" s="59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98"/>
    </row>
    <row r="13" spans="1:23" s="69" customFormat="1" ht="17.25" thickBot="1">
      <c r="A13" s="109"/>
      <c r="B13" s="43"/>
      <c r="C13" s="79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98"/>
    </row>
    <row r="14" spans="1:23" s="69" customFormat="1" ht="50.25" thickBot="1">
      <c r="A14" s="109"/>
      <c r="B14" s="103" t="str">
        <f>IF(NOT(ISBLANK(F14)), CHAR(252), CHAR(251))</f>
        <v>û</v>
      </c>
      <c r="C14" s="90" t="s">
        <v>155</v>
      </c>
      <c r="D14" s="80" t="s">
        <v>368</v>
      </c>
      <c r="E14" s="43"/>
      <c r="F14" s="244"/>
      <c r="G14" s="260"/>
      <c r="H14" s="260"/>
      <c r="I14" s="260"/>
      <c r="J14" s="260"/>
      <c r="K14" s="260"/>
      <c r="L14" s="245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98"/>
    </row>
    <row r="15" spans="1:23" s="69" customFormat="1" ht="18" thickTop="1" thickBot="1">
      <c r="A15" s="109"/>
      <c r="B15" s="43"/>
      <c r="C15" s="79"/>
      <c r="D15" s="43"/>
      <c r="E15" s="43"/>
      <c r="F15" s="43"/>
      <c r="G15" s="43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188"/>
      <c r="W15" s="73"/>
    </row>
    <row r="16" spans="1:23" s="69" customFormat="1" ht="27" customHeight="1" thickBot="1">
      <c r="A16" s="109"/>
      <c r="B16" s="253" t="str">
        <f>IF(NOT(ISBLANK(F18)), CHAR(252), CHAR(251))</f>
        <v>û</v>
      </c>
      <c r="C16" s="273" t="s">
        <v>157</v>
      </c>
      <c r="D16" s="282" t="s">
        <v>194</v>
      </c>
      <c r="E16" s="164" t="s">
        <v>221</v>
      </c>
      <c r="F16" s="244"/>
      <c r="G16" s="260"/>
      <c r="H16" s="260"/>
      <c r="I16" s="260"/>
      <c r="J16" s="260"/>
      <c r="K16" s="260"/>
      <c r="L16" s="245"/>
      <c r="M16" s="59"/>
      <c r="N16" s="59"/>
      <c r="O16" s="59"/>
      <c r="P16" s="59"/>
      <c r="Q16" s="59"/>
      <c r="R16" s="59"/>
      <c r="S16" s="59"/>
      <c r="T16" s="59"/>
      <c r="U16" s="59"/>
      <c r="V16" s="188"/>
      <c r="W16" s="73"/>
    </row>
    <row r="17" spans="1:23" s="69" customFormat="1" ht="27" customHeight="1" thickBot="1">
      <c r="A17" s="109"/>
      <c r="B17" s="253"/>
      <c r="C17" s="273"/>
      <c r="D17" s="282"/>
      <c r="E17" s="164" t="s">
        <v>222</v>
      </c>
      <c r="F17" s="244"/>
      <c r="G17" s="260"/>
      <c r="H17" s="260"/>
      <c r="I17" s="260"/>
      <c r="J17" s="260"/>
      <c r="K17" s="260"/>
      <c r="L17" s="245"/>
      <c r="M17" s="59"/>
      <c r="N17" s="59"/>
      <c r="O17" s="59"/>
      <c r="P17" s="59"/>
      <c r="Q17" s="59"/>
      <c r="R17" s="59"/>
      <c r="S17" s="59"/>
      <c r="T17" s="59"/>
      <c r="U17" s="59"/>
      <c r="V17" s="188"/>
      <c r="W17" s="73"/>
    </row>
    <row r="18" spans="1:23" s="69" customFormat="1" ht="27" customHeight="1" thickBot="1">
      <c r="A18" s="109"/>
      <c r="B18" s="253"/>
      <c r="C18" s="272"/>
      <c r="D18" s="280"/>
      <c r="E18" s="164" t="s">
        <v>223</v>
      </c>
      <c r="F18" s="244"/>
      <c r="G18" s="260"/>
      <c r="H18" s="260"/>
      <c r="I18" s="260"/>
      <c r="J18" s="260"/>
      <c r="K18" s="260"/>
      <c r="L18" s="245"/>
      <c r="M18" s="48"/>
      <c r="N18" s="59"/>
      <c r="O18" s="59"/>
      <c r="P18" s="59"/>
      <c r="Q18" s="59"/>
      <c r="R18" s="59"/>
      <c r="S18" s="59"/>
      <c r="T18" s="59"/>
      <c r="U18" s="59"/>
      <c r="V18" s="188"/>
      <c r="W18" s="73"/>
    </row>
    <row r="19" spans="1:23" s="69" customFormat="1" ht="17.25" thickTop="1">
      <c r="A19" s="109"/>
      <c r="B19" s="43"/>
      <c r="C19" s="79"/>
      <c r="D19" s="48"/>
      <c r="E19" s="43"/>
      <c r="F19" s="59"/>
      <c r="G19" s="43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188"/>
      <c r="W19" s="73"/>
    </row>
    <row r="20" spans="1:23" s="69" customFormat="1" ht="16.5">
      <c r="A20" s="109"/>
      <c r="B20" s="43"/>
      <c r="C20" s="79"/>
      <c r="D20" s="43"/>
      <c r="E20" s="43"/>
      <c r="F20" s="43"/>
      <c r="G20" s="43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188"/>
      <c r="W20" s="73"/>
    </row>
    <row r="21" spans="1:23" ht="16.5">
      <c r="A21" s="281"/>
      <c r="B21" s="13"/>
      <c r="C21" s="100"/>
      <c r="D21" s="10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3" ht="16.5">
      <c r="A22" s="281"/>
      <c r="B22" s="13"/>
      <c r="C22" s="92"/>
      <c r="D22" s="10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3" s="13" customFormat="1" ht="16.5">
      <c r="C23" s="92"/>
      <c r="D23" s="104"/>
      <c r="W23" s="97"/>
    </row>
    <row r="24" spans="1:23" s="13" customFormat="1" ht="16.5">
      <c r="B24" s="99"/>
      <c r="C24" s="92"/>
      <c r="D24" s="104"/>
      <c r="F24" s="61"/>
      <c r="W24" s="97"/>
    </row>
    <row r="25" spans="1:23" s="4" customFormat="1" ht="17.25" thickBot="1">
      <c r="A25" s="1"/>
      <c r="B25" s="1"/>
      <c r="C25" s="93"/>
      <c r="D25" s="9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89"/>
    </row>
    <row r="26" spans="1:23" s="4" customFormat="1" ht="15" customHeight="1">
      <c r="A26" s="1"/>
      <c r="B26" s="1"/>
      <c r="C26" s="235" t="s">
        <v>160</v>
      </c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7"/>
      <c r="V26" s="190"/>
    </row>
    <row r="27" spans="1:23" s="4" customFormat="1" ht="15" customHeight="1">
      <c r="A27" s="1"/>
      <c r="B27" s="1"/>
      <c r="C27" s="238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40"/>
      <c r="V27" s="190"/>
    </row>
    <row r="28" spans="1:23" s="4" customFormat="1" ht="15" customHeight="1">
      <c r="A28" s="1"/>
      <c r="B28" s="1"/>
      <c r="C28" s="238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40"/>
      <c r="V28" s="190"/>
    </row>
    <row r="29" spans="1:23" s="4" customFormat="1" ht="15" customHeight="1">
      <c r="A29" s="1"/>
      <c r="B29" s="1"/>
      <c r="C29" s="238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40"/>
      <c r="V29" s="190"/>
    </row>
    <row r="30" spans="1:23" s="4" customFormat="1" ht="15.75" customHeight="1" thickBot="1">
      <c r="A30" s="1"/>
      <c r="B30" s="1"/>
      <c r="C30" s="241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3"/>
      <c r="V30" s="190"/>
    </row>
    <row r="31" spans="1:23" s="4" customFormat="1">
      <c r="A31" s="1"/>
      <c r="B31" s="1"/>
      <c r="C31" s="8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89"/>
    </row>
  </sheetData>
  <sheetProtection algorithmName="SHA-512" hashValue="Rabh8iSQ6kx0Oh4TuGf262G9fgKzzsiGz+N4ZC2BbuBbMGyt4o/2PZNbtiE9gef38s4g3K7TLqquhnq3djZxSw==" saltValue="8ExNHQDVPLZzroF8MPdz3A==" spinCount="100000" sheet="1" objects="1" scenarios="1"/>
  <mergeCells count="16">
    <mergeCell ref="B5:B6"/>
    <mergeCell ref="C10:C11"/>
    <mergeCell ref="D10:D11"/>
    <mergeCell ref="F18:L18"/>
    <mergeCell ref="A21:A22"/>
    <mergeCell ref="F14:L14"/>
    <mergeCell ref="B16:B18"/>
    <mergeCell ref="D16:D18"/>
    <mergeCell ref="F17:L17"/>
    <mergeCell ref="F16:L16"/>
    <mergeCell ref="I6:T6"/>
    <mergeCell ref="C26:U30"/>
    <mergeCell ref="C16:C18"/>
    <mergeCell ref="C5:C6"/>
    <mergeCell ref="D5:D6"/>
    <mergeCell ref="F5:F6"/>
  </mergeCells>
  <conditionalFormatting sqref="B24">
    <cfRule type="cellIs" dxfId="11" priority="118" operator="equal">
      <formula>CHAR(252)</formula>
    </cfRule>
  </conditionalFormatting>
  <conditionalFormatting sqref="B24">
    <cfRule type="cellIs" dxfId="10" priority="117" operator="equal">
      <formula>CHAR(251)</formula>
    </cfRule>
  </conditionalFormatting>
  <conditionalFormatting sqref="B5">
    <cfRule type="cellIs" dxfId="9" priority="66" operator="equal">
      <formula>CHAR(252)</formula>
    </cfRule>
  </conditionalFormatting>
  <conditionalFormatting sqref="B5">
    <cfRule type="cellIs" dxfId="8" priority="65" operator="equal">
      <formula>CHAR(251)</formula>
    </cfRule>
  </conditionalFormatting>
  <conditionalFormatting sqref="B8">
    <cfRule type="cellIs" dxfId="7" priority="64" operator="equal">
      <formula>CHAR(252)</formula>
    </cfRule>
  </conditionalFormatting>
  <conditionalFormatting sqref="B8">
    <cfRule type="cellIs" dxfId="6" priority="63" operator="equal">
      <formula>CHAR(251)</formula>
    </cfRule>
  </conditionalFormatting>
  <conditionalFormatting sqref="B14">
    <cfRule type="cellIs" dxfId="5" priority="60" operator="equal">
      <formula>CHAR(252)</formula>
    </cfRule>
  </conditionalFormatting>
  <conditionalFormatting sqref="B14">
    <cfRule type="cellIs" dxfId="4" priority="59" operator="equal">
      <formula>CHAR(251)</formula>
    </cfRule>
  </conditionalFormatting>
  <conditionalFormatting sqref="B16">
    <cfRule type="cellIs" dxfId="3" priority="58" operator="equal">
      <formula>CHAR(252)</formula>
    </cfRule>
  </conditionalFormatting>
  <conditionalFormatting sqref="B16">
    <cfRule type="cellIs" dxfId="2" priority="57" operator="equal">
      <formula>CHAR(251)</formula>
    </cfRule>
  </conditionalFormatting>
  <dataValidations count="2">
    <dataValidation allowBlank="1" showErrorMessage="1" promptTitle="Novelty level" prompt="Please select the option closest to the expected novelty level to be attained by the project_x000a_" sqref="F18:F19"/>
    <dataValidation allowBlank="1" showErrorMessage="1" promptTitle="Pathways for innovation support" prompt="Please select one of the four pathways which is the closest to the activities of the project" sqref="F10:F11"/>
  </dataValidations>
  <pageMargins left="0.7" right="0.7" top="0.75" bottom="0.75" header="0.3" footer="0.3"/>
  <pageSetup paperSize="9" scale="3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8</xdr:col>
                    <xdr:colOff>219075</xdr:colOff>
                    <xdr:row>3</xdr:row>
                    <xdr:rowOff>0</xdr:rowOff>
                  </from>
                  <to>
                    <xdr:col>8</xdr:col>
                    <xdr:colOff>219075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8</xdr:col>
                    <xdr:colOff>219075</xdr:colOff>
                    <xdr:row>3</xdr:row>
                    <xdr:rowOff>0</xdr:rowOff>
                  </from>
                  <to>
                    <xdr:col>8</xdr:col>
                    <xdr:colOff>219075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8</xdr:col>
                    <xdr:colOff>219075</xdr:colOff>
                    <xdr:row>3</xdr:row>
                    <xdr:rowOff>0</xdr:rowOff>
                  </from>
                  <to>
                    <xdr:col>8</xdr:col>
                    <xdr:colOff>219075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9</xdr:col>
                    <xdr:colOff>123825</xdr:colOff>
                    <xdr:row>3</xdr:row>
                    <xdr:rowOff>0</xdr:rowOff>
                  </from>
                  <to>
                    <xdr:col>9</xdr:col>
                    <xdr:colOff>123825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9</xdr:col>
                    <xdr:colOff>123825</xdr:colOff>
                    <xdr:row>3</xdr:row>
                    <xdr:rowOff>0</xdr:rowOff>
                  </from>
                  <to>
                    <xdr:col>9</xdr:col>
                    <xdr:colOff>123825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9</xdr:col>
                    <xdr:colOff>123825</xdr:colOff>
                    <xdr:row>3</xdr:row>
                    <xdr:rowOff>0</xdr:rowOff>
                  </from>
                  <to>
                    <xdr:col>9</xdr:col>
                    <xdr:colOff>123825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10</xdr:col>
                    <xdr:colOff>171450</xdr:colOff>
                    <xdr:row>3</xdr:row>
                    <xdr:rowOff>0</xdr:rowOff>
                  </from>
                  <to>
                    <xdr:col>10</xdr:col>
                    <xdr:colOff>171450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10</xdr:col>
                    <xdr:colOff>171450</xdr:colOff>
                    <xdr:row>3</xdr:row>
                    <xdr:rowOff>0</xdr:rowOff>
                  </from>
                  <to>
                    <xdr:col>10</xdr:col>
                    <xdr:colOff>171450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10</xdr:col>
                    <xdr:colOff>171450</xdr:colOff>
                    <xdr:row>3</xdr:row>
                    <xdr:rowOff>0</xdr:rowOff>
                  </from>
                  <to>
                    <xdr:col>10</xdr:col>
                    <xdr:colOff>171450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11</xdr:col>
                    <xdr:colOff>209550</xdr:colOff>
                    <xdr:row>3</xdr:row>
                    <xdr:rowOff>0</xdr:rowOff>
                  </from>
                  <to>
                    <xdr:col>11</xdr:col>
                    <xdr:colOff>209550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11</xdr:col>
                    <xdr:colOff>209550</xdr:colOff>
                    <xdr:row>3</xdr:row>
                    <xdr:rowOff>0</xdr:rowOff>
                  </from>
                  <to>
                    <xdr:col>11</xdr:col>
                    <xdr:colOff>209550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11</xdr:col>
                    <xdr:colOff>209550</xdr:colOff>
                    <xdr:row>3</xdr:row>
                    <xdr:rowOff>0</xdr:rowOff>
                  </from>
                  <to>
                    <xdr:col>11</xdr:col>
                    <xdr:colOff>209550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12</xdr:col>
                    <xdr:colOff>180975</xdr:colOff>
                    <xdr:row>3</xdr:row>
                    <xdr:rowOff>0</xdr:rowOff>
                  </from>
                  <to>
                    <xdr:col>12</xdr:col>
                    <xdr:colOff>180975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12</xdr:col>
                    <xdr:colOff>180975</xdr:colOff>
                    <xdr:row>3</xdr:row>
                    <xdr:rowOff>0</xdr:rowOff>
                  </from>
                  <to>
                    <xdr:col>12</xdr:col>
                    <xdr:colOff>180975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12</xdr:col>
                    <xdr:colOff>180975</xdr:colOff>
                    <xdr:row>3</xdr:row>
                    <xdr:rowOff>0</xdr:rowOff>
                  </from>
                  <to>
                    <xdr:col>12</xdr:col>
                    <xdr:colOff>180975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13</xdr:col>
                    <xdr:colOff>200025</xdr:colOff>
                    <xdr:row>3</xdr:row>
                    <xdr:rowOff>0</xdr:rowOff>
                  </from>
                  <to>
                    <xdr:col>13</xdr:col>
                    <xdr:colOff>200025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13</xdr:col>
                    <xdr:colOff>200025</xdr:colOff>
                    <xdr:row>3</xdr:row>
                    <xdr:rowOff>0</xdr:rowOff>
                  </from>
                  <to>
                    <xdr:col>13</xdr:col>
                    <xdr:colOff>200025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13</xdr:col>
                    <xdr:colOff>200025</xdr:colOff>
                    <xdr:row>3</xdr:row>
                    <xdr:rowOff>0</xdr:rowOff>
                  </from>
                  <to>
                    <xdr:col>13</xdr:col>
                    <xdr:colOff>200025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14</xdr:col>
                    <xdr:colOff>190500</xdr:colOff>
                    <xdr:row>3</xdr:row>
                    <xdr:rowOff>0</xdr:rowOff>
                  </from>
                  <to>
                    <xdr:col>14</xdr:col>
                    <xdr:colOff>190500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14</xdr:col>
                    <xdr:colOff>190500</xdr:colOff>
                    <xdr:row>3</xdr:row>
                    <xdr:rowOff>0</xdr:rowOff>
                  </from>
                  <to>
                    <xdr:col>14</xdr:col>
                    <xdr:colOff>190500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14</xdr:col>
                    <xdr:colOff>190500</xdr:colOff>
                    <xdr:row>3</xdr:row>
                    <xdr:rowOff>0</xdr:rowOff>
                  </from>
                  <to>
                    <xdr:col>14</xdr:col>
                    <xdr:colOff>190500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15</xdr:col>
                    <xdr:colOff>219075</xdr:colOff>
                    <xdr:row>3</xdr:row>
                    <xdr:rowOff>0</xdr:rowOff>
                  </from>
                  <to>
                    <xdr:col>15</xdr:col>
                    <xdr:colOff>219075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15</xdr:col>
                    <xdr:colOff>219075</xdr:colOff>
                    <xdr:row>3</xdr:row>
                    <xdr:rowOff>0</xdr:rowOff>
                  </from>
                  <to>
                    <xdr:col>15</xdr:col>
                    <xdr:colOff>219075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15</xdr:col>
                    <xdr:colOff>219075</xdr:colOff>
                    <xdr:row>3</xdr:row>
                    <xdr:rowOff>0</xdr:rowOff>
                  </from>
                  <to>
                    <xdr:col>15</xdr:col>
                    <xdr:colOff>219075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16</xdr:col>
                    <xdr:colOff>209550</xdr:colOff>
                    <xdr:row>3</xdr:row>
                    <xdr:rowOff>0</xdr:rowOff>
                  </from>
                  <to>
                    <xdr:col>16</xdr:col>
                    <xdr:colOff>209550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16</xdr:col>
                    <xdr:colOff>209550</xdr:colOff>
                    <xdr:row>3</xdr:row>
                    <xdr:rowOff>0</xdr:rowOff>
                  </from>
                  <to>
                    <xdr:col>16</xdr:col>
                    <xdr:colOff>209550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16</xdr:col>
                    <xdr:colOff>209550</xdr:colOff>
                    <xdr:row>3</xdr:row>
                    <xdr:rowOff>0</xdr:rowOff>
                  </from>
                  <to>
                    <xdr:col>16</xdr:col>
                    <xdr:colOff>209550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17</xdr:col>
                    <xdr:colOff>47625</xdr:colOff>
                    <xdr:row>3</xdr:row>
                    <xdr:rowOff>0</xdr:rowOff>
                  </from>
                  <to>
                    <xdr:col>17</xdr:col>
                    <xdr:colOff>47625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17</xdr:col>
                    <xdr:colOff>47625</xdr:colOff>
                    <xdr:row>3</xdr:row>
                    <xdr:rowOff>0</xdr:rowOff>
                  </from>
                  <to>
                    <xdr:col>17</xdr:col>
                    <xdr:colOff>47625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17</xdr:col>
                    <xdr:colOff>47625</xdr:colOff>
                    <xdr:row>3</xdr:row>
                    <xdr:rowOff>0</xdr:rowOff>
                  </from>
                  <to>
                    <xdr:col>17</xdr:col>
                    <xdr:colOff>47625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18</xdr:col>
                    <xdr:colOff>28575</xdr:colOff>
                    <xdr:row>3</xdr:row>
                    <xdr:rowOff>0</xdr:rowOff>
                  </from>
                  <to>
                    <xdr:col>18</xdr:col>
                    <xdr:colOff>28575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5</xdr:col>
                    <xdr:colOff>1362075</xdr:colOff>
                    <xdr:row>3</xdr:row>
                    <xdr:rowOff>0</xdr:rowOff>
                  </from>
                  <to>
                    <xdr:col>5</xdr:col>
                    <xdr:colOff>1362075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9</xdr:col>
                    <xdr:colOff>133350</xdr:colOff>
                    <xdr:row>3</xdr:row>
                    <xdr:rowOff>0</xdr:rowOff>
                  </from>
                  <to>
                    <xdr:col>9</xdr:col>
                    <xdr:colOff>133350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37" name="Check Box 50">
              <controlPr locked="0" defaultSize="0" autoFill="0" autoLine="0" autoPict="0">
                <anchor moveWithCells="1">
                  <from>
                    <xdr:col>5</xdr:col>
                    <xdr:colOff>47625</xdr:colOff>
                    <xdr:row>9</xdr:row>
                    <xdr:rowOff>104775</xdr:rowOff>
                  </from>
                  <to>
                    <xdr:col>5</xdr:col>
                    <xdr:colOff>352425</xdr:colOff>
                    <xdr:row>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38" name="Check Box 51">
              <controlPr locked="0" defaultSize="0" autoFill="0" autoLine="0" autoPict="0">
                <anchor moveWithCells="1">
                  <from>
                    <xdr:col>5</xdr:col>
                    <xdr:colOff>47625</xdr:colOff>
                    <xdr:row>10</xdr:row>
                    <xdr:rowOff>95250</xdr:rowOff>
                  </from>
                  <to>
                    <xdr:col>5</xdr:col>
                    <xdr:colOff>352425</xdr:colOff>
                    <xdr:row>10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39" name="Check Box 52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114300</xdr:rowOff>
                  </from>
                  <to>
                    <xdr:col>6</xdr:col>
                    <xdr:colOff>304800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40" name="Check Box 53">
              <controlPr locked="0"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104775</xdr:rowOff>
                  </from>
                  <to>
                    <xdr:col>6</xdr:col>
                    <xdr:colOff>304800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hases in the innovation spiral" prompt="Please select the phase that you think is the closest to the activities undertaken in the project_x000a_">
          <x14:formula1>
            <xm:f>Lists!$B$34:$B$41</xm:f>
          </x14:formula1>
          <xm:sqref>F7:F8</xm:sqref>
        </x14:dataValidation>
        <x14:dataValidation type="list" allowBlank="1" showInputMessage="1" showErrorMessage="1">
          <x14:formula1>
            <xm:f>Lists!$I$5:$I$6</xm:f>
          </x14:formula1>
          <xm:sqref>F24</xm:sqref>
        </x14:dataValidation>
        <x14:dataValidation type="list" allowBlank="1" showInputMessage="1" showErrorMessage="1" promptTitle="Level of co-creation" prompt="Please select what you think is most appropriate_x000a__x000a_">
          <x14:formula1>
            <xm:f>Lists!$I$58:$I$60</xm:f>
          </x14:formula1>
          <xm:sqref>F5:F6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E12"/>
  <sheetViews>
    <sheetView topLeftCell="CQ1" workbookViewId="0">
      <selection activeCell="B6" sqref="B6"/>
    </sheetView>
  </sheetViews>
  <sheetFormatPr defaultRowHeight="15"/>
  <cols>
    <col min="1" max="1" width="5.28515625" customWidth="1"/>
    <col min="2" max="2" width="16.42578125" customWidth="1"/>
    <col min="3" max="3" width="14.85546875" customWidth="1"/>
    <col min="4" max="4" width="12.85546875" customWidth="1"/>
    <col min="5" max="5" width="11.85546875" customWidth="1"/>
    <col min="7" max="7" width="13.85546875" customWidth="1"/>
    <col min="9" max="9" width="12.5703125" customWidth="1"/>
    <col min="10" max="11" width="14" customWidth="1"/>
    <col min="12" max="12" width="13.42578125" customWidth="1"/>
    <col min="13" max="13" width="15.28515625" customWidth="1"/>
    <col min="14" max="16" width="14.5703125" customWidth="1"/>
    <col min="17" max="17" width="15.5703125" customWidth="1"/>
    <col min="18" max="18" width="12.140625" customWidth="1"/>
    <col min="21" max="21" width="14.42578125" customWidth="1"/>
    <col min="22" max="22" width="12.42578125" customWidth="1"/>
    <col min="23" max="24" width="12.140625" customWidth="1"/>
    <col min="25" max="25" width="12.85546875" customWidth="1"/>
    <col min="28" max="28" width="30.28515625" customWidth="1"/>
    <col min="35" max="35" width="13.85546875" customWidth="1"/>
    <col min="36" max="46" width="9.140625" customWidth="1"/>
    <col min="47" max="47" width="14.28515625" customWidth="1"/>
    <col min="48" max="48" width="10.7109375" customWidth="1"/>
    <col min="49" max="49" width="12.5703125" customWidth="1"/>
    <col min="50" max="50" width="11.7109375" customWidth="1"/>
    <col min="51" max="51" width="11.5703125" customWidth="1"/>
    <col min="52" max="52" width="23.7109375" customWidth="1"/>
    <col min="53" max="53" width="11.5703125" customWidth="1"/>
    <col min="55" max="55" width="12.5703125" customWidth="1"/>
    <col min="56" max="56" width="12.42578125" customWidth="1"/>
    <col min="57" max="57" width="30" customWidth="1"/>
    <col min="58" max="58" width="28.28515625" customWidth="1"/>
    <col min="59" max="59" width="11.140625" customWidth="1"/>
    <col min="60" max="60" width="23.5703125" customWidth="1"/>
    <col min="61" max="61" width="28" customWidth="1"/>
    <col min="62" max="62" width="9.85546875" customWidth="1"/>
    <col min="63" max="63" width="18.28515625" customWidth="1"/>
    <col min="64" max="64" width="12.28515625" customWidth="1"/>
    <col min="65" max="65" width="25.7109375" customWidth="1"/>
    <col min="66" max="66" width="30.7109375" customWidth="1"/>
    <col min="67" max="67" width="34" customWidth="1"/>
    <col min="68" max="68" width="34.28515625" customWidth="1"/>
    <col min="69" max="69" width="32.5703125" customWidth="1"/>
    <col min="70" max="70" width="26" customWidth="1"/>
    <col min="71" max="71" width="25.7109375" customWidth="1"/>
    <col min="72" max="72" width="12.7109375" customWidth="1"/>
    <col min="73" max="73" width="34" customWidth="1"/>
    <col min="74" max="74" width="43.42578125" customWidth="1"/>
    <col min="75" max="75" width="20.28515625" customWidth="1"/>
    <col min="76" max="76" width="46.28515625" customWidth="1"/>
    <col min="77" max="77" width="20.85546875" customWidth="1"/>
    <col min="78" max="78" width="14.5703125" customWidth="1"/>
    <col min="79" max="79" width="16.85546875" customWidth="1"/>
    <col min="80" max="80" width="24.7109375" customWidth="1"/>
    <col min="81" max="81" width="23.28515625" customWidth="1"/>
    <col min="82" max="82" width="17" customWidth="1"/>
    <col min="83" max="83" width="20.7109375" customWidth="1"/>
    <col min="84" max="85" width="9.28515625" customWidth="1"/>
    <col min="86" max="86" width="8.85546875" customWidth="1"/>
    <col min="87" max="87" width="9" customWidth="1"/>
    <col min="88" max="88" width="30" customWidth="1"/>
    <col min="89" max="89" width="30.140625" customWidth="1"/>
    <col min="90" max="90" width="29.140625" customWidth="1"/>
    <col min="91" max="92" width="17.85546875" customWidth="1"/>
    <col min="93" max="93" width="18.140625" customWidth="1"/>
    <col min="94" max="94" width="36.5703125" customWidth="1"/>
    <col min="95" max="95" width="22.85546875" customWidth="1"/>
    <col min="96" max="96" width="17.140625" customWidth="1"/>
    <col min="97" max="97" width="20.7109375" customWidth="1"/>
    <col min="98" max="98" width="16.140625" customWidth="1"/>
    <col min="99" max="99" width="21.85546875" customWidth="1"/>
    <col min="101" max="101" width="18.140625" customWidth="1"/>
    <col min="102" max="102" width="13.7109375" customWidth="1"/>
    <col min="103" max="103" width="12.5703125" customWidth="1"/>
    <col min="104" max="104" width="11.42578125" customWidth="1"/>
    <col min="105" max="105" width="10.85546875" customWidth="1"/>
    <col min="106" max="106" width="14.7109375" customWidth="1"/>
    <col min="107" max="107" width="19.7109375" customWidth="1"/>
    <col min="108" max="108" width="13.140625" customWidth="1"/>
    <col min="109" max="109" width="12" customWidth="1"/>
    <col min="110" max="16384" width="9.140625" style="4"/>
  </cols>
  <sheetData>
    <row r="1" spans="1:109" ht="21.75" thickBot="1">
      <c r="A1" s="286" t="s">
        <v>3</v>
      </c>
      <c r="B1" s="283" t="s">
        <v>319</v>
      </c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5"/>
      <c r="AV1" s="296" t="s">
        <v>363</v>
      </c>
      <c r="AW1" s="297"/>
      <c r="AX1" s="297"/>
      <c r="AY1" s="297"/>
      <c r="AZ1" s="297"/>
      <c r="BA1" s="297"/>
      <c r="BB1" s="297"/>
      <c r="BC1" s="297"/>
      <c r="BD1" s="297"/>
      <c r="BE1" s="297"/>
      <c r="BF1" s="297"/>
      <c r="BG1" s="297"/>
      <c r="BH1" s="297"/>
      <c r="BI1" s="297"/>
      <c r="BJ1" s="297"/>
      <c r="BK1" s="297"/>
      <c r="BL1" s="297"/>
      <c r="BM1" s="297"/>
      <c r="BN1" s="297"/>
      <c r="BO1" s="297"/>
      <c r="BP1" s="297"/>
      <c r="BQ1" s="297"/>
      <c r="BR1" s="297"/>
      <c r="BS1" s="297"/>
      <c r="BT1" s="297"/>
      <c r="BU1" s="297"/>
      <c r="BV1" s="297"/>
      <c r="BW1" s="297"/>
      <c r="BX1" s="297"/>
      <c r="BY1" s="297"/>
      <c r="BZ1" s="297"/>
      <c r="CA1" s="297"/>
      <c r="CB1" s="297"/>
      <c r="CC1" s="297"/>
      <c r="CD1" s="297"/>
      <c r="CE1" s="297"/>
      <c r="CF1" s="297"/>
      <c r="CG1" s="297"/>
      <c r="CH1" s="297"/>
      <c r="CI1" s="297"/>
      <c r="CJ1" s="297"/>
      <c r="CK1" s="297"/>
      <c r="CL1" s="297"/>
      <c r="CM1" s="297"/>
      <c r="CN1" s="297"/>
      <c r="CO1" s="297"/>
      <c r="CP1" s="297"/>
      <c r="CQ1" s="297"/>
      <c r="CR1" s="297"/>
      <c r="CS1" s="297"/>
      <c r="CT1" s="297"/>
      <c r="CU1" s="295" t="s">
        <v>374</v>
      </c>
      <c r="CV1" s="295"/>
      <c r="CW1" s="295"/>
      <c r="CX1" s="295"/>
      <c r="CY1" s="295"/>
      <c r="CZ1" s="295"/>
      <c r="DA1" s="295"/>
      <c r="DB1" s="295"/>
      <c r="DC1" s="295"/>
      <c r="DD1" s="295"/>
      <c r="DE1" s="295"/>
    </row>
    <row r="2" spans="1:109" ht="15.75" thickBot="1">
      <c r="A2" s="287"/>
      <c r="B2" s="289" t="s">
        <v>311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1"/>
      <c r="R2" s="289" t="s">
        <v>12</v>
      </c>
      <c r="S2" s="290"/>
      <c r="T2" s="290"/>
      <c r="U2" s="290"/>
      <c r="V2" s="290"/>
      <c r="W2" s="290"/>
      <c r="X2" s="290"/>
      <c r="Y2" s="290"/>
      <c r="Z2" s="290"/>
      <c r="AA2" s="290"/>
      <c r="AB2" s="291"/>
      <c r="AC2" s="289" t="s">
        <v>318</v>
      </c>
      <c r="AD2" s="290"/>
      <c r="AE2" s="290"/>
      <c r="AF2" s="290"/>
      <c r="AG2" s="290"/>
      <c r="AH2" s="291"/>
      <c r="AI2" s="289" t="s">
        <v>18</v>
      </c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89" t="s">
        <v>320</v>
      </c>
      <c r="AW2" s="290"/>
      <c r="AX2" s="290"/>
      <c r="AY2" s="290"/>
      <c r="AZ2" s="290"/>
      <c r="BA2" s="290"/>
      <c r="BB2" s="290"/>
      <c r="BC2" s="290"/>
      <c r="BD2" s="291"/>
      <c r="BE2" s="289" t="s">
        <v>18</v>
      </c>
      <c r="BF2" s="290"/>
      <c r="BG2" s="290"/>
      <c r="BH2" s="290"/>
      <c r="BI2" s="290"/>
      <c r="BJ2" s="290"/>
      <c r="BK2" s="290"/>
      <c r="BL2" s="290"/>
      <c r="BM2" s="291"/>
      <c r="BN2" s="289" t="s">
        <v>147</v>
      </c>
      <c r="BO2" s="290"/>
      <c r="BP2" s="290"/>
      <c r="BQ2" s="290"/>
      <c r="BR2" s="290"/>
      <c r="BS2" s="291"/>
      <c r="BT2" s="289" t="s">
        <v>338</v>
      </c>
      <c r="BU2" s="290"/>
      <c r="BV2" s="290"/>
      <c r="BW2" s="290"/>
      <c r="BX2" s="291"/>
      <c r="BY2" s="289" t="s">
        <v>151</v>
      </c>
      <c r="BZ2" s="290"/>
      <c r="CA2" s="290"/>
      <c r="CB2" s="290"/>
      <c r="CC2" s="290"/>
      <c r="CD2" s="290"/>
      <c r="CE2" s="291"/>
      <c r="CF2" s="289" t="s">
        <v>156</v>
      </c>
      <c r="CG2" s="290"/>
      <c r="CH2" s="290"/>
      <c r="CI2" s="290"/>
      <c r="CJ2" s="290"/>
      <c r="CK2" s="290"/>
      <c r="CL2" s="291"/>
      <c r="CM2" s="289" t="s">
        <v>158</v>
      </c>
      <c r="CN2" s="290"/>
      <c r="CO2" s="290"/>
      <c r="CP2" s="290"/>
      <c r="CQ2" s="290"/>
      <c r="CR2" s="290"/>
      <c r="CS2" s="290"/>
      <c r="CT2" s="291"/>
      <c r="CU2" s="289" t="s">
        <v>373</v>
      </c>
      <c r="CV2" s="290"/>
      <c r="CW2" s="290"/>
      <c r="CX2" s="290"/>
      <c r="CY2" s="290"/>
      <c r="CZ2" s="290"/>
      <c r="DA2" s="290"/>
      <c r="DB2" s="290"/>
      <c r="DC2" s="290"/>
      <c r="DD2" s="290"/>
      <c r="DE2" s="294"/>
    </row>
    <row r="3" spans="1:109" s="186" customFormat="1" ht="255.75" customHeight="1" thickBot="1">
      <c r="A3" s="288"/>
      <c r="B3" s="177" t="s">
        <v>302</v>
      </c>
      <c r="C3" s="177" t="s">
        <v>303</v>
      </c>
      <c r="D3" s="177" t="s">
        <v>304</v>
      </c>
      <c r="E3" s="177" t="s">
        <v>305</v>
      </c>
      <c r="F3" s="177" t="s">
        <v>85</v>
      </c>
      <c r="G3" s="177" t="s">
        <v>170</v>
      </c>
      <c r="H3" s="177" t="s">
        <v>306</v>
      </c>
      <c r="I3" s="177" t="s">
        <v>6</v>
      </c>
      <c r="J3" s="177" t="s">
        <v>255</v>
      </c>
      <c r="K3" s="177" t="s">
        <v>375</v>
      </c>
      <c r="L3" s="177" t="s">
        <v>307</v>
      </c>
      <c r="M3" s="177" t="s">
        <v>308</v>
      </c>
      <c r="N3" s="177" t="s">
        <v>309</v>
      </c>
      <c r="O3" s="177" t="s">
        <v>310</v>
      </c>
      <c r="P3" s="177" t="s">
        <v>378</v>
      </c>
      <c r="Q3" s="177" t="s">
        <v>379</v>
      </c>
      <c r="R3" s="178" t="s">
        <v>65</v>
      </c>
      <c r="S3" s="178" t="s">
        <v>312</v>
      </c>
      <c r="T3" s="178" t="s">
        <v>418</v>
      </c>
      <c r="U3" s="178" t="s">
        <v>91</v>
      </c>
      <c r="V3" s="178" t="s">
        <v>313</v>
      </c>
      <c r="W3" s="178" t="s">
        <v>383</v>
      </c>
      <c r="X3" s="178" t="s">
        <v>384</v>
      </c>
      <c r="Y3" s="178" t="s">
        <v>382</v>
      </c>
      <c r="Z3" s="178" t="s">
        <v>385</v>
      </c>
      <c r="AA3" s="178" t="s">
        <v>314</v>
      </c>
      <c r="AB3" s="178" t="s">
        <v>386</v>
      </c>
      <c r="AC3" s="179" t="s">
        <v>77</v>
      </c>
      <c r="AD3" s="179" t="s">
        <v>315</v>
      </c>
      <c r="AE3" s="179" t="s">
        <v>106</v>
      </c>
      <c r="AF3" s="179" t="s">
        <v>115</v>
      </c>
      <c r="AG3" s="179" t="s">
        <v>316</v>
      </c>
      <c r="AH3" s="179" t="s">
        <v>184</v>
      </c>
      <c r="AI3" s="180" t="s">
        <v>275</v>
      </c>
      <c r="AJ3" s="180" t="s">
        <v>176</v>
      </c>
      <c r="AK3" s="180" t="s">
        <v>287</v>
      </c>
      <c r="AL3" s="180" t="s">
        <v>288</v>
      </c>
      <c r="AM3" s="180" t="s">
        <v>177</v>
      </c>
      <c r="AN3" s="180" t="s">
        <v>178</v>
      </c>
      <c r="AO3" s="180" t="s">
        <v>179</v>
      </c>
      <c r="AP3" s="180" t="s">
        <v>236</v>
      </c>
      <c r="AQ3" s="180" t="s">
        <v>180</v>
      </c>
      <c r="AR3" s="180" t="s">
        <v>181</v>
      </c>
      <c r="AS3" s="180" t="s">
        <v>182</v>
      </c>
      <c r="AT3" s="180" t="s">
        <v>387</v>
      </c>
      <c r="AU3" s="180" t="s">
        <v>274</v>
      </c>
      <c r="AV3" s="181" t="s">
        <v>237</v>
      </c>
      <c r="AW3" s="181" t="s">
        <v>187</v>
      </c>
      <c r="AX3" s="181" t="s">
        <v>0</v>
      </c>
      <c r="AY3" s="181" t="s">
        <v>285</v>
      </c>
      <c r="AZ3" s="181" t="s">
        <v>286</v>
      </c>
      <c r="BA3" s="181" t="s">
        <v>289</v>
      </c>
      <c r="BB3" s="181" t="s">
        <v>1</v>
      </c>
      <c r="BC3" s="181" t="s">
        <v>2</v>
      </c>
      <c r="BD3" s="181" t="s">
        <v>290</v>
      </c>
      <c r="BE3" s="180" t="s">
        <v>321</v>
      </c>
      <c r="BF3" s="180" t="s">
        <v>322</v>
      </c>
      <c r="BG3" s="180" t="s">
        <v>283</v>
      </c>
      <c r="BH3" s="180" t="s">
        <v>323</v>
      </c>
      <c r="BI3" s="180" t="s">
        <v>284</v>
      </c>
      <c r="BJ3" s="180" t="s">
        <v>294</v>
      </c>
      <c r="BK3" s="180" t="s">
        <v>324</v>
      </c>
      <c r="BL3" s="180" t="s">
        <v>295</v>
      </c>
      <c r="BM3" s="180" t="s">
        <v>388</v>
      </c>
      <c r="BN3" s="181" t="s">
        <v>329</v>
      </c>
      <c r="BO3" s="181" t="s">
        <v>330</v>
      </c>
      <c r="BP3" s="181" t="s">
        <v>331</v>
      </c>
      <c r="BQ3" s="181" t="s">
        <v>332</v>
      </c>
      <c r="BR3" s="181" t="s">
        <v>114</v>
      </c>
      <c r="BS3" s="181" t="s">
        <v>333</v>
      </c>
      <c r="BT3" s="180" t="s">
        <v>279</v>
      </c>
      <c r="BU3" s="180" t="s">
        <v>334</v>
      </c>
      <c r="BV3" s="180" t="s">
        <v>335</v>
      </c>
      <c r="BW3" s="180" t="s">
        <v>154</v>
      </c>
      <c r="BX3" s="180" t="s">
        <v>336</v>
      </c>
      <c r="BY3" s="181" t="s">
        <v>281</v>
      </c>
      <c r="BZ3" s="181" t="s">
        <v>153</v>
      </c>
      <c r="CA3" s="181" t="s">
        <v>152</v>
      </c>
      <c r="CB3" s="181" t="s">
        <v>280</v>
      </c>
      <c r="CC3" s="181" t="s">
        <v>296</v>
      </c>
      <c r="CD3" s="181" t="s">
        <v>339</v>
      </c>
      <c r="CE3" s="181" t="s">
        <v>389</v>
      </c>
      <c r="CF3" s="180" t="s">
        <v>340</v>
      </c>
      <c r="CG3" s="180" t="s">
        <v>341</v>
      </c>
      <c r="CH3" s="180" t="s">
        <v>342</v>
      </c>
      <c r="CI3" s="180" t="s">
        <v>343</v>
      </c>
      <c r="CJ3" s="180" t="s">
        <v>301</v>
      </c>
      <c r="CK3" s="180" t="s">
        <v>345</v>
      </c>
      <c r="CL3" s="180" t="s">
        <v>346</v>
      </c>
      <c r="CM3" s="181" t="s">
        <v>347</v>
      </c>
      <c r="CN3" s="181" t="s">
        <v>348</v>
      </c>
      <c r="CO3" s="181" t="s">
        <v>349</v>
      </c>
      <c r="CP3" s="181" t="s">
        <v>350</v>
      </c>
      <c r="CQ3" s="181" t="s">
        <v>191</v>
      </c>
      <c r="CR3" s="181" t="s">
        <v>352</v>
      </c>
      <c r="CS3" s="181" t="s">
        <v>163</v>
      </c>
      <c r="CT3" s="181" t="s">
        <v>159</v>
      </c>
      <c r="CU3" s="180" t="s">
        <v>193</v>
      </c>
      <c r="CV3" s="180" t="s">
        <v>249</v>
      </c>
      <c r="CW3" s="180" t="s">
        <v>125</v>
      </c>
      <c r="CX3" s="180" t="s">
        <v>364</v>
      </c>
      <c r="CY3" s="180" t="s">
        <v>365</v>
      </c>
      <c r="CZ3" s="180" t="s">
        <v>366</v>
      </c>
      <c r="DA3" s="180" t="s">
        <v>367</v>
      </c>
      <c r="DB3" s="180" t="s">
        <v>369</v>
      </c>
      <c r="DC3" s="180" t="s">
        <v>370</v>
      </c>
      <c r="DD3" s="180" t="s">
        <v>371</v>
      </c>
      <c r="DE3" s="187" t="s">
        <v>372</v>
      </c>
    </row>
    <row r="4" spans="1:109" s="186" customFormat="1" ht="104.25" customHeight="1">
      <c r="A4" s="102"/>
      <c r="B4" s="102">
        <f>'1. Desk Study'!$F$6</f>
        <v>0</v>
      </c>
      <c r="C4" s="182">
        <f>'1. Desk Study'!$F$7</f>
        <v>0</v>
      </c>
      <c r="D4" s="183">
        <f>'1. Desk Study'!$F$9</f>
        <v>0</v>
      </c>
      <c r="E4" s="183">
        <f>'1. Desk Study'!$F$10</f>
        <v>0</v>
      </c>
      <c r="F4" s="102">
        <f>'1. Desk Study'!$F$11</f>
        <v>0</v>
      </c>
      <c r="G4" s="102">
        <f>'1. Desk Study'!$F$13</f>
        <v>0</v>
      </c>
      <c r="H4" s="102">
        <f>'1. Desk Study'!$F$15</f>
        <v>0</v>
      </c>
      <c r="I4" s="102">
        <f>'1. Desk Study'!$F$17</f>
        <v>0</v>
      </c>
      <c r="J4" s="102">
        <f>'1. Desk Study'!$F$18</f>
        <v>0</v>
      </c>
      <c r="K4" s="102">
        <f>'1. Desk Study'!$I$19</f>
        <v>0</v>
      </c>
      <c r="L4" s="102">
        <f>'1. Desk Study'!$F$21</f>
        <v>0</v>
      </c>
      <c r="M4" s="102">
        <f>'1. Desk Study'!$F$22</f>
        <v>0</v>
      </c>
      <c r="N4" s="102">
        <f>'1. Desk Study'!$F$23</f>
        <v>0</v>
      </c>
      <c r="O4" s="102">
        <f>'1. Desk Study'!$F$25</f>
        <v>0</v>
      </c>
      <c r="P4" s="102">
        <f>'1. Desk Study'!$F$26</f>
        <v>0</v>
      </c>
      <c r="Q4" s="102">
        <f>'1. Desk Study'!$I$27</f>
        <v>0</v>
      </c>
      <c r="R4" s="102">
        <f>'1. Desk Study'!$F$31</f>
        <v>0</v>
      </c>
      <c r="S4" s="102">
        <f>'Results for involved countries'!$B$33</f>
        <v>0</v>
      </c>
      <c r="T4" s="102">
        <f>'1. Desk Study'!$T$32</f>
        <v>0</v>
      </c>
      <c r="U4" s="102">
        <f>'1. Desk Study'!$F$36</f>
        <v>0</v>
      </c>
      <c r="V4" s="102">
        <f>'1. Desk Study'!$I$37</f>
        <v>0</v>
      </c>
      <c r="W4" s="184" t="b">
        <v>0</v>
      </c>
      <c r="X4" s="102">
        <f>'1. Desk Study'!$F$41</f>
        <v>0</v>
      </c>
      <c r="Y4" s="184" t="b">
        <v>0</v>
      </c>
      <c r="Z4" s="102">
        <f>'1. Desk Study'!$H$41</f>
        <v>0</v>
      </c>
      <c r="AA4" s="102">
        <f>'1. Desk Study'!$P$41</f>
        <v>0</v>
      </c>
      <c r="AB4" s="102">
        <f>'1. Desk Study'!$F$43</f>
        <v>0</v>
      </c>
      <c r="AC4" s="102">
        <f>'1. Desk Study'!$F$47</f>
        <v>0</v>
      </c>
      <c r="AD4" s="102">
        <f>'1. Desk Study'!$I$48</f>
        <v>0</v>
      </c>
      <c r="AE4" s="102">
        <f>'1. Desk Study'!$F$48</f>
        <v>0</v>
      </c>
      <c r="AF4" s="102">
        <f>'1. Desk Study'!$F$51</f>
        <v>0</v>
      </c>
      <c r="AG4" s="102">
        <f>'1. Desk Study'!$I$52</f>
        <v>0</v>
      </c>
      <c r="AH4" s="102">
        <f>'1. Desk Study'!$F$54</f>
        <v>0</v>
      </c>
      <c r="AI4" s="102">
        <f>'1. Desk Study'!$F$58</f>
        <v>0</v>
      </c>
      <c r="AJ4" s="102" t="b">
        <v>0</v>
      </c>
      <c r="AK4" s="102" t="b">
        <v>0</v>
      </c>
      <c r="AL4" s="102" t="b">
        <v>0</v>
      </c>
      <c r="AM4" s="102" t="b">
        <v>0</v>
      </c>
      <c r="AN4" s="102" t="b">
        <v>0</v>
      </c>
      <c r="AO4" s="102" t="b">
        <v>0</v>
      </c>
      <c r="AP4" s="102" t="b">
        <v>0</v>
      </c>
      <c r="AQ4" s="102" t="b">
        <v>0</v>
      </c>
      <c r="AR4" s="102" t="b">
        <v>0</v>
      </c>
      <c r="AS4" s="102" t="b">
        <v>0</v>
      </c>
      <c r="AT4" s="102">
        <f>'1. Desk Study'!$L$63</f>
        <v>0</v>
      </c>
      <c r="AU4" s="102">
        <f>'1. Desk Study'!$F$66</f>
        <v>0</v>
      </c>
      <c r="AV4" s="102">
        <f>'2. Telephone call'!$F$6</f>
        <v>0</v>
      </c>
      <c r="AW4" s="102">
        <f>'2. Telephone call'!$F$8</f>
        <v>0</v>
      </c>
      <c r="AX4" s="183">
        <f>'2. Telephone call'!$F$10</f>
        <v>0</v>
      </c>
      <c r="AY4" s="183">
        <f>'2. Telephone call'!$F$12</f>
        <v>0</v>
      </c>
      <c r="AZ4" s="183">
        <f>'2. Telephone call'!$F$13</f>
        <v>0</v>
      </c>
      <c r="BA4" s="183">
        <f>'2. Telephone call'!$F$14</f>
        <v>0</v>
      </c>
      <c r="BB4" s="102">
        <f>'2. Telephone call'!$F$16</f>
        <v>0</v>
      </c>
      <c r="BC4" s="102">
        <f>'2. Telephone call'!$F$18</f>
        <v>0</v>
      </c>
      <c r="BD4" s="102">
        <f>'2. Telephone call'!$F$20</f>
        <v>0</v>
      </c>
      <c r="BE4" s="5">
        <f>'2. Telephone call'!$F$25</f>
        <v>0</v>
      </c>
      <c r="BF4" s="5">
        <f>'2. Telephone call'!$F$27</f>
        <v>0</v>
      </c>
      <c r="BG4" s="5">
        <f>'2. Telephone call'!$F$28</f>
        <v>0</v>
      </c>
      <c r="BH4" s="102">
        <f>'2. Telephone call'!$I$29</f>
        <v>0</v>
      </c>
      <c r="BI4" s="5">
        <f>'2. Telephone call'!$F$31</f>
        <v>0</v>
      </c>
      <c r="BJ4" s="5">
        <f>'2. Telephone call'!$F$32</f>
        <v>0</v>
      </c>
      <c r="BK4" s="102">
        <f>'2. Telephone call'!$I$33</f>
        <v>0</v>
      </c>
      <c r="BL4" s="5">
        <f>'2. Telephone call'!$F$36</f>
        <v>0</v>
      </c>
      <c r="BM4" s="102">
        <f>'2. Telephone call'!$I$37</f>
        <v>0</v>
      </c>
      <c r="BN4" s="102">
        <f>'2. Telephone call'!$F$45</f>
        <v>0</v>
      </c>
      <c r="BO4" s="102">
        <f>'2. Telephone call'!$F$47</f>
        <v>0</v>
      </c>
      <c r="BP4" s="102">
        <f>'2. Telephone call'!$F$49</f>
        <v>0</v>
      </c>
      <c r="BQ4" s="102">
        <f>'2. Telephone call'!$F$51</f>
        <v>0</v>
      </c>
      <c r="BR4" s="102">
        <f>'2. Telephone call'!$F$53</f>
        <v>0</v>
      </c>
      <c r="BS4" s="102">
        <f>'2. Telephone call'!$F$54</f>
        <v>0</v>
      </c>
      <c r="BT4" s="5">
        <f>'2. Telephone call'!$F$57</f>
        <v>0</v>
      </c>
      <c r="BU4" s="102">
        <f>'2. Telephone call'!$I$58</f>
        <v>0</v>
      </c>
      <c r="BV4" s="5">
        <f>'2. Telephone call'!$F$62</f>
        <v>0</v>
      </c>
      <c r="BW4" s="5">
        <f>'2. Telephone call'!$F$63</f>
        <v>0</v>
      </c>
      <c r="BX4" s="5">
        <f>'2. Telephone call'!$F$65</f>
        <v>0</v>
      </c>
      <c r="BY4" s="5">
        <f>'2. Telephone call'!$F$69</f>
        <v>0</v>
      </c>
      <c r="BZ4" s="5">
        <f>'2. Telephone call'!$F$70</f>
        <v>0</v>
      </c>
      <c r="CA4" s="5">
        <f>'2. Telephone call'!$F$71</f>
        <v>0</v>
      </c>
      <c r="CB4" s="5">
        <f>'2. Telephone call'!$F$72</f>
        <v>0</v>
      </c>
      <c r="CC4" s="5">
        <f>'2. Telephone call'!$F$74</f>
        <v>0</v>
      </c>
      <c r="CD4" s="102">
        <f>'2. Telephone call'!$I$75</f>
        <v>0</v>
      </c>
      <c r="CE4" s="5">
        <f>'2. Telephone call'!$F$78</f>
        <v>0</v>
      </c>
      <c r="CF4" s="5">
        <f>'2. Telephone call'!$F$84</f>
        <v>0</v>
      </c>
      <c r="CG4" s="5">
        <f>'2. Telephone call'!$F$85</f>
        <v>0</v>
      </c>
      <c r="CH4" s="5">
        <f>'2. Telephone call'!$F$86</f>
        <v>0</v>
      </c>
      <c r="CI4" s="5">
        <f>'2. Telephone call'!$F$87</f>
        <v>0</v>
      </c>
      <c r="CJ4" s="5">
        <f>'2. Telephone call'!$F$88</f>
        <v>0</v>
      </c>
      <c r="CK4" s="5">
        <f>'2. Telephone call'!$F$90</f>
        <v>0</v>
      </c>
      <c r="CL4" s="5">
        <f>'2. Telephone call'!$F$92</f>
        <v>0</v>
      </c>
      <c r="CM4" s="5">
        <f>'2. Telephone call'!$F$95</f>
        <v>0</v>
      </c>
      <c r="CN4" s="5">
        <f>'2. Telephone call'!$F$96</f>
        <v>0</v>
      </c>
      <c r="CO4" s="5">
        <f>'2. Telephone call'!$F$97</f>
        <v>0</v>
      </c>
      <c r="CP4" s="5">
        <f>'2. Telephone call'!$F$98</f>
        <v>0</v>
      </c>
      <c r="CQ4" s="5">
        <f>'2. Telephone call'!$F$100</f>
        <v>0</v>
      </c>
      <c r="CR4" s="5">
        <f>'2. Telephone call'!$F$101</f>
        <v>0</v>
      </c>
      <c r="CS4" s="5">
        <f>'2. Telephone call'!$F$103</f>
        <v>0</v>
      </c>
      <c r="CT4" s="5">
        <f>'2. Telephone call'!$F$105</f>
        <v>0</v>
      </c>
      <c r="CU4" s="5">
        <f>'3. After the interview'!$F$5</f>
        <v>0</v>
      </c>
      <c r="CV4" s="185">
        <f>'3. After the interview'!$I$6</f>
        <v>0</v>
      </c>
      <c r="CW4" s="5">
        <f>'3. After the interview'!$F$8</f>
        <v>0</v>
      </c>
      <c r="CX4" s="185" t="b">
        <v>0</v>
      </c>
      <c r="CY4" s="185" t="b">
        <v>0</v>
      </c>
      <c r="CZ4" s="185" t="b">
        <v>0</v>
      </c>
      <c r="DA4" s="185" t="b">
        <v>0</v>
      </c>
      <c r="DB4" s="5">
        <f>'3. After the interview'!$F$14</f>
        <v>0</v>
      </c>
      <c r="DC4" s="5">
        <f>'3. After the interview'!$F$16</f>
        <v>0</v>
      </c>
      <c r="DD4" s="5">
        <f>'3. After the interview'!$F$17</f>
        <v>0</v>
      </c>
      <c r="DE4" s="5">
        <f>'3. After the interview'!$F$18</f>
        <v>0</v>
      </c>
    </row>
    <row r="5" spans="1:109">
      <c r="B5" s="167"/>
    </row>
    <row r="6" spans="1:109">
      <c r="B6" s="2"/>
    </row>
    <row r="8" spans="1:109">
      <c r="AV8" s="2"/>
    </row>
    <row r="9" spans="1:109">
      <c r="AV9" s="2"/>
    </row>
    <row r="10" spans="1:109">
      <c r="AV10" s="2"/>
    </row>
    <row r="11" spans="1:109">
      <c r="AV11" s="2"/>
    </row>
    <row r="12" spans="1:109">
      <c r="AV12" s="2"/>
    </row>
  </sheetData>
  <mergeCells count="16">
    <mergeCell ref="CU2:DE2"/>
    <mergeCell ref="CU1:DE1"/>
    <mergeCell ref="CM2:CT2"/>
    <mergeCell ref="AV1:CT1"/>
    <mergeCell ref="BY2:CE2"/>
    <mergeCell ref="CF2:CL2"/>
    <mergeCell ref="BE2:BM2"/>
    <mergeCell ref="BN2:BS2"/>
    <mergeCell ref="BT2:BX2"/>
    <mergeCell ref="B1:AU1"/>
    <mergeCell ref="A1:A3"/>
    <mergeCell ref="AC2:AH2"/>
    <mergeCell ref="AI2:AU2"/>
    <mergeCell ref="AV2:BD2"/>
    <mergeCell ref="R2:AB2"/>
    <mergeCell ref="B2:Q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4" sqref="A4"/>
    </sheetView>
  </sheetViews>
  <sheetFormatPr defaultRowHeight="15"/>
  <cols>
    <col min="1" max="1" width="21.28515625" customWidth="1"/>
    <col min="2" max="2" width="18.28515625" customWidth="1"/>
    <col min="3" max="3" width="20" customWidth="1"/>
    <col min="4" max="4" width="19.5703125" customWidth="1"/>
    <col min="5" max="5" width="24.140625" customWidth="1"/>
  </cols>
  <sheetData>
    <row r="1" spans="1:5" ht="90">
      <c r="A1" s="187" t="s">
        <v>404</v>
      </c>
      <c r="B1" s="187" t="s">
        <v>161</v>
      </c>
      <c r="C1" s="187" t="s">
        <v>162</v>
      </c>
      <c r="D1" s="187" t="s">
        <v>192</v>
      </c>
      <c r="E1" s="187" t="s">
        <v>405</v>
      </c>
    </row>
    <row r="2" spans="1:5">
      <c r="A2" s="5">
        <f>'1. Desk Study'!F6</f>
        <v>0</v>
      </c>
      <c r="B2" s="5">
        <f>'2. Telephone call'!F110</f>
        <v>0</v>
      </c>
      <c r="C2" s="5">
        <f>'2. Telephone call'!F111</f>
        <v>0</v>
      </c>
      <c r="D2" s="5">
        <f>'2. Telephone call'!F112</f>
        <v>0</v>
      </c>
      <c r="E2" s="5">
        <f>'2. Telephone call'!F20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3"/>
  <sheetViews>
    <sheetView workbookViewId="0">
      <selection activeCell="G37" sqref="G37"/>
    </sheetView>
  </sheetViews>
  <sheetFormatPr defaultRowHeight="15"/>
  <cols>
    <col min="1" max="1" width="9.140625" style="3"/>
    <col min="2" max="2" width="46.42578125" customWidth="1"/>
  </cols>
  <sheetData>
    <row r="1" spans="1:2" s="9" customFormat="1">
      <c r="A1" s="10" t="s">
        <v>71</v>
      </c>
      <c r="B1" s="8" t="s">
        <v>72</v>
      </c>
    </row>
    <row r="2" spans="1:2">
      <c r="A2" s="11" t="s">
        <v>29</v>
      </c>
      <c r="B2" s="7" t="b">
        <v>0</v>
      </c>
    </row>
    <row r="3" spans="1:2">
      <c r="A3" s="12" t="s">
        <v>30</v>
      </c>
      <c r="B3" s="5" t="b">
        <v>0</v>
      </c>
    </row>
    <row r="4" spans="1:2">
      <c r="A4" s="12" t="s">
        <v>31</v>
      </c>
      <c r="B4" s="5" t="b">
        <v>0</v>
      </c>
    </row>
    <row r="5" spans="1:2">
      <c r="A5" s="12" t="s">
        <v>32</v>
      </c>
      <c r="B5" s="5" t="b">
        <v>0</v>
      </c>
    </row>
    <row r="6" spans="1:2">
      <c r="A6" s="12" t="s">
        <v>33</v>
      </c>
      <c r="B6" s="5" t="b">
        <v>0</v>
      </c>
    </row>
    <row r="7" spans="1:2">
      <c r="A7" s="12" t="s">
        <v>34</v>
      </c>
      <c r="B7" s="5" t="b">
        <v>0</v>
      </c>
    </row>
    <row r="8" spans="1:2">
      <c r="A8" s="12" t="s">
        <v>35</v>
      </c>
      <c r="B8" s="5" t="b">
        <v>0</v>
      </c>
    </row>
    <row r="9" spans="1:2">
      <c r="A9" s="12" t="s">
        <v>36</v>
      </c>
      <c r="B9" s="5" t="b">
        <v>0</v>
      </c>
    </row>
    <row r="10" spans="1:2">
      <c r="A10" s="12" t="s">
        <v>37</v>
      </c>
      <c r="B10" s="5" t="b">
        <v>0</v>
      </c>
    </row>
    <row r="11" spans="1:2">
      <c r="A11" s="12" t="s">
        <v>38</v>
      </c>
      <c r="B11" s="5" t="b">
        <v>0</v>
      </c>
    </row>
    <row r="12" spans="1:2">
      <c r="A12" s="12" t="s">
        <v>39</v>
      </c>
      <c r="B12" s="5" t="b">
        <v>0</v>
      </c>
    </row>
    <row r="13" spans="1:2">
      <c r="A13" s="12" t="s">
        <v>40</v>
      </c>
      <c r="B13" s="5" t="b">
        <v>0</v>
      </c>
    </row>
    <row r="14" spans="1:2">
      <c r="A14" s="12" t="s">
        <v>41</v>
      </c>
      <c r="B14" s="5" t="b">
        <v>0</v>
      </c>
    </row>
    <row r="15" spans="1:2">
      <c r="A15" s="12" t="s">
        <v>42</v>
      </c>
      <c r="B15" s="5" t="b">
        <v>0</v>
      </c>
    </row>
    <row r="16" spans="1:2">
      <c r="A16" s="12" t="s">
        <v>43</v>
      </c>
      <c r="B16" s="5" t="b">
        <v>0</v>
      </c>
    </row>
    <row r="17" spans="1:2">
      <c r="A17" s="12" t="s">
        <v>44</v>
      </c>
      <c r="B17" s="5" t="b">
        <v>0</v>
      </c>
    </row>
    <row r="18" spans="1:2">
      <c r="A18" s="12" t="s">
        <v>45</v>
      </c>
      <c r="B18" s="5" t="b">
        <v>0</v>
      </c>
    </row>
    <row r="19" spans="1:2">
      <c r="A19" s="12" t="s">
        <v>46</v>
      </c>
      <c r="B19" s="5" t="b">
        <v>0</v>
      </c>
    </row>
    <row r="20" spans="1:2">
      <c r="A20" s="12" t="s">
        <v>47</v>
      </c>
      <c r="B20" s="5" t="b">
        <v>0</v>
      </c>
    </row>
    <row r="21" spans="1:2">
      <c r="A21" s="12" t="s">
        <v>48</v>
      </c>
      <c r="B21" s="5" t="b">
        <v>0</v>
      </c>
    </row>
    <row r="22" spans="1:2">
      <c r="A22" s="12" t="s">
        <v>73</v>
      </c>
      <c r="B22" s="5" t="b">
        <v>0</v>
      </c>
    </row>
    <row r="23" spans="1:2">
      <c r="A23" s="12" t="s">
        <v>49</v>
      </c>
      <c r="B23" s="5" t="b">
        <v>0</v>
      </c>
    </row>
    <row r="24" spans="1:2">
      <c r="A24" s="12" t="s">
        <v>50</v>
      </c>
      <c r="B24" s="5" t="b">
        <v>0</v>
      </c>
    </row>
    <row r="25" spans="1:2">
      <c r="A25" s="12" t="s">
        <v>51</v>
      </c>
      <c r="B25" s="5" t="b">
        <v>0</v>
      </c>
    </row>
    <row r="26" spans="1:2">
      <c r="A26" s="12" t="s">
        <v>52</v>
      </c>
      <c r="B26" s="5" t="b">
        <v>0</v>
      </c>
    </row>
    <row r="27" spans="1:2">
      <c r="A27" s="12" t="s">
        <v>53</v>
      </c>
      <c r="B27" s="5" t="b">
        <v>0</v>
      </c>
    </row>
    <row r="28" spans="1:2">
      <c r="A28" s="12" t="s">
        <v>54</v>
      </c>
      <c r="B28" s="5" t="b">
        <v>0</v>
      </c>
    </row>
    <row r="29" spans="1:2">
      <c r="A29" s="12" t="s">
        <v>55</v>
      </c>
      <c r="B29" s="5" t="b">
        <v>0</v>
      </c>
    </row>
    <row r="30" spans="1:2">
      <c r="A30" s="12" t="s">
        <v>56</v>
      </c>
      <c r="B30" s="5" t="b">
        <v>0</v>
      </c>
    </row>
    <row r="31" spans="1:2">
      <c r="A31" s="12" t="s">
        <v>57</v>
      </c>
      <c r="B31" s="5" t="b">
        <v>0</v>
      </c>
    </row>
    <row r="32" spans="1:2">
      <c r="A32" s="12" t="s">
        <v>58</v>
      </c>
      <c r="B32" s="5" t="b">
        <v>0</v>
      </c>
    </row>
    <row r="33" spans="1:2">
      <c r="A33" s="6" t="s">
        <v>74</v>
      </c>
      <c r="B33" s="6">
        <f>COUNTIF(B2:B32, TRUE)</f>
        <v>0</v>
      </c>
    </row>
  </sheetData>
  <conditionalFormatting sqref="B2:B32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4:P75"/>
  <sheetViews>
    <sheetView topLeftCell="A5" workbookViewId="0">
      <selection activeCell="M12" sqref="M12:M22"/>
    </sheetView>
  </sheetViews>
  <sheetFormatPr defaultRowHeight="16.5"/>
  <cols>
    <col min="1" max="16384" width="9.140625" style="121"/>
  </cols>
  <sheetData>
    <row r="4" spans="2:16">
      <c r="B4" s="120" t="s">
        <v>21</v>
      </c>
      <c r="G4" s="120" t="s">
        <v>28</v>
      </c>
      <c r="I4" s="120" t="s">
        <v>76</v>
      </c>
      <c r="M4" s="120" t="s">
        <v>173</v>
      </c>
      <c r="P4" s="120" t="s">
        <v>291</v>
      </c>
    </row>
    <row r="5" spans="2:16" ht="17.25" thickBot="1">
      <c r="B5" s="69" t="s">
        <v>22</v>
      </c>
      <c r="G5" s="121" t="s">
        <v>29</v>
      </c>
      <c r="I5" s="121" t="s">
        <v>5</v>
      </c>
      <c r="M5" s="122" t="s">
        <v>174</v>
      </c>
      <c r="P5" s="121" t="s">
        <v>292</v>
      </c>
    </row>
    <row r="6" spans="2:16" ht="17.25" thickBot="1">
      <c r="B6" s="121" t="s">
        <v>23</v>
      </c>
      <c r="G6" s="121" t="s">
        <v>30</v>
      </c>
      <c r="I6" s="121" t="s">
        <v>16</v>
      </c>
      <c r="J6" s="123"/>
      <c r="K6" s="123"/>
      <c r="M6" s="122" t="s">
        <v>4</v>
      </c>
      <c r="P6" s="121" t="s">
        <v>293</v>
      </c>
    </row>
    <row r="7" spans="2:16" ht="17.25" thickBot="1">
      <c r="B7" s="121" t="s">
        <v>24</v>
      </c>
      <c r="G7" s="121" t="s">
        <v>31</v>
      </c>
      <c r="I7" s="121" t="s">
        <v>75</v>
      </c>
      <c r="J7" s="123"/>
      <c r="K7" s="123"/>
      <c r="M7" s="122" t="s">
        <v>175</v>
      </c>
      <c r="P7" s="121" t="s">
        <v>16</v>
      </c>
    </row>
    <row r="8" spans="2:16" ht="17.25" thickBot="1">
      <c r="B8" s="121" t="s">
        <v>26</v>
      </c>
      <c r="G8" s="121" t="s">
        <v>32</v>
      </c>
      <c r="J8" s="123"/>
      <c r="K8" s="123"/>
      <c r="M8" s="122" t="s">
        <v>58</v>
      </c>
    </row>
    <row r="9" spans="2:16" ht="17.25" thickBot="1">
      <c r="B9" s="121" t="s">
        <v>25</v>
      </c>
      <c r="G9" s="121" t="s">
        <v>33</v>
      </c>
      <c r="J9" s="123"/>
      <c r="K9" s="123"/>
    </row>
    <row r="10" spans="2:16" ht="17.25" thickBot="1">
      <c r="B10" s="121" t="s">
        <v>27</v>
      </c>
      <c r="G10" s="121" t="s">
        <v>34</v>
      </c>
      <c r="J10" s="123"/>
      <c r="K10" s="123"/>
    </row>
    <row r="11" spans="2:16" ht="17.25" thickBot="1">
      <c r="G11" s="121" t="s">
        <v>35</v>
      </c>
      <c r="I11" s="120" t="s">
        <v>79</v>
      </c>
      <c r="J11" s="123"/>
      <c r="K11" s="123"/>
      <c r="M11" s="120" t="s">
        <v>183</v>
      </c>
    </row>
    <row r="12" spans="2:16" ht="17.25" thickBot="1">
      <c r="B12" s="120" t="s">
        <v>59</v>
      </c>
      <c r="G12" s="121" t="s">
        <v>36</v>
      </c>
      <c r="I12" s="121" t="s">
        <v>269</v>
      </c>
      <c r="J12" s="123"/>
      <c r="K12" s="123"/>
      <c r="M12" s="121" t="s">
        <v>176</v>
      </c>
    </row>
    <row r="13" spans="2:16" ht="17.25" thickBot="1">
      <c r="B13" s="121" t="s">
        <v>60</v>
      </c>
      <c r="G13" s="121" t="s">
        <v>37</v>
      </c>
      <c r="I13" s="121" t="s">
        <v>80</v>
      </c>
      <c r="J13" s="123"/>
      <c r="K13" s="123"/>
      <c r="M13" s="121" t="s">
        <v>287</v>
      </c>
    </row>
    <row r="14" spans="2:16" ht="17.25" thickBot="1">
      <c r="B14" s="121" t="s">
        <v>61</v>
      </c>
      <c r="G14" s="121" t="s">
        <v>38</v>
      </c>
      <c r="I14" s="121" t="s">
        <v>81</v>
      </c>
      <c r="J14" s="123"/>
      <c r="K14" s="123"/>
      <c r="M14" s="121" t="s">
        <v>288</v>
      </c>
    </row>
    <row r="15" spans="2:16" ht="17.25" thickBot="1">
      <c r="B15" s="121" t="s">
        <v>62</v>
      </c>
      <c r="G15" s="121" t="s">
        <v>39</v>
      </c>
      <c r="I15" s="121" t="s">
        <v>82</v>
      </c>
      <c r="J15" s="123"/>
      <c r="K15" s="123"/>
      <c r="M15" s="121" t="s">
        <v>177</v>
      </c>
    </row>
    <row r="16" spans="2:16" ht="17.25" thickBot="1">
      <c r="G16" s="121" t="s">
        <v>40</v>
      </c>
      <c r="I16" s="121" t="s">
        <v>270</v>
      </c>
      <c r="J16" s="123"/>
      <c r="K16" s="123"/>
      <c r="M16" s="121" t="s">
        <v>178</v>
      </c>
    </row>
    <row r="17" spans="2:13" ht="17.25" thickBot="1">
      <c r="B17" s="120" t="s">
        <v>19</v>
      </c>
      <c r="G17" s="121" t="s">
        <v>41</v>
      </c>
      <c r="J17" s="123"/>
      <c r="K17" s="123"/>
      <c r="M17" s="121" t="s">
        <v>179</v>
      </c>
    </row>
    <row r="18" spans="2:13" ht="17.25" thickBot="1">
      <c r="B18" s="121" t="s">
        <v>63</v>
      </c>
      <c r="G18" s="121" t="s">
        <v>42</v>
      </c>
      <c r="I18" s="120" t="s">
        <v>84</v>
      </c>
      <c r="J18" s="123"/>
      <c r="K18" s="123"/>
      <c r="M18" s="121" t="s">
        <v>236</v>
      </c>
    </row>
    <row r="19" spans="2:13" ht="17.25" thickBot="1">
      <c r="B19" s="121" t="s">
        <v>64</v>
      </c>
      <c r="G19" s="121" t="s">
        <v>43</v>
      </c>
      <c r="I19" s="121" t="s">
        <v>272</v>
      </c>
      <c r="J19" s="123"/>
      <c r="K19" s="123"/>
      <c r="M19" s="121" t="s">
        <v>180</v>
      </c>
    </row>
    <row r="20" spans="2:13">
      <c r="B20" s="121" t="s">
        <v>58</v>
      </c>
      <c r="G20" s="121" t="s">
        <v>44</v>
      </c>
      <c r="I20" s="121" t="s">
        <v>83</v>
      </c>
      <c r="M20" s="121" t="s">
        <v>181</v>
      </c>
    </row>
    <row r="21" spans="2:13">
      <c r="G21" s="121" t="s">
        <v>45</v>
      </c>
      <c r="I21" s="121" t="s">
        <v>271</v>
      </c>
      <c r="M21" s="121" t="s">
        <v>182</v>
      </c>
    </row>
    <row r="22" spans="2:13">
      <c r="B22" s="120" t="s">
        <v>65</v>
      </c>
      <c r="G22" s="121" t="s">
        <v>46</v>
      </c>
      <c r="M22" s="121" t="s">
        <v>58</v>
      </c>
    </row>
    <row r="23" spans="2:13">
      <c r="B23" s="121" t="s">
        <v>66</v>
      </c>
      <c r="G23" s="121" t="s">
        <v>47</v>
      </c>
    </row>
    <row r="24" spans="2:13">
      <c r="B24" s="121" t="s">
        <v>67</v>
      </c>
      <c r="G24" s="121" t="s">
        <v>48</v>
      </c>
      <c r="I24" s="120" t="s">
        <v>98</v>
      </c>
      <c r="M24" s="120" t="s">
        <v>198</v>
      </c>
    </row>
    <row r="25" spans="2:13">
      <c r="B25" s="121" t="s">
        <v>68</v>
      </c>
      <c r="G25" s="121" t="s">
        <v>73</v>
      </c>
      <c r="I25" s="71" t="s">
        <v>99</v>
      </c>
      <c r="M25" s="121" t="s">
        <v>203</v>
      </c>
    </row>
    <row r="26" spans="2:13">
      <c r="B26" s="121" t="s">
        <v>69</v>
      </c>
      <c r="G26" s="121" t="s">
        <v>49</v>
      </c>
      <c r="I26" s="71" t="s">
        <v>100</v>
      </c>
      <c r="M26" s="121" t="s">
        <v>204</v>
      </c>
    </row>
    <row r="27" spans="2:13">
      <c r="G27" s="121" t="s">
        <v>50</v>
      </c>
      <c r="I27" s="71" t="s">
        <v>101</v>
      </c>
      <c r="M27" s="121" t="s">
        <v>205</v>
      </c>
    </row>
    <row r="28" spans="2:13">
      <c r="B28" s="120" t="s">
        <v>108</v>
      </c>
      <c r="G28" s="121" t="s">
        <v>51</v>
      </c>
      <c r="I28" s="71" t="s">
        <v>102</v>
      </c>
      <c r="M28" s="121" t="s">
        <v>206</v>
      </c>
    </row>
    <row r="29" spans="2:13">
      <c r="B29" s="121" t="s">
        <v>109</v>
      </c>
      <c r="G29" s="121" t="s">
        <v>52</v>
      </c>
      <c r="I29" s="71"/>
      <c r="M29" s="121" t="s">
        <v>207</v>
      </c>
    </row>
    <row r="30" spans="2:13">
      <c r="B30" s="121" t="s">
        <v>110</v>
      </c>
      <c r="G30" s="121" t="s">
        <v>53</v>
      </c>
      <c r="I30" s="70" t="s">
        <v>97</v>
      </c>
      <c r="M30" s="121" t="s">
        <v>208</v>
      </c>
    </row>
    <row r="31" spans="2:13">
      <c r="B31" s="121" t="s">
        <v>111</v>
      </c>
      <c r="G31" s="121" t="s">
        <v>54</v>
      </c>
      <c r="I31" s="71" t="s">
        <v>103</v>
      </c>
      <c r="M31" s="121" t="s">
        <v>209</v>
      </c>
    </row>
    <row r="32" spans="2:13">
      <c r="G32" s="121" t="s">
        <v>55</v>
      </c>
      <c r="I32" s="71" t="s">
        <v>104</v>
      </c>
      <c r="M32" s="121" t="s">
        <v>210</v>
      </c>
    </row>
    <row r="33" spans="2:13">
      <c r="B33" s="120" t="s">
        <v>116</v>
      </c>
      <c r="G33" s="121" t="s">
        <v>56</v>
      </c>
      <c r="I33" s="71" t="s">
        <v>14</v>
      </c>
      <c r="M33" s="121" t="s">
        <v>211</v>
      </c>
    </row>
    <row r="34" spans="2:13">
      <c r="B34" s="121" t="s">
        <v>117</v>
      </c>
      <c r="G34" s="121" t="s">
        <v>57</v>
      </c>
      <c r="I34" s="71" t="s">
        <v>15</v>
      </c>
      <c r="M34" s="121" t="s">
        <v>212</v>
      </c>
    </row>
    <row r="35" spans="2:13">
      <c r="B35" s="121" t="s">
        <v>118</v>
      </c>
      <c r="G35" s="121" t="s">
        <v>58</v>
      </c>
      <c r="I35" s="71" t="s">
        <v>105</v>
      </c>
      <c r="M35" s="121" t="s">
        <v>213</v>
      </c>
    </row>
    <row r="36" spans="2:13">
      <c r="B36" s="121" t="s">
        <v>119</v>
      </c>
      <c r="M36" s="121" t="s">
        <v>214</v>
      </c>
    </row>
    <row r="37" spans="2:13">
      <c r="B37" s="121" t="s">
        <v>120</v>
      </c>
      <c r="M37" s="121" t="s">
        <v>215</v>
      </c>
    </row>
    <row r="38" spans="2:13">
      <c r="B38" s="121" t="s">
        <v>121</v>
      </c>
      <c r="M38" s="121" t="s">
        <v>216</v>
      </c>
    </row>
    <row r="39" spans="2:13">
      <c r="B39" s="121" t="s">
        <v>122</v>
      </c>
      <c r="M39" s="121" t="s">
        <v>217</v>
      </c>
    </row>
    <row r="40" spans="2:13">
      <c r="B40" s="121" t="s">
        <v>123</v>
      </c>
      <c r="M40" s="121" t="s">
        <v>218</v>
      </c>
    </row>
    <row r="41" spans="2:13">
      <c r="B41" s="121" t="s">
        <v>124</v>
      </c>
      <c r="M41" s="121" t="s">
        <v>219</v>
      </c>
    </row>
    <row r="42" spans="2:13">
      <c r="M42" s="121" t="s">
        <v>220</v>
      </c>
    </row>
    <row r="43" spans="2:13">
      <c r="B43" s="120" t="s">
        <v>126</v>
      </c>
      <c r="I43" s="120" t="s">
        <v>132</v>
      </c>
      <c r="M43" s="121" t="s">
        <v>199</v>
      </c>
    </row>
    <row r="44" spans="2:13">
      <c r="B44" s="121" t="s">
        <v>127</v>
      </c>
      <c r="I44" s="121" t="s">
        <v>133</v>
      </c>
      <c r="M44" s="121" t="s">
        <v>200</v>
      </c>
    </row>
    <row r="45" spans="2:13">
      <c r="B45" s="121" t="s">
        <v>128</v>
      </c>
      <c r="I45" s="121" t="s">
        <v>134</v>
      </c>
      <c r="M45" s="121" t="s">
        <v>201</v>
      </c>
    </row>
    <row r="46" spans="2:13">
      <c r="B46" s="121" t="s">
        <v>129</v>
      </c>
      <c r="I46" s="121" t="s">
        <v>135</v>
      </c>
      <c r="M46" s="121" t="s">
        <v>202</v>
      </c>
    </row>
    <row r="47" spans="2:13">
      <c r="B47" s="121" t="s">
        <v>130</v>
      </c>
      <c r="I47" s="121" t="s">
        <v>136</v>
      </c>
      <c r="M47" s="121" t="s">
        <v>58</v>
      </c>
    </row>
    <row r="48" spans="2:13">
      <c r="B48" s="121" t="s">
        <v>131</v>
      </c>
      <c r="I48" s="121" t="s">
        <v>137</v>
      </c>
    </row>
    <row r="49" spans="2:13">
      <c r="I49" s="121" t="s">
        <v>58</v>
      </c>
    </row>
    <row r="51" spans="2:13">
      <c r="B51" s="120" t="s">
        <v>20</v>
      </c>
      <c r="M51" s="120" t="s">
        <v>225</v>
      </c>
    </row>
    <row r="52" spans="2:13">
      <c r="B52" s="121" t="s">
        <v>138</v>
      </c>
      <c r="M52" s="121" t="s">
        <v>226</v>
      </c>
    </row>
    <row r="53" spans="2:13">
      <c r="B53" s="121" t="s">
        <v>139</v>
      </c>
      <c r="M53" s="121" t="s">
        <v>228</v>
      </c>
    </row>
    <row r="54" spans="2:13">
      <c r="B54" s="121" t="s">
        <v>140</v>
      </c>
      <c r="M54" s="121" t="s">
        <v>227</v>
      </c>
    </row>
    <row r="55" spans="2:13">
      <c r="B55" s="121" t="s">
        <v>58</v>
      </c>
      <c r="M55" s="121" t="s">
        <v>229</v>
      </c>
    </row>
    <row r="56" spans="2:13">
      <c r="G56" s="120" t="s">
        <v>244</v>
      </c>
      <c r="M56" s="121" t="s">
        <v>230</v>
      </c>
    </row>
    <row r="57" spans="2:13">
      <c r="B57" s="120" t="s">
        <v>164</v>
      </c>
      <c r="E57" s="120" t="s">
        <v>238</v>
      </c>
      <c r="G57" s="121">
        <v>0</v>
      </c>
      <c r="I57" s="120" t="s">
        <v>245</v>
      </c>
      <c r="M57" s="121" t="s">
        <v>231</v>
      </c>
    </row>
    <row r="58" spans="2:13">
      <c r="B58" s="121" t="s">
        <v>165</v>
      </c>
      <c r="E58" s="121" t="s">
        <v>239</v>
      </c>
      <c r="G58" s="121">
        <v>1</v>
      </c>
      <c r="I58" s="121" t="s">
        <v>246</v>
      </c>
      <c r="M58" s="121" t="s">
        <v>232</v>
      </c>
    </row>
    <row r="59" spans="2:13">
      <c r="B59" s="121" t="s">
        <v>166</v>
      </c>
      <c r="E59" s="121" t="s">
        <v>240</v>
      </c>
      <c r="G59" s="121">
        <v>2</v>
      </c>
      <c r="I59" s="121" t="s">
        <v>247</v>
      </c>
      <c r="M59" s="121" t="s">
        <v>233</v>
      </c>
    </row>
    <row r="60" spans="2:13">
      <c r="B60" s="121" t="s">
        <v>167</v>
      </c>
      <c r="E60" s="121" t="s">
        <v>241</v>
      </c>
      <c r="G60" s="121">
        <v>3</v>
      </c>
      <c r="I60" s="121" t="s">
        <v>248</v>
      </c>
      <c r="M60" s="121" t="s">
        <v>234</v>
      </c>
    </row>
    <row r="61" spans="2:13">
      <c r="B61" s="121" t="s">
        <v>168</v>
      </c>
      <c r="E61" s="121" t="s">
        <v>242</v>
      </c>
      <c r="G61" s="121">
        <v>4</v>
      </c>
      <c r="M61" s="121" t="s">
        <v>58</v>
      </c>
    </row>
    <row r="62" spans="2:13">
      <c r="B62" s="121" t="s">
        <v>169</v>
      </c>
      <c r="G62" s="121">
        <v>5</v>
      </c>
    </row>
    <row r="63" spans="2:13">
      <c r="G63" s="121">
        <v>6</v>
      </c>
    </row>
    <row r="64" spans="2:13">
      <c r="G64" s="121">
        <v>7</v>
      </c>
      <c r="M64" s="120" t="s">
        <v>256</v>
      </c>
    </row>
    <row r="65" spans="7:13">
      <c r="G65" s="121">
        <v>8</v>
      </c>
      <c r="M65" s="121" t="s">
        <v>257</v>
      </c>
    </row>
    <row r="66" spans="7:13">
      <c r="G66" s="121">
        <v>9</v>
      </c>
      <c r="M66" s="121" t="s">
        <v>258</v>
      </c>
    </row>
    <row r="67" spans="7:13">
      <c r="G67" s="121">
        <v>10</v>
      </c>
      <c r="M67" s="121" t="s">
        <v>259</v>
      </c>
    </row>
    <row r="68" spans="7:13">
      <c r="M68" s="121" t="s">
        <v>260</v>
      </c>
    </row>
    <row r="69" spans="7:13">
      <c r="M69" s="121" t="s">
        <v>261</v>
      </c>
    </row>
    <row r="70" spans="7:13">
      <c r="M70" s="121" t="s">
        <v>262</v>
      </c>
    </row>
    <row r="71" spans="7:13">
      <c r="M71" s="121" t="s">
        <v>263</v>
      </c>
    </row>
    <row r="72" spans="7:13">
      <c r="M72" s="121" t="s">
        <v>264</v>
      </c>
    </row>
    <row r="73" spans="7:13">
      <c r="M73" s="121" t="s">
        <v>265</v>
      </c>
    </row>
    <row r="74" spans="7:13">
      <c r="M74" s="121" t="s">
        <v>266</v>
      </c>
    </row>
    <row r="75" spans="7:13">
      <c r="M75" s="121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Desk Study</vt:lpstr>
      <vt:lpstr>2. Telephone call</vt:lpstr>
      <vt:lpstr>3. After the interview</vt:lpstr>
      <vt:lpstr>Compiled format</vt:lpstr>
      <vt:lpstr>Practical</vt:lpstr>
      <vt:lpstr>Results for involved countries</vt:lpstr>
      <vt:lpstr>Lists</vt:lpstr>
    </vt:vector>
  </TitlesOfParts>
  <Company>ILVO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Evelien Cronin</dc:creator>
  <cp:lastModifiedBy>Evelien Cronin</cp:lastModifiedBy>
  <cp:lastPrinted>2019-04-19T13:35:43Z</cp:lastPrinted>
  <dcterms:created xsi:type="dcterms:W3CDTF">2019-04-02T09:24:07Z</dcterms:created>
  <dcterms:modified xsi:type="dcterms:W3CDTF">2022-12-08T15:17:47Z</dcterms:modified>
</cp:coreProperties>
</file>